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cursor\측정일지_Html\"/>
    </mc:Choice>
  </mc:AlternateContent>
  <xr:revisionPtr revIDLastSave="0" documentId="13_ncr:1_{E94F0057-D4AD-419D-BF68-0860D5AFE41C}" xr6:coauthVersionLast="47" xr6:coauthVersionMax="47" xr10:uidLastSave="{00000000-0000-0000-0000-000000000000}"/>
  <bookViews>
    <workbookView xWindow="31530" yWindow="2730" windowWidth="28800" windowHeight="17145" xr2:uid="{00000000-000D-0000-FFFF-FFFF00000000}"/>
  </bookViews>
  <sheets>
    <sheet name="기타 매출" sheetId="1" r:id="rId1"/>
    <sheet name="작성 가이드" sheetId="2" r:id="rId2"/>
  </sheets>
  <definedNames>
    <definedName name="_xlnm._FilterDatabase" localSheetId="0" hidden="1">'기타 매출'!$A$1:$K$17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2" i="1"/>
  <c r="F3" i="1"/>
  <c r="F4" i="1"/>
  <c r="F5" i="1"/>
  <c r="F6" i="1"/>
  <c r="F7" i="1"/>
  <c r="F8" i="1"/>
  <c r="F9" i="1"/>
  <c r="F10" i="1"/>
</calcChain>
</file>

<file path=xl/sharedStrings.xml><?xml version="1.0" encoding="utf-8"?>
<sst xmlns="http://schemas.openxmlformats.org/spreadsheetml/2006/main" count="68" uniqueCount="47">
  <si>
    <t>품명*</t>
  </si>
  <si>
    <t>매출년도</t>
  </si>
  <si>
    <t>매출주기</t>
  </si>
  <si>
    <t>공급가액</t>
  </si>
  <si>
    <t>부가세</t>
  </si>
  <si>
    <t>합계금액*</t>
  </si>
  <si>
    <t>계산서 e-mail</t>
  </si>
  <si>
    <t>계산서 발행일</t>
  </si>
  <si>
    <t>입금일</t>
  </si>
  <si>
    <t>입금액</t>
  </si>
  <si>
    <t>비고</t>
  </si>
  <si>
    <t/>
  </si>
  <si>
    <t>기타 매출 업로드 양식 작성 가이드</t>
  </si>
  <si>
    <t>※ 필수 항목은 * 표시가 되어 있습니다.</t>
  </si>
  <si>
    <t>1. 기본 정보</t>
  </si>
  <si>
    <t xml:space="preserve">  - 품명*: 품목명 (필수)</t>
  </si>
  <si>
    <t xml:space="preserve">  - 매출년도: 매출 발생 연도 (예: 2024)</t>
  </si>
  <si>
    <t xml:space="preserve">  - 매출주기: 상반기 또는 하반기</t>
  </si>
  <si>
    <t>2. 금액 정보</t>
  </si>
  <si>
    <t xml:space="preserve">  - 공급가액: 부가세 제외 금액</t>
  </si>
  <si>
    <t xml:space="preserve">  - 부가세: 부가세 금액</t>
  </si>
  <si>
    <t xml:space="preserve">  - 합계금액*: 공급가액 + 부가세 (필수, 자동 계산 가능)</t>
  </si>
  <si>
    <t xml:space="preserve">  - 모든 금액은 숫자만 입력 (예: 5000000)</t>
  </si>
  <si>
    <t xml:space="preserve">  - 천단위 콤마는 입력하지 않습니다</t>
  </si>
  <si>
    <t>3. 날짜 형식</t>
  </si>
  <si>
    <t xml:space="preserve">  - 모든 날짜는 YYYY-MM-DD 형식으로 입력 (예: 2024-02-15)</t>
  </si>
  <si>
    <t>4. 주의사항</t>
  </si>
  <si>
    <t xml:space="preserve">  - 예시 행은 삭제하고 실제 데이터만 입력하세요</t>
  </si>
  <si>
    <t xml:space="preserve">  - 합계금액은 공급가액 + 부가세와 일치해야 합니다</t>
  </si>
  <si>
    <t xml:space="preserve">  - 매출주기는 '상반기' 또는 '하반기'만 입력 가능합니다</t>
  </si>
  <si>
    <t>고용노동부(고유빈2차지원금)</t>
    <phoneticPr fontId="3" type="noConversion"/>
  </si>
  <si>
    <t>고용노동부(구윤지1차지원금)</t>
    <phoneticPr fontId="3" type="noConversion"/>
  </si>
  <si>
    <t>고용노동부(고유빈3차지원금)</t>
    <phoneticPr fontId="3" type="noConversion"/>
  </si>
  <si>
    <t>고용노동부(구윤지2차지원금)</t>
    <phoneticPr fontId="3" type="noConversion"/>
  </si>
  <si>
    <t>중부지방산림청</t>
    <phoneticPr fontId="3" type="noConversion"/>
  </si>
  <si>
    <t>디에스종합건설-근골</t>
    <phoneticPr fontId="3" type="noConversion"/>
  </si>
  <si>
    <t>주식회사 바이오메디칼(국소배기검사)</t>
    <phoneticPr fontId="3" type="noConversion"/>
  </si>
  <si>
    <t>상반기</t>
    <phoneticPr fontId="2" type="noConversion"/>
  </si>
  <si>
    <t>입찰</t>
    <phoneticPr fontId="2" type="noConversion"/>
  </si>
  <si>
    <t>대한환경 용역비(2명*4일)_설치</t>
    <phoneticPr fontId="3" type="noConversion"/>
  </si>
  <si>
    <t>대한환경 용역비(2명*4일)_회수</t>
    <phoneticPr fontId="3" type="noConversion"/>
  </si>
  <si>
    <t>도약장려금(구윤지)-3차</t>
    <phoneticPr fontId="3" type="noConversion"/>
  </si>
  <si>
    <t>천안공업고등학교</t>
    <phoneticPr fontId="3" type="noConversion"/>
  </si>
  <si>
    <t>해군항공사령부</t>
    <phoneticPr fontId="3" type="noConversion"/>
  </si>
  <si>
    <t>해양생물자원관 화학물질 위험성평가</t>
    <phoneticPr fontId="3" type="noConversion"/>
  </si>
  <si>
    <t>주식회사 엘에스테크 측정 비대상 확인서</t>
    <phoneticPr fontId="3" type="noConversion"/>
  </si>
  <si>
    <t>하반기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</si>
</sst>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2"/>
      <color theme="1"/>
      <name val="맑은 고딕"/>
      <family val="2"/>
      <scheme val="minor"/>
    </font>
    <font>
      <sz val="9"/>
      <name val="굴림"/>
      <family val="3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4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 shrinkToFit="1"/>
    </xf>
    <xf numFmtId="14" fontId="0" fillId="0" borderId="0" xfId="0" applyNumberFormat="1"/>
    <xf numFmtId="0" fontId="0" fillId="3" borderId="0" xfId="0" applyFill="1"/>
    <xf numFmtId="41" fontId="0" fillId="0" borderId="0" xfId="1" applyFont="1" applyAlignment="1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workbookViewId="0">
      <selection activeCell="E2" sqref="E2:E17"/>
    </sheetView>
  </sheetViews>
  <sheetFormatPr defaultRowHeight="17.25" x14ac:dyDescent="0.3"/>
  <cols>
    <col min="1" max="1" width="25.77734375" customWidth="1"/>
    <col min="2" max="3" width="12.77734375" customWidth="1"/>
    <col min="4" max="6" width="15.77734375" customWidth="1"/>
    <col min="7" max="7" width="30.77734375" customWidth="1"/>
    <col min="8" max="8" width="15.77734375" customWidth="1"/>
    <col min="9" max="9" width="12.77734375" customWidth="1"/>
    <col min="10" max="10" width="15.77734375" customWidth="1"/>
    <col min="11" max="11" width="30.77734375" customWidth="1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 s="1" t="s">
        <v>30</v>
      </c>
      <c r="B2">
        <v>2025</v>
      </c>
      <c r="C2" t="s">
        <v>37</v>
      </c>
      <c r="D2" s="4">
        <v>1800000</v>
      </c>
      <c r="E2" s="4"/>
      <c r="F2" s="4">
        <f t="shared" ref="F2:F17" si="0">SUM(D2:E2)</f>
        <v>1800000</v>
      </c>
      <c r="H2" s="2">
        <v>45692</v>
      </c>
      <c r="I2" s="2">
        <v>45705</v>
      </c>
      <c r="J2">
        <v>1800000</v>
      </c>
      <c r="K2" t="s">
        <v>11</v>
      </c>
    </row>
    <row r="3" spans="1:11" x14ac:dyDescent="0.3">
      <c r="A3" s="1" t="s">
        <v>31</v>
      </c>
      <c r="B3">
        <v>2025</v>
      </c>
      <c r="C3" t="s">
        <v>37</v>
      </c>
      <c r="D3" s="4">
        <v>3600000</v>
      </c>
      <c r="E3" s="4"/>
      <c r="F3" s="4">
        <f t="shared" si="0"/>
        <v>3600000</v>
      </c>
      <c r="H3" s="2">
        <v>45726</v>
      </c>
      <c r="I3" s="2">
        <v>45737</v>
      </c>
      <c r="J3">
        <v>3600000</v>
      </c>
    </row>
    <row r="4" spans="1:11" x14ac:dyDescent="0.3">
      <c r="A4" s="1" t="s">
        <v>39</v>
      </c>
      <c r="B4">
        <v>2025</v>
      </c>
      <c r="C4" t="s">
        <v>37</v>
      </c>
      <c r="D4" s="4">
        <v>6000000</v>
      </c>
      <c r="E4" s="4">
        <v>600000</v>
      </c>
      <c r="F4" s="4">
        <f t="shared" si="0"/>
        <v>6600000</v>
      </c>
      <c r="H4" s="2">
        <v>45749</v>
      </c>
      <c r="I4" s="2">
        <v>45855</v>
      </c>
      <c r="J4">
        <v>6600000</v>
      </c>
    </row>
    <row r="5" spans="1:11" x14ac:dyDescent="0.3">
      <c r="A5" s="1" t="s">
        <v>32</v>
      </c>
      <c r="B5">
        <v>2025</v>
      </c>
      <c r="C5" t="s">
        <v>37</v>
      </c>
      <c r="D5" s="4">
        <v>1800000</v>
      </c>
      <c r="E5" s="4"/>
      <c r="F5" s="4">
        <f t="shared" si="0"/>
        <v>1800000</v>
      </c>
      <c r="H5" s="2">
        <v>45784</v>
      </c>
      <c r="I5" s="2">
        <v>45810</v>
      </c>
      <c r="J5">
        <v>1800000</v>
      </c>
    </row>
    <row r="6" spans="1:11" x14ac:dyDescent="0.3">
      <c r="A6" s="1" t="s">
        <v>33</v>
      </c>
      <c r="B6">
        <v>2025</v>
      </c>
      <c r="C6" t="s">
        <v>37</v>
      </c>
      <c r="D6" s="4">
        <v>1800000</v>
      </c>
      <c r="E6" s="4"/>
      <c r="F6" s="4">
        <f t="shared" si="0"/>
        <v>1800000</v>
      </c>
      <c r="H6" s="2">
        <v>45817</v>
      </c>
      <c r="I6" s="2">
        <v>45817</v>
      </c>
      <c r="J6">
        <v>1800000</v>
      </c>
    </row>
    <row r="7" spans="1:11" x14ac:dyDescent="0.3">
      <c r="A7" s="1" t="s">
        <v>40</v>
      </c>
      <c r="B7">
        <v>2025</v>
      </c>
      <c r="C7" t="s">
        <v>37</v>
      </c>
      <c r="D7" s="4">
        <v>6000000</v>
      </c>
      <c r="E7" s="4">
        <v>600000</v>
      </c>
      <c r="F7" s="4">
        <f t="shared" si="0"/>
        <v>6600000</v>
      </c>
      <c r="H7" s="2">
        <v>45831</v>
      </c>
      <c r="I7" s="2">
        <v>45855</v>
      </c>
      <c r="J7">
        <v>6600000</v>
      </c>
    </row>
    <row r="8" spans="1:11" x14ac:dyDescent="0.3">
      <c r="A8" s="1" t="s">
        <v>34</v>
      </c>
      <c r="B8">
        <v>2025</v>
      </c>
      <c r="C8" t="s">
        <v>37</v>
      </c>
      <c r="D8" s="4">
        <v>12014000</v>
      </c>
      <c r="E8" s="4"/>
      <c r="F8" s="4">
        <f t="shared" si="0"/>
        <v>12014000</v>
      </c>
      <c r="H8" s="2">
        <v>45917</v>
      </c>
      <c r="I8" s="2">
        <v>45918</v>
      </c>
      <c r="J8">
        <v>12014000</v>
      </c>
      <c r="K8" t="s">
        <v>38</v>
      </c>
    </row>
    <row r="9" spans="1:11" x14ac:dyDescent="0.3">
      <c r="A9" s="1" t="s">
        <v>35</v>
      </c>
      <c r="B9">
        <v>2025</v>
      </c>
      <c r="C9" t="s">
        <v>37</v>
      </c>
      <c r="D9" s="4">
        <v>2000000</v>
      </c>
      <c r="E9" s="4">
        <v>200000</v>
      </c>
      <c r="F9" s="4">
        <f t="shared" si="0"/>
        <v>2200000</v>
      </c>
      <c r="H9" s="2">
        <v>45824</v>
      </c>
      <c r="I9" s="2">
        <v>45838</v>
      </c>
      <c r="J9">
        <v>2200000</v>
      </c>
    </row>
    <row r="10" spans="1:11" x14ac:dyDescent="0.3">
      <c r="A10" s="1" t="s">
        <v>36</v>
      </c>
      <c r="B10">
        <v>2025</v>
      </c>
      <c r="C10" t="s">
        <v>37</v>
      </c>
      <c r="D10" s="4">
        <v>800000</v>
      </c>
      <c r="E10" s="4">
        <v>80000</v>
      </c>
      <c r="F10" s="4">
        <f t="shared" si="0"/>
        <v>880000</v>
      </c>
      <c r="H10" s="2">
        <v>45825</v>
      </c>
      <c r="I10" s="2">
        <v>45863</v>
      </c>
      <c r="J10">
        <v>880000</v>
      </c>
    </row>
    <row r="11" spans="1:11" x14ac:dyDescent="0.3">
      <c r="A11" s="1" t="s">
        <v>39</v>
      </c>
      <c r="B11">
        <v>2025</v>
      </c>
      <c r="C11" t="s">
        <v>46</v>
      </c>
      <c r="D11" s="4">
        <v>6000000</v>
      </c>
      <c r="E11" s="4">
        <v>600000</v>
      </c>
      <c r="F11" s="4">
        <f t="shared" si="0"/>
        <v>6600000</v>
      </c>
      <c r="H11" s="2">
        <v>45855</v>
      </c>
      <c r="I11" s="2">
        <v>45855</v>
      </c>
      <c r="J11">
        <v>6600000</v>
      </c>
    </row>
    <row r="12" spans="1:11" x14ac:dyDescent="0.3">
      <c r="A12" s="1" t="s">
        <v>41</v>
      </c>
      <c r="B12">
        <v>2025</v>
      </c>
      <c r="C12" t="s">
        <v>46</v>
      </c>
      <c r="D12" s="4">
        <v>1800000</v>
      </c>
      <c r="E12" s="4"/>
      <c r="F12" s="4">
        <f t="shared" si="0"/>
        <v>1800000</v>
      </c>
      <c r="H12" s="2">
        <v>45919</v>
      </c>
      <c r="I12" s="2">
        <v>45919</v>
      </c>
      <c r="J12">
        <v>1800000</v>
      </c>
    </row>
    <row r="13" spans="1:11" x14ac:dyDescent="0.3">
      <c r="A13" s="1" t="s">
        <v>42</v>
      </c>
      <c r="B13">
        <v>2025</v>
      </c>
      <c r="C13" t="s">
        <v>46</v>
      </c>
      <c r="D13" s="4">
        <v>26934000</v>
      </c>
      <c r="E13" s="4"/>
      <c r="F13" s="4">
        <f t="shared" si="0"/>
        <v>26934000</v>
      </c>
      <c r="H13" s="2">
        <v>45946</v>
      </c>
      <c r="I13" s="2">
        <v>45946</v>
      </c>
      <c r="J13">
        <v>26934000</v>
      </c>
    </row>
    <row r="14" spans="1:11" x14ac:dyDescent="0.3">
      <c r="A14" s="1" t="s">
        <v>43</v>
      </c>
      <c r="B14">
        <v>2025</v>
      </c>
      <c r="C14" t="s">
        <v>46</v>
      </c>
      <c r="D14" s="4">
        <v>14029000</v>
      </c>
      <c r="E14" s="4"/>
      <c r="F14" s="4">
        <f t="shared" si="0"/>
        <v>14029000</v>
      </c>
      <c r="H14" s="2">
        <v>45967</v>
      </c>
      <c r="I14" s="2">
        <v>45967</v>
      </c>
      <c r="J14">
        <v>14029000</v>
      </c>
    </row>
    <row r="15" spans="1:11" x14ac:dyDescent="0.3">
      <c r="A15" s="1" t="s">
        <v>40</v>
      </c>
      <c r="B15">
        <v>2025</v>
      </c>
      <c r="C15" t="s">
        <v>46</v>
      </c>
      <c r="D15" s="4">
        <v>6000000</v>
      </c>
      <c r="E15" s="4">
        <v>600000</v>
      </c>
      <c r="F15" s="4">
        <f t="shared" si="0"/>
        <v>6600000</v>
      </c>
      <c r="H15" s="2">
        <v>45951</v>
      </c>
      <c r="I15" s="2">
        <v>45951</v>
      </c>
      <c r="J15">
        <v>6600000</v>
      </c>
    </row>
    <row r="16" spans="1:11" x14ac:dyDescent="0.3">
      <c r="A16" s="1" t="s">
        <v>44</v>
      </c>
      <c r="B16">
        <v>2025</v>
      </c>
      <c r="C16" t="s">
        <v>46</v>
      </c>
      <c r="D16" s="4">
        <v>8727272</v>
      </c>
      <c r="E16" s="4">
        <v>872728</v>
      </c>
      <c r="F16" s="4">
        <f t="shared" si="0"/>
        <v>9600000</v>
      </c>
      <c r="H16" s="2">
        <v>46000</v>
      </c>
      <c r="I16" s="2">
        <v>46000</v>
      </c>
      <c r="J16">
        <v>9600000</v>
      </c>
    </row>
    <row r="17" spans="1:10" x14ac:dyDescent="0.3">
      <c r="A17" s="1" t="s">
        <v>45</v>
      </c>
      <c r="B17">
        <v>2025</v>
      </c>
      <c r="C17" t="s">
        <v>46</v>
      </c>
      <c r="D17" s="4">
        <v>300000</v>
      </c>
      <c r="E17" s="4"/>
      <c r="F17" s="4">
        <f t="shared" si="0"/>
        <v>300000</v>
      </c>
      <c r="H17" s="2">
        <v>46387</v>
      </c>
      <c r="I17" s="2">
        <v>46387</v>
      </c>
      <c r="J17">
        <v>300000</v>
      </c>
    </row>
  </sheetData>
  <autoFilter ref="A1:K17" xr:uid="{00000000-0001-0000-0000-000000000000}"/>
  <phoneticPr fontId="2" type="noConversion"/>
  <pageMargins left="0.7" right="0.7" top="0.75" bottom="0.75" header="0.3" footer="0.3"/>
  <ignoredErrors>
    <ignoredError sqref="A1:K1 K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3"/>
  <sheetViews>
    <sheetView workbookViewId="0"/>
  </sheetViews>
  <sheetFormatPr defaultRowHeight="17.25" x14ac:dyDescent="0.3"/>
  <cols>
    <col min="1" max="1" width="80.77734375" customWidth="1"/>
  </cols>
  <sheetData>
    <row r="1" spans="1:1" x14ac:dyDescent="0.3">
      <c r="A1" t="s">
        <v>12</v>
      </c>
    </row>
    <row r="2" spans="1:1" x14ac:dyDescent="0.3">
      <c r="A2" t="s">
        <v>11</v>
      </c>
    </row>
    <row r="3" spans="1:1" x14ac:dyDescent="0.3">
      <c r="A3" t="s">
        <v>13</v>
      </c>
    </row>
    <row r="4" spans="1:1" x14ac:dyDescent="0.3">
      <c r="A4" t="s">
        <v>11</v>
      </c>
    </row>
    <row r="5" spans="1:1" x14ac:dyDescent="0.3">
      <c r="A5" t="s">
        <v>14</v>
      </c>
    </row>
    <row r="6" spans="1:1" x14ac:dyDescent="0.3">
      <c r="A6" t="s">
        <v>15</v>
      </c>
    </row>
    <row r="7" spans="1:1" x14ac:dyDescent="0.3">
      <c r="A7" t="s">
        <v>16</v>
      </c>
    </row>
    <row r="8" spans="1:1" x14ac:dyDescent="0.3">
      <c r="A8" t="s">
        <v>17</v>
      </c>
    </row>
    <row r="9" spans="1:1" x14ac:dyDescent="0.3">
      <c r="A9" t="s">
        <v>11</v>
      </c>
    </row>
    <row r="10" spans="1:1" x14ac:dyDescent="0.3">
      <c r="A10" t="s">
        <v>18</v>
      </c>
    </row>
    <row r="11" spans="1:1" x14ac:dyDescent="0.3">
      <c r="A11" t="s">
        <v>19</v>
      </c>
    </row>
    <row r="12" spans="1:1" x14ac:dyDescent="0.3">
      <c r="A12" t="s">
        <v>20</v>
      </c>
    </row>
    <row r="13" spans="1:1" x14ac:dyDescent="0.3">
      <c r="A13" t="s">
        <v>21</v>
      </c>
    </row>
    <row r="14" spans="1:1" x14ac:dyDescent="0.3">
      <c r="A14" t="s">
        <v>22</v>
      </c>
    </row>
    <row r="15" spans="1:1" x14ac:dyDescent="0.3">
      <c r="A15" t="s">
        <v>23</v>
      </c>
    </row>
    <row r="16" spans="1:1" x14ac:dyDescent="0.3">
      <c r="A16" t="s">
        <v>11</v>
      </c>
    </row>
    <row r="17" spans="1:1" x14ac:dyDescent="0.3">
      <c r="A17" t="s">
        <v>24</v>
      </c>
    </row>
    <row r="18" spans="1:1" x14ac:dyDescent="0.3">
      <c r="A18" t="s">
        <v>25</v>
      </c>
    </row>
    <row r="19" spans="1:1" x14ac:dyDescent="0.3">
      <c r="A19" t="s">
        <v>11</v>
      </c>
    </row>
    <row r="20" spans="1:1" x14ac:dyDescent="0.3">
      <c r="A20" t="s">
        <v>26</v>
      </c>
    </row>
    <row r="21" spans="1:1" x14ac:dyDescent="0.3">
      <c r="A21" t="s">
        <v>27</v>
      </c>
    </row>
    <row r="22" spans="1:1" x14ac:dyDescent="0.3">
      <c r="A22" t="s">
        <v>28</v>
      </c>
    </row>
    <row r="23" spans="1:1" x14ac:dyDescent="0.3">
      <c r="A23" t="s">
        <v>29</v>
      </c>
    </row>
  </sheetData>
  <phoneticPr fontId="2" type="noConversion"/>
  <pageMargins left="0.7" right="0.7" top="0.75" bottom="0.75" header="0.3" footer="0.3"/>
  <ignoredErrors>
    <ignoredError sqref="A1:A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기타 매출</vt:lpstr>
      <vt:lpstr>작성 가이드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강하빈학부/영어교육과</cp:lastModifiedBy>
  <dcterms:modified xsi:type="dcterms:W3CDTF">2026-01-11T08:05:49Z</dcterms:modified>
</cp:coreProperties>
</file>