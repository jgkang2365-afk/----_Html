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cursor\측정일지_html\2025년 측정일지\"/>
    </mc:Choice>
  </mc:AlternateContent>
  <xr:revisionPtr revIDLastSave="0" documentId="13_ncr:1_{DE04F29B-5F2B-4A15-BB74-39D01103A2F3}" xr6:coauthVersionLast="47" xr6:coauthVersionMax="47" xr10:uidLastSave="{00000000-0000-0000-0000-000000000000}"/>
  <bookViews>
    <workbookView xWindow="-120" yWindow="-120" windowWidth="29040" windowHeight="15720" xr2:uid="{6AE02064-E9B0-42DE-92DC-7185C754467D}"/>
  </bookViews>
  <sheets>
    <sheet name="측정일지_업로드(25상)" sheetId="1" r:id="rId1"/>
    <sheet name="측정일지_업로드(25하)" sheetId="2" r:id="rId2"/>
    <sheet name="작성 가이드" sheetId="3" r:id="rId3"/>
    <sheet name="측정일지_업로드(25하) 천안" sheetId="7" r:id="rId4"/>
    <sheet name="측정일지_업로드(25하-대전)" sheetId="4" r:id="rId5"/>
    <sheet name="측정일지_업로드(25하-평택)" sheetId="5" r:id="rId6"/>
    <sheet name="측정일지_업로드(25하-경기)" sheetId="6" r:id="rId7"/>
  </sheets>
  <externalReferences>
    <externalReference r:id="rId8"/>
  </externalReferences>
  <definedNames>
    <definedName name="_xlnm._FilterDatabase" localSheetId="0" hidden="1">'측정일지_업로드(25상)'!$A$2:$AM$291</definedName>
    <definedName name="_xlnm._FilterDatabase" localSheetId="1" hidden="1">'측정일지_업로드(25하)'!$A$2:$AM$212</definedName>
    <definedName name="_xlnm._FilterDatabase" localSheetId="3" hidden="1">'측정일지_업로드(25하) 천안'!$A$2:$AM$218</definedName>
    <definedName name="_xlnm._FilterDatabase" localSheetId="6" hidden="1">'측정일지_업로드(25하-경기)'!$A$2:$AM$291</definedName>
    <definedName name="_xlnm._FilterDatabase" localSheetId="4" hidden="1">'측정일지_업로드(25하-대전)'!$A$2:$AM$291</definedName>
    <definedName name="_xlnm._FilterDatabase" localSheetId="5" hidden="1">'측정일지_업로드(25하-평택)'!$A$2:$AM$293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6" i="6" l="1"/>
  <c r="AK16" i="6"/>
  <c r="AJ16" i="6"/>
  <c r="AH16" i="6" s="1"/>
  <c r="AG16" i="6"/>
  <c r="AF16" i="6"/>
  <c r="AE16" i="6" s="1"/>
  <c r="AL15" i="6"/>
  <c r="AH15" i="6" s="1"/>
  <c r="AK15" i="6"/>
  <c r="AJ15" i="6"/>
  <c r="AI15" i="6"/>
  <c r="AG15" i="6"/>
  <c r="AF15" i="6"/>
  <c r="AE15" i="6" s="1"/>
  <c r="AD15" i="6"/>
  <c r="AC15" i="6"/>
  <c r="AL14" i="6"/>
  <c r="AK14" i="6"/>
  <c r="AJ14" i="6"/>
  <c r="AI14" i="6"/>
  <c r="AG14" i="6"/>
  <c r="AF14" i="6"/>
  <c r="AD14" i="6"/>
  <c r="AC14" i="6"/>
  <c r="AL13" i="6"/>
  <c r="AK13" i="6"/>
  <c r="AH13" i="6"/>
  <c r="AG13" i="6"/>
  <c r="AF13" i="6"/>
  <c r="AE13" i="6" s="1"/>
  <c r="AD13" i="6"/>
  <c r="AC13" i="6"/>
  <c r="AL12" i="6"/>
  <c r="AK12" i="6"/>
  <c r="AJ12" i="6"/>
  <c r="AI12" i="6"/>
  <c r="AG12" i="6"/>
  <c r="AF12" i="6"/>
  <c r="AD12" i="6"/>
  <c r="AC12" i="6"/>
  <c r="AL11" i="6"/>
  <c r="AK11" i="6"/>
  <c r="AH11" i="6"/>
  <c r="AG11" i="6"/>
  <c r="AF11" i="6"/>
  <c r="AE11" i="6" s="1"/>
  <c r="AD11" i="6"/>
  <c r="AL10" i="6"/>
  <c r="AH10" i="6" s="1"/>
  <c r="AK10" i="6"/>
  <c r="AJ10" i="6"/>
  <c r="AI10" i="6"/>
  <c r="AG10" i="6"/>
  <c r="AF10" i="6"/>
  <c r="AE10" i="6" s="1"/>
  <c r="AD10" i="6"/>
  <c r="AC10" i="6"/>
  <c r="AL9" i="6"/>
  <c r="AH9" i="6" s="1"/>
  <c r="AK9" i="6"/>
  <c r="AG9" i="6"/>
  <c r="AF9" i="6"/>
  <c r="AD9" i="6"/>
  <c r="AL8" i="6"/>
  <c r="AK8" i="6"/>
  <c r="AJ8" i="6"/>
  <c r="AI8" i="6"/>
  <c r="AG8" i="6"/>
  <c r="AF8" i="6"/>
  <c r="AD8" i="6"/>
  <c r="AC8" i="6"/>
  <c r="AL7" i="6"/>
  <c r="AK7" i="6"/>
  <c r="AJ7" i="6"/>
  <c r="AH7" i="6" s="1"/>
  <c r="AI7" i="6"/>
  <c r="AG7" i="6"/>
  <c r="AF7" i="6"/>
  <c r="AE7" i="6" s="1"/>
  <c r="AD7" i="6"/>
  <c r="AC7" i="6"/>
  <c r="AL6" i="6"/>
  <c r="AK6" i="6"/>
  <c r="AJ6" i="6"/>
  <c r="AH6" i="6" s="1"/>
  <c r="AI6" i="6"/>
  <c r="AG6" i="6"/>
  <c r="AF6" i="6"/>
  <c r="AD6" i="6"/>
  <c r="AC6" i="6"/>
  <c r="AL5" i="6"/>
  <c r="AK5" i="6"/>
  <c r="AH5" i="6"/>
  <c r="AG5" i="6"/>
  <c r="AF5" i="6"/>
  <c r="AE5" i="6"/>
  <c r="AD5" i="6"/>
  <c r="AC5" i="6"/>
  <c r="AL4" i="6"/>
  <c r="AH4" i="6" s="1"/>
  <c r="AK4" i="6"/>
  <c r="AG4" i="6"/>
  <c r="AE4" i="6" s="1"/>
  <c r="AF4" i="6"/>
  <c r="AD4" i="6"/>
  <c r="AC4" i="6"/>
  <c r="AL3" i="6"/>
  <c r="AK3" i="6"/>
  <c r="AJ3" i="6"/>
  <c r="AI3" i="6"/>
  <c r="AH3" i="6"/>
  <c r="AG3" i="6"/>
  <c r="AF3" i="6"/>
  <c r="AD3" i="6"/>
  <c r="AC3" i="6"/>
  <c r="AL12" i="5"/>
  <c r="AK12" i="5"/>
  <c r="AJ12" i="5"/>
  <c r="AH12" i="5" s="1"/>
  <c r="AG12" i="5"/>
  <c r="AF12" i="5"/>
  <c r="AE12" i="5" s="1"/>
  <c r="AL11" i="5"/>
  <c r="AK11" i="5"/>
  <c r="AJ11" i="5"/>
  <c r="AG11" i="5"/>
  <c r="AF11" i="5"/>
  <c r="AE11" i="5" s="1"/>
  <c r="AC11" i="5"/>
  <c r="AL10" i="5"/>
  <c r="AK10" i="5"/>
  <c r="AJ10" i="5"/>
  <c r="AH10" i="5" s="1"/>
  <c r="AI10" i="5"/>
  <c r="AG10" i="5"/>
  <c r="AF10" i="5"/>
  <c r="AE10" i="5" s="1"/>
  <c r="AC10" i="5"/>
  <c r="AL9" i="5"/>
  <c r="AJ9" i="5"/>
  <c r="AI9" i="5"/>
  <c r="AG9" i="5"/>
  <c r="AF9" i="5"/>
  <c r="AE9" i="5" s="1"/>
  <c r="AD9" i="5"/>
  <c r="AC9" i="5"/>
  <c r="AL8" i="5"/>
  <c r="AK8" i="5"/>
  <c r="AJ8" i="5"/>
  <c r="AI8" i="5"/>
  <c r="AG8" i="5"/>
  <c r="AF8" i="5"/>
  <c r="AD8" i="5"/>
  <c r="AC8" i="5"/>
  <c r="AL7" i="5"/>
  <c r="AK7" i="5"/>
  <c r="AJ7" i="5"/>
  <c r="AI7" i="5"/>
  <c r="AG7" i="5"/>
  <c r="AF7" i="5"/>
  <c r="AE7" i="5" s="1"/>
  <c r="AD7" i="5"/>
  <c r="AC7" i="5"/>
  <c r="AL6" i="5"/>
  <c r="AK6" i="5"/>
  <c r="AJ6" i="5"/>
  <c r="AH6" i="5" s="1"/>
  <c r="AI6" i="5"/>
  <c r="AG6" i="5"/>
  <c r="AF6" i="5"/>
  <c r="AE6" i="5" s="1"/>
  <c r="AD6" i="5"/>
  <c r="AC6" i="5"/>
  <c r="AL5" i="5"/>
  <c r="AK5" i="5"/>
  <c r="AJ5" i="5"/>
  <c r="AH5" i="5" s="1"/>
  <c r="AI5" i="5"/>
  <c r="AG5" i="5"/>
  <c r="AF5" i="5"/>
  <c r="AE5" i="5" s="1"/>
  <c r="AD5" i="5"/>
  <c r="AC5" i="5"/>
  <c r="AL4" i="5"/>
  <c r="AK4" i="5"/>
  <c r="AJ4" i="5"/>
  <c r="AH4" i="5" s="1"/>
  <c r="AI4" i="5"/>
  <c r="AG4" i="5"/>
  <c r="AF4" i="5"/>
  <c r="AD4" i="5"/>
  <c r="AC4" i="5"/>
  <c r="AL3" i="5"/>
  <c r="AK3" i="5"/>
  <c r="AJ3" i="5"/>
  <c r="AH3" i="5" s="1"/>
  <c r="AI3" i="5"/>
  <c r="AG3" i="5"/>
  <c r="AF3" i="5"/>
  <c r="AE3" i="5" s="1"/>
  <c r="AD3" i="5"/>
  <c r="AC3" i="5"/>
  <c r="AH149" i="4"/>
  <c r="AG149" i="4"/>
  <c r="AE149" i="4" s="1"/>
  <c r="AD149" i="4"/>
  <c r="AK148" i="4"/>
  <c r="AH148" i="4"/>
  <c r="AF148" i="4"/>
  <c r="AE148" i="4" s="1"/>
  <c r="AM147" i="4"/>
  <c r="AH147" i="4"/>
  <c r="AG147" i="4"/>
  <c r="AF147" i="4"/>
  <c r="AE147" i="4" s="1"/>
  <c r="AD147" i="4"/>
  <c r="AC147" i="4"/>
  <c r="AM146" i="4"/>
  <c r="AL146" i="4"/>
  <c r="AK146" i="4"/>
  <c r="AJ146" i="4"/>
  <c r="AI146" i="4"/>
  <c r="AF146" i="4"/>
  <c r="AE146" i="4" s="1"/>
  <c r="AD146" i="4"/>
  <c r="AC146" i="4"/>
  <c r="AK145" i="4"/>
  <c r="AH145" i="4"/>
  <c r="AF145" i="4"/>
  <c r="AE145" i="4" s="1"/>
  <c r="AC145" i="4"/>
  <c r="AH144" i="4"/>
  <c r="AG144" i="4"/>
  <c r="AE144" i="4" s="1"/>
  <c r="AD144" i="4"/>
  <c r="AM143" i="4"/>
  <c r="AL143" i="4"/>
  <c r="AH143" i="4" s="1"/>
  <c r="AK143" i="4"/>
  <c r="AF143" i="4"/>
  <c r="AE143" i="4" s="1"/>
  <c r="AD143" i="4"/>
  <c r="AC143" i="4"/>
  <c r="AM142" i="4"/>
  <c r="AH142" i="4"/>
  <c r="AG142" i="4"/>
  <c r="AF142" i="4"/>
  <c r="AE142" i="4" s="1"/>
  <c r="AD142" i="4"/>
  <c r="AC142" i="4"/>
  <c r="AM141" i="4"/>
  <c r="AH141" i="4"/>
  <c r="AG141" i="4"/>
  <c r="AF141" i="4"/>
  <c r="AD141" i="4"/>
  <c r="AC141" i="4"/>
  <c r="AM140" i="4"/>
  <c r="AL140" i="4"/>
  <c r="AH140" i="4" s="1"/>
  <c r="AK140" i="4"/>
  <c r="AF140" i="4"/>
  <c r="AE140" i="4" s="1"/>
  <c r="AD140" i="4"/>
  <c r="AC140" i="4"/>
  <c r="AM139" i="4"/>
  <c r="AL139" i="4"/>
  <c r="AH139" i="4" s="1"/>
  <c r="AK139" i="4"/>
  <c r="AJ139" i="4"/>
  <c r="AI139" i="4"/>
  <c r="AF139" i="4"/>
  <c r="AE139" i="4" s="1"/>
  <c r="AD139" i="4"/>
  <c r="AC139" i="4"/>
  <c r="AM138" i="4"/>
  <c r="AL138" i="4"/>
  <c r="AK138" i="4"/>
  <c r="AJ138" i="4"/>
  <c r="AI138" i="4"/>
  <c r="AF138" i="4"/>
  <c r="AE138" i="4"/>
  <c r="AD138" i="4"/>
  <c r="AC138" i="4"/>
  <c r="AM137" i="4"/>
  <c r="AL137" i="4"/>
  <c r="AJ137" i="4"/>
  <c r="AI137" i="4"/>
  <c r="AG137" i="4"/>
  <c r="AF137" i="4"/>
  <c r="AD137" i="4"/>
  <c r="AC137" i="4"/>
  <c r="AM136" i="4"/>
  <c r="AL136" i="4"/>
  <c r="AK136" i="4"/>
  <c r="AJ136" i="4"/>
  <c r="AH136" i="4" s="1"/>
  <c r="AI136" i="4"/>
  <c r="AF136" i="4"/>
  <c r="AE136" i="4" s="1"/>
  <c r="AD136" i="4"/>
  <c r="AC136" i="4"/>
  <c r="AM135" i="4"/>
  <c r="AL135" i="4"/>
  <c r="AK135" i="4"/>
  <c r="AJ135" i="4"/>
  <c r="AH135" i="4" s="1"/>
  <c r="AI135" i="4"/>
  <c r="AG135" i="4"/>
  <c r="AF135" i="4"/>
  <c r="AD135" i="4"/>
  <c r="AC135" i="4"/>
  <c r="AM134" i="4"/>
  <c r="AL134" i="4"/>
  <c r="AK134" i="4"/>
  <c r="AJ134" i="4"/>
  <c r="AH134" i="4" s="1"/>
  <c r="AI134" i="4"/>
  <c r="AG134" i="4"/>
  <c r="AE134" i="4" s="1"/>
  <c r="AF134" i="4"/>
  <c r="AD134" i="4"/>
  <c r="AC134" i="4"/>
  <c r="AM133" i="4"/>
  <c r="AL133" i="4"/>
  <c r="AK133" i="4"/>
  <c r="AJ133" i="4"/>
  <c r="AH133" i="4" s="1"/>
  <c r="AI133" i="4"/>
  <c r="AG133" i="4"/>
  <c r="AF133" i="4"/>
  <c r="AD133" i="4"/>
  <c r="AC133" i="4"/>
  <c r="AM132" i="4"/>
  <c r="AL132" i="4"/>
  <c r="AK132" i="4"/>
  <c r="AJ132" i="4"/>
  <c r="AH132" i="4" s="1"/>
  <c r="AI132" i="4"/>
  <c r="AG132" i="4"/>
  <c r="AF132" i="4"/>
  <c r="AE132" i="4" s="1"/>
  <c r="AD132" i="4"/>
  <c r="AC132" i="4"/>
  <c r="AM131" i="4"/>
  <c r="AL131" i="4"/>
  <c r="AK131" i="4"/>
  <c r="AJ131" i="4"/>
  <c r="AH131" i="4" s="1"/>
  <c r="AI131" i="4"/>
  <c r="AG131" i="4"/>
  <c r="AF131" i="4"/>
  <c r="AD131" i="4"/>
  <c r="AC131" i="4"/>
  <c r="AM130" i="4"/>
  <c r="AL130" i="4"/>
  <c r="AH130" i="4" s="1"/>
  <c r="AK130" i="4"/>
  <c r="AG130" i="4"/>
  <c r="AF130" i="4"/>
  <c r="AE130" i="4" s="1"/>
  <c r="AD130" i="4"/>
  <c r="AC130" i="4"/>
  <c r="AM129" i="4"/>
  <c r="AL129" i="4"/>
  <c r="AK129" i="4"/>
  <c r="AJ129" i="4"/>
  <c r="AH129" i="4" s="1"/>
  <c r="AI129" i="4"/>
  <c r="AF129" i="4"/>
  <c r="AE129" i="4" s="1"/>
  <c r="AD129" i="4"/>
  <c r="AC129" i="4"/>
  <c r="AM128" i="4"/>
  <c r="AL128" i="4"/>
  <c r="AK128" i="4"/>
  <c r="AJ128" i="4"/>
  <c r="AI128" i="4"/>
  <c r="AF128" i="4"/>
  <c r="AE128" i="4" s="1"/>
  <c r="AD128" i="4"/>
  <c r="AC128" i="4"/>
  <c r="AM127" i="4"/>
  <c r="AL127" i="4"/>
  <c r="AH127" i="4" s="1"/>
  <c r="AK127" i="4"/>
  <c r="AG127" i="4"/>
  <c r="AF127" i="4"/>
  <c r="AD127" i="4"/>
  <c r="AC127" i="4"/>
  <c r="AM126" i="4"/>
  <c r="AL126" i="4"/>
  <c r="AH126" i="4" s="1"/>
  <c r="AK126" i="4"/>
  <c r="AG126" i="4"/>
  <c r="AE126" i="4" s="1"/>
  <c r="AF126" i="4"/>
  <c r="AD126" i="4"/>
  <c r="AC126" i="4"/>
  <c r="AM125" i="4"/>
  <c r="AL125" i="4"/>
  <c r="AH125" i="4" s="1"/>
  <c r="AK125" i="4"/>
  <c r="AG125" i="4"/>
  <c r="AE125" i="4" s="1"/>
  <c r="AF125" i="4"/>
  <c r="AD125" i="4"/>
  <c r="AC125" i="4"/>
  <c r="AM124" i="4"/>
  <c r="AL124" i="4"/>
  <c r="AH124" i="4" s="1"/>
  <c r="AK124" i="4"/>
  <c r="AJ124" i="4"/>
  <c r="AI124" i="4"/>
  <c r="AG124" i="4"/>
  <c r="AF124" i="4"/>
  <c r="AE124" i="4" s="1"/>
  <c r="AD124" i="4"/>
  <c r="AC124" i="4"/>
  <c r="AM123" i="4"/>
  <c r="AL123" i="4"/>
  <c r="AK123" i="4"/>
  <c r="AJ123" i="4"/>
  <c r="AI123" i="4"/>
  <c r="AG123" i="4"/>
  <c r="AF123" i="4"/>
  <c r="AE123" i="4" s="1"/>
  <c r="AD123" i="4"/>
  <c r="AC123" i="4"/>
  <c r="AM122" i="4"/>
  <c r="AL122" i="4"/>
  <c r="AK122" i="4"/>
  <c r="AH122" i="4"/>
  <c r="AG122" i="4"/>
  <c r="AF122" i="4"/>
  <c r="AE122" i="4" s="1"/>
  <c r="AD122" i="4"/>
  <c r="AC122" i="4"/>
  <c r="AM121" i="4"/>
  <c r="AL121" i="4"/>
  <c r="AK121" i="4"/>
  <c r="AJ121" i="4"/>
  <c r="AH121" i="4" s="1"/>
  <c r="AI121" i="4"/>
  <c r="AG121" i="4"/>
  <c r="AF121" i="4"/>
  <c r="AD121" i="4"/>
  <c r="AC121" i="4"/>
  <c r="AM120" i="4"/>
  <c r="AL120" i="4"/>
  <c r="AH120" i="4" s="1"/>
  <c r="AK120" i="4"/>
  <c r="AG120" i="4"/>
  <c r="AE120" i="4" s="1"/>
  <c r="AF120" i="4"/>
  <c r="AD120" i="4"/>
  <c r="AC120" i="4"/>
  <c r="AM119" i="4"/>
  <c r="AL119" i="4"/>
  <c r="AK119" i="4"/>
  <c r="AJ119" i="4"/>
  <c r="AH119" i="4" s="1"/>
  <c r="AI119" i="4"/>
  <c r="AG119" i="4"/>
  <c r="AF119" i="4"/>
  <c r="AE119" i="4" s="1"/>
  <c r="AD119" i="4"/>
  <c r="AC119" i="4"/>
  <c r="AM118" i="4"/>
  <c r="AL118" i="4"/>
  <c r="AK118" i="4"/>
  <c r="AJ118" i="4"/>
  <c r="AH118" i="4" s="1"/>
  <c r="AI118" i="4"/>
  <c r="AG118" i="4"/>
  <c r="AF118" i="4"/>
  <c r="AE118" i="4" s="1"/>
  <c r="AD118" i="4"/>
  <c r="AC118" i="4"/>
  <c r="AL117" i="4"/>
  <c r="AH117" i="4" s="1"/>
  <c r="AK117" i="4"/>
  <c r="AG117" i="4"/>
  <c r="AE117" i="4" s="1"/>
  <c r="AD117" i="4"/>
  <c r="AM116" i="4"/>
  <c r="AL116" i="4"/>
  <c r="AK116" i="4"/>
  <c r="AJ116" i="4"/>
  <c r="AH116" i="4" s="1"/>
  <c r="AI116" i="4"/>
  <c r="AF116" i="4"/>
  <c r="AE116" i="4" s="1"/>
  <c r="AD116" i="4"/>
  <c r="AC116" i="4"/>
  <c r="AM115" i="4"/>
  <c r="AL115" i="4"/>
  <c r="AK115" i="4"/>
  <c r="AJ115" i="4"/>
  <c r="AH115" i="4" s="1"/>
  <c r="AI115" i="4"/>
  <c r="AG115" i="4"/>
  <c r="AF115" i="4"/>
  <c r="AE115" i="4" s="1"/>
  <c r="AD115" i="4"/>
  <c r="AC115" i="4"/>
  <c r="AM114" i="4"/>
  <c r="AL114" i="4"/>
  <c r="AK114" i="4"/>
  <c r="AJ114" i="4"/>
  <c r="AI114" i="4"/>
  <c r="AG114" i="4"/>
  <c r="AE114" i="4" s="1"/>
  <c r="AF114" i="4"/>
  <c r="AD114" i="4"/>
  <c r="AC114" i="4"/>
  <c r="AM113" i="4"/>
  <c r="AL113" i="4"/>
  <c r="AH113" i="4" s="1"/>
  <c r="AK113" i="4"/>
  <c r="AG113" i="4"/>
  <c r="AF113" i="4"/>
  <c r="AD113" i="4"/>
  <c r="AC113" i="4"/>
  <c r="AM112" i="4"/>
  <c r="AL112" i="4"/>
  <c r="AK112" i="4"/>
  <c r="AJ112" i="4"/>
  <c r="AI112" i="4"/>
  <c r="AG112" i="4"/>
  <c r="AF112" i="4"/>
  <c r="AE112" i="4" s="1"/>
  <c r="AD112" i="4"/>
  <c r="AC112" i="4"/>
  <c r="AM111" i="4"/>
  <c r="AL111" i="4"/>
  <c r="AK111" i="4"/>
  <c r="AJ111" i="4"/>
  <c r="AH111" i="4" s="1"/>
  <c r="AI111" i="4"/>
  <c r="AG111" i="4"/>
  <c r="AF111" i="4"/>
  <c r="AE111" i="4"/>
  <c r="AD111" i="4"/>
  <c r="AC111" i="4"/>
  <c r="AL110" i="4"/>
  <c r="AH110" i="4" s="1"/>
  <c r="AK110" i="4"/>
  <c r="AG110" i="4"/>
  <c r="AE110" i="4" s="1"/>
  <c r="AD110" i="4"/>
  <c r="AC110" i="4"/>
  <c r="AM109" i="4"/>
  <c r="AL109" i="4"/>
  <c r="AK109" i="4"/>
  <c r="AJ109" i="4"/>
  <c r="AH109" i="4" s="1"/>
  <c r="AI109" i="4"/>
  <c r="AG109" i="4"/>
  <c r="AF109" i="4"/>
  <c r="AE109" i="4" s="1"/>
  <c r="AD109" i="4"/>
  <c r="AC109" i="4"/>
  <c r="AM108" i="4"/>
  <c r="AL108" i="4"/>
  <c r="AK108" i="4"/>
  <c r="AJ108" i="4"/>
  <c r="AI108" i="4"/>
  <c r="AG108" i="4"/>
  <c r="AE108" i="4" s="1"/>
  <c r="AF108" i="4"/>
  <c r="AD108" i="4"/>
  <c r="AC108" i="4"/>
  <c r="AM107" i="4"/>
  <c r="AL107" i="4"/>
  <c r="AK107" i="4"/>
  <c r="AJ107" i="4"/>
  <c r="AI107" i="4"/>
  <c r="AG107" i="4"/>
  <c r="AF107" i="4"/>
  <c r="AD107" i="4"/>
  <c r="AC107" i="4"/>
  <c r="AM106" i="4"/>
  <c r="AL106" i="4"/>
  <c r="AH106" i="4" s="1"/>
  <c r="AK106" i="4"/>
  <c r="AG106" i="4"/>
  <c r="AF106" i="4"/>
  <c r="AE106" i="4" s="1"/>
  <c r="AD106" i="4"/>
  <c r="AC106" i="4"/>
  <c r="AM105" i="4"/>
  <c r="AL105" i="4"/>
  <c r="AK105" i="4"/>
  <c r="AJ105" i="4"/>
  <c r="AI105" i="4"/>
  <c r="AG105" i="4"/>
  <c r="AF105" i="4"/>
  <c r="AE105" i="4"/>
  <c r="AD105" i="4"/>
  <c r="AC105" i="4"/>
  <c r="AM104" i="4"/>
  <c r="AL104" i="4"/>
  <c r="AK104" i="4"/>
  <c r="AJ104" i="4"/>
  <c r="AH104" i="4" s="1"/>
  <c r="AI104" i="4"/>
  <c r="AG104" i="4"/>
  <c r="AF104" i="4"/>
  <c r="AE104" i="4" s="1"/>
  <c r="AD104" i="4"/>
  <c r="AC104" i="4"/>
  <c r="AM103" i="4"/>
  <c r="AL103" i="4"/>
  <c r="AK103" i="4"/>
  <c r="AJ103" i="4"/>
  <c r="AI103" i="4"/>
  <c r="AG103" i="4"/>
  <c r="AE103" i="4" s="1"/>
  <c r="AF103" i="4"/>
  <c r="AD103" i="4"/>
  <c r="AC103" i="4"/>
  <c r="AM102" i="4"/>
  <c r="AL102" i="4"/>
  <c r="AK102" i="4"/>
  <c r="AJ102" i="4"/>
  <c r="AH102" i="4" s="1"/>
  <c r="AI102" i="4"/>
  <c r="AG102" i="4"/>
  <c r="AF102" i="4"/>
  <c r="AD102" i="4"/>
  <c r="AC102" i="4"/>
  <c r="AM101" i="4"/>
  <c r="AL101" i="4"/>
  <c r="AK101" i="4"/>
  <c r="AJ101" i="4"/>
  <c r="AI101" i="4"/>
  <c r="AG101" i="4"/>
  <c r="AE101" i="4" s="1"/>
  <c r="AF101" i="4"/>
  <c r="AD101" i="4"/>
  <c r="AC101" i="4"/>
  <c r="AM100" i="4"/>
  <c r="AL100" i="4"/>
  <c r="AH100" i="4" s="1"/>
  <c r="AK100" i="4"/>
  <c r="AG100" i="4"/>
  <c r="AF100" i="4"/>
  <c r="AD100" i="4"/>
  <c r="AC100" i="4"/>
  <c r="AM99" i="4"/>
  <c r="AL99" i="4"/>
  <c r="AK99" i="4"/>
  <c r="AJ99" i="4"/>
  <c r="AI99" i="4"/>
  <c r="AG99" i="4"/>
  <c r="AF99" i="4"/>
  <c r="AE99" i="4" s="1"/>
  <c r="AD99" i="4"/>
  <c r="AC99" i="4"/>
  <c r="AM98" i="4"/>
  <c r="AL98" i="4"/>
  <c r="AK98" i="4"/>
  <c r="AJ98" i="4"/>
  <c r="AI98" i="4"/>
  <c r="AG98" i="4"/>
  <c r="AF98" i="4"/>
  <c r="AE98" i="4" s="1"/>
  <c r="AD98" i="4"/>
  <c r="AC98" i="4"/>
  <c r="AM97" i="4"/>
  <c r="AL97" i="4"/>
  <c r="AK97" i="4"/>
  <c r="AJ97" i="4"/>
  <c r="AH97" i="4" s="1"/>
  <c r="AI97" i="4"/>
  <c r="AG97" i="4"/>
  <c r="AF97" i="4"/>
  <c r="AD97" i="4"/>
  <c r="AC97" i="4"/>
  <c r="AM96" i="4"/>
  <c r="AL96" i="4"/>
  <c r="AK96" i="4"/>
  <c r="AJ96" i="4"/>
  <c r="AH96" i="4" s="1"/>
  <c r="AI96" i="4"/>
  <c r="AG96" i="4"/>
  <c r="AF96" i="4"/>
  <c r="AE96" i="4" s="1"/>
  <c r="AD96" i="4"/>
  <c r="AC96" i="4"/>
  <c r="AM95" i="4"/>
  <c r="AL95" i="4"/>
  <c r="AK95" i="4"/>
  <c r="AJ95" i="4"/>
  <c r="AI95" i="4"/>
  <c r="AG95" i="4"/>
  <c r="AF95" i="4"/>
  <c r="AE95" i="4" s="1"/>
  <c r="AD95" i="4"/>
  <c r="AC95" i="4"/>
  <c r="AM94" i="4"/>
  <c r="AL94" i="4"/>
  <c r="AK94" i="4"/>
  <c r="AJ94" i="4"/>
  <c r="AH94" i="4" s="1"/>
  <c r="AI94" i="4"/>
  <c r="AG94" i="4"/>
  <c r="AF94" i="4"/>
  <c r="AD94" i="4"/>
  <c r="AC94" i="4"/>
  <c r="AM93" i="4"/>
  <c r="AL93" i="4"/>
  <c r="AK93" i="4"/>
  <c r="AJ93" i="4"/>
  <c r="AI93" i="4"/>
  <c r="AG93" i="4"/>
  <c r="AE93" i="4" s="1"/>
  <c r="AF93" i="4"/>
  <c r="AD93" i="4"/>
  <c r="AC93" i="4"/>
  <c r="AM92" i="4"/>
  <c r="AL92" i="4"/>
  <c r="AH92" i="4" s="1"/>
  <c r="AK92" i="4"/>
  <c r="AJ92" i="4"/>
  <c r="AI92" i="4"/>
  <c r="AG92" i="4"/>
  <c r="AF92" i="4"/>
  <c r="AE92" i="4" s="1"/>
  <c r="AD92" i="4"/>
  <c r="AC92" i="4"/>
  <c r="AM91" i="4"/>
  <c r="AL91" i="4"/>
  <c r="AK91" i="4"/>
  <c r="AJ91" i="4"/>
  <c r="AH91" i="4" s="1"/>
  <c r="AI91" i="4"/>
  <c r="AG91" i="4"/>
  <c r="AF91" i="4"/>
  <c r="AD91" i="4"/>
  <c r="AC91" i="4"/>
  <c r="AM90" i="4"/>
  <c r="AL90" i="4"/>
  <c r="AK90" i="4"/>
  <c r="AJ90" i="4"/>
  <c r="AH90" i="4" s="1"/>
  <c r="AI90" i="4"/>
  <c r="AG90" i="4"/>
  <c r="AF90" i="4"/>
  <c r="AE90" i="4" s="1"/>
  <c r="AD90" i="4"/>
  <c r="AC90" i="4"/>
  <c r="AM89" i="4"/>
  <c r="AL89" i="4"/>
  <c r="AK89" i="4"/>
  <c r="AJ89" i="4"/>
  <c r="AI89" i="4"/>
  <c r="AH89" i="4"/>
  <c r="AG89" i="4"/>
  <c r="AF89" i="4"/>
  <c r="AE89" i="4" s="1"/>
  <c r="AD89" i="4"/>
  <c r="AC89" i="4"/>
  <c r="AM88" i="4"/>
  <c r="AL88" i="4"/>
  <c r="AK88" i="4"/>
  <c r="AJ88" i="4"/>
  <c r="AI88" i="4"/>
  <c r="AG88" i="4"/>
  <c r="AE88" i="4" s="1"/>
  <c r="AF88" i="4"/>
  <c r="AD88" i="4"/>
  <c r="AC88" i="4"/>
  <c r="AM87" i="4"/>
  <c r="AL87" i="4"/>
  <c r="AK87" i="4"/>
  <c r="AJ87" i="4"/>
  <c r="AI87" i="4"/>
  <c r="AG87" i="4"/>
  <c r="AF87" i="4"/>
  <c r="AD87" i="4"/>
  <c r="AC87" i="4"/>
  <c r="AM86" i="4"/>
  <c r="AL86" i="4"/>
  <c r="AH86" i="4" s="1"/>
  <c r="AK86" i="4"/>
  <c r="AJ86" i="4"/>
  <c r="AI86" i="4"/>
  <c r="AG86" i="4"/>
  <c r="AE86" i="4" s="1"/>
  <c r="AF86" i="4"/>
  <c r="AD86" i="4"/>
  <c r="AC86" i="4"/>
  <c r="AM85" i="4"/>
  <c r="AL85" i="4"/>
  <c r="AK85" i="4"/>
  <c r="AJ85" i="4"/>
  <c r="AI85" i="4"/>
  <c r="AG85" i="4"/>
  <c r="AF85" i="4"/>
  <c r="AD85" i="4"/>
  <c r="AC85" i="4"/>
  <c r="AM84" i="4"/>
  <c r="AL84" i="4"/>
  <c r="AK84" i="4"/>
  <c r="AJ84" i="4"/>
  <c r="AH84" i="4" s="1"/>
  <c r="AI84" i="4"/>
  <c r="AG84" i="4"/>
  <c r="AF84" i="4"/>
  <c r="AE84" i="4" s="1"/>
  <c r="AD84" i="4"/>
  <c r="AC84" i="4"/>
  <c r="AM83" i="4"/>
  <c r="AL83" i="4"/>
  <c r="AK83" i="4"/>
  <c r="AJ83" i="4"/>
  <c r="AI83" i="4"/>
  <c r="AG83" i="4"/>
  <c r="AF83" i="4"/>
  <c r="AE83" i="4" s="1"/>
  <c r="AD83" i="4"/>
  <c r="AC83" i="4"/>
  <c r="AM82" i="4"/>
  <c r="AL82" i="4"/>
  <c r="AK82" i="4"/>
  <c r="AJ82" i="4"/>
  <c r="AH82" i="4" s="1"/>
  <c r="AI82" i="4"/>
  <c r="AG82" i="4"/>
  <c r="AF82" i="4"/>
  <c r="AE82" i="4" s="1"/>
  <c r="AD82" i="4"/>
  <c r="AC82" i="4"/>
  <c r="AM81" i="4"/>
  <c r="AL81" i="4"/>
  <c r="AK81" i="4"/>
  <c r="AJ81" i="4"/>
  <c r="AI81" i="4"/>
  <c r="AG81" i="4"/>
  <c r="AE81" i="4" s="1"/>
  <c r="AF81" i="4"/>
  <c r="AD81" i="4"/>
  <c r="AC81" i="4"/>
  <c r="AM80" i="4"/>
  <c r="AL80" i="4"/>
  <c r="AK80" i="4"/>
  <c r="AJ80" i="4"/>
  <c r="AI80" i="4"/>
  <c r="AH80" i="4"/>
  <c r="AG80" i="4"/>
  <c r="AF80" i="4"/>
  <c r="AD80" i="4"/>
  <c r="AC80" i="4"/>
  <c r="AM79" i="4"/>
  <c r="AL79" i="4"/>
  <c r="AK79" i="4"/>
  <c r="AJ79" i="4"/>
  <c r="AH79" i="4" s="1"/>
  <c r="AI79" i="4"/>
  <c r="AG79" i="4"/>
  <c r="AF79" i="4"/>
  <c r="AD79" i="4"/>
  <c r="AC79" i="4"/>
  <c r="AM78" i="4"/>
  <c r="AL78" i="4"/>
  <c r="AK78" i="4"/>
  <c r="AJ78" i="4"/>
  <c r="AI78" i="4"/>
  <c r="AG78" i="4"/>
  <c r="AF78" i="4"/>
  <c r="AD78" i="4"/>
  <c r="AC78" i="4"/>
  <c r="AM77" i="4"/>
  <c r="AL77" i="4"/>
  <c r="AH77" i="4" s="1"/>
  <c r="AK77" i="4"/>
  <c r="AJ77" i="4"/>
  <c r="AI77" i="4"/>
  <c r="AG77" i="4"/>
  <c r="AF77" i="4"/>
  <c r="AE77" i="4"/>
  <c r="AD77" i="4"/>
  <c r="AC77" i="4"/>
  <c r="AM76" i="4"/>
  <c r="AL76" i="4"/>
  <c r="AK76" i="4"/>
  <c r="AJ76" i="4"/>
  <c r="AI76" i="4"/>
  <c r="AG76" i="4"/>
  <c r="AE76" i="4" s="1"/>
  <c r="AF76" i="4"/>
  <c r="AD76" i="4"/>
  <c r="AC76" i="4"/>
  <c r="AM75" i="4"/>
  <c r="AL75" i="4"/>
  <c r="AK75" i="4"/>
  <c r="AJ75" i="4"/>
  <c r="AH75" i="4" s="1"/>
  <c r="AI75" i="4"/>
  <c r="AG75" i="4"/>
  <c r="AF75" i="4"/>
  <c r="AD75" i="4"/>
  <c r="AC75" i="4"/>
  <c r="AM74" i="4"/>
  <c r="AL74" i="4"/>
  <c r="AK74" i="4"/>
  <c r="AJ74" i="4"/>
  <c r="AI74" i="4"/>
  <c r="AG74" i="4"/>
  <c r="AF74" i="4"/>
  <c r="AE74" i="4" s="1"/>
  <c r="AD74" i="4"/>
  <c r="AC74" i="4"/>
  <c r="AM73" i="4"/>
  <c r="AL73" i="4"/>
  <c r="AK73" i="4"/>
  <c r="AJ73" i="4"/>
  <c r="AI73" i="4"/>
  <c r="AG73" i="4"/>
  <c r="AF73" i="4"/>
  <c r="AD73" i="4"/>
  <c r="AC73" i="4"/>
  <c r="AM72" i="4"/>
  <c r="AL72" i="4"/>
  <c r="AK72" i="4"/>
  <c r="AJ72" i="4"/>
  <c r="AI72" i="4"/>
  <c r="AG72" i="4"/>
  <c r="AF72" i="4"/>
  <c r="AD72" i="4"/>
  <c r="AC72" i="4"/>
  <c r="AM71" i="4"/>
  <c r="AL71" i="4"/>
  <c r="AK71" i="4"/>
  <c r="AJ71" i="4"/>
  <c r="AI71" i="4"/>
  <c r="AG71" i="4"/>
  <c r="AF71" i="4"/>
  <c r="AE71" i="4"/>
  <c r="AD71" i="4"/>
  <c r="AC71" i="4"/>
  <c r="AM70" i="4"/>
  <c r="AL70" i="4"/>
  <c r="AK70" i="4"/>
  <c r="AH70" i="4"/>
  <c r="AG70" i="4"/>
  <c r="AF70" i="4"/>
  <c r="AD70" i="4"/>
  <c r="AC70" i="4"/>
  <c r="AM69" i="4"/>
  <c r="AL69" i="4"/>
  <c r="AH69" i="4" s="1"/>
  <c r="AK69" i="4"/>
  <c r="AG69" i="4"/>
  <c r="AF69" i="4"/>
  <c r="AE69" i="4" s="1"/>
  <c r="AD69" i="4"/>
  <c r="AC69" i="4"/>
  <c r="AM68" i="4"/>
  <c r="AL68" i="4"/>
  <c r="AK68" i="4"/>
  <c r="AJ68" i="4"/>
  <c r="AI68" i="4"/>
  <c r="AF68" i="4"/>
  <c r="AE68" i="4" s="1"/>
  <c r="AD68" i="4"/>
  <c r="AC68" i="4"/>
  <c r="AM67" i="4"/>
  <c r="AL67" i="4"/>
  <c r="AK67" i="4"/>
  <c r="AJ67" i="4"/>
  <c r="AH67" i="4" s="1"/>
  <c r="AI67" i="4"/>
  <c r="AF67" i="4"/>
  <c r="AE67" i="4" s="1"/>
  <c r="AD67" i="4"/>
  <c r="AC67" i="4"/>
  <c r="AM66" i="4"/>
  <c r="AL66" i="4"/>
  <c r="AK66" i="4"/>
  <c r="AJ66" i="4"/>
  <c r="AH66" i="4" s="1"/>
  <c r="AI66" i="4"/>
  <c r="AG66" i="4"/>
  <c r="AF66" i="4"/>
  <c r="AD66" i="4"/>
  <c r="AC66" i="4"/>
  <c r="AM65" i="4"/>
  <c r="AL65" i="4"/>
  <c r="AK65" i="4"/>
  <c r="AJ65" i="4"/>
  <c r="AH65" i="4" s="1"/>
  <c r="AI65" i="4"/>
  <c r="AG65" i="4"/>
  <c r="AF65" i="4"/>
  <c r="AE65" i="4" s="1"/>
  <c r="AD65" i="4"/>
  <c r="AC65" i="4"/>
  <c r="AM64" i="4"/>
  <c r="AL64" i="4"/>
  <c r="AK64" i="4"/>
  <c r="AJ64" i="4"/>
  <c r="AI64" i="4"/>
  <c r="AG64" i="4"/>
  <c r="AF64" i="4"/>
  <c r="AD64" i="4"/>
  <c r="AC64" i="4"/>
  <c r="AM63" i="4"/>
  <c r="AL63" i="4"/>
  <c r="AK63" i="4"/>
  <c r="AJ63" i="4"/>
  <c r="AH63" i="4" s="1"/>
  <c r="AI63" i="4"/>
  <c r="AG63" i="4"/>
  <c r="AE63" i="4" s="1"/>
  <c r="AF63" i="4"/>
  <c r="AD63" i="4"/>
  <c r="AC63" i="4"/>
  <c r="AM62" i="4"/>
  <c r="AL62" i="4"/>
  <c r="AK62" i="4"/>
  <c r="AJ62" i="4"/>
  <c r="AI62" i="4"/>
  <c r="AH62" i="4"/>
  <c r="AG62" i="4"/>
  <c r="AF62" i="4"/>
  <c r="AD62" i="4"/>
  <c r="AC62" i="4"/>
  <c r="AM61" i="4"/>
  <c r="AL61" i="4"/>
  <c r="AK61" i="4"/>
  <c r="AJ61" i="4"/>
  <c r="AI61" i="4"/>
  <c r="AG61" i="4"/>
  <c r="AF61" i="4"/>
  <c r="AD61" i="4"/>
  <c r="AC61" i="4"/>
  <c r="AM60" i="4"/>
  <c r="AL60" i="4"/>
  <c r="AK60" i="4"/>
  <c r="AJ60" i="4"/>
  <c r="AI60" i="4"/>
  <c r="AG60" i="4"/>
  <c r="AF60" i="4"/>
  <c r="AD60" i="4"/>
  <c r="AC60" i="4"/>
  <c r="AM59" i="4"/>
  <c r="AL59" i="4"/>
  <c r="AK59" i="4"/>
  <c r="AJ59" i="4"/>
  <c r="AG59" i="4"/>
  <c r="AE59" i="4" s="1"/>
  <c r="AF59" i="4"/>
  <c r="AD59" i="4"/>
  <c r="AC59" i="4"/>
  <c r="AM58" i="4"/>
  <c r="AL58" i="4"/>
  <c r="AK58" i="4"/>
  <c r="AJ58" i="4"/>
  <c r="AH58" i="4" s="1"/>
  <c r="AI58" i="4"/>
  <c r="AG58" i="4"/>
  <c r="AF58" i="4"/>
  <c r="AE58" i="4" s="1"/>
  <c r="AD58" i="4"/>
  <c r="AC58" i="4"/>
  <c r="AM57" i="4"/>
  <c r="AL57" i="4"/>
  <c r="AK57" i="4"/>
  <c r="AJ57" i="4"/>
  <c r="AH57" i="4" s="1"/>
  <c r="AG57" i="4"/>
  <c r="AF57" i="4"/>
  <c r="AD57" i="4"/>
  <c r="AC57" i="4"/>
  <c r="AM56" i="4"/>
  <c r="AL56" i="4"/>
  <c r="AK56" i="4"/>
  <c r="AJ56" i="4"/>
  <c r="AH56" i="4" s="1"/>
  <c r="AI56" i="4"/>
  <c r="AG56" i="4"/>
  <c r="AF56" i="4"/>
  <c r="AE56" i="4" s="1"/>
  <c r="AD56" i="4"/>
  <c r="AC56" i="4"/>
  <c r="AM55" i="4"/>
  <c r="AL55" i="4"/>
  <c r="AK55" i="4"/>
  <c r="AJ55" i="4"/>
  <c r="AH55" i="4" s="1"/>
  <c r="AI55" i="4"/>
  <c r="AG55" i="4"/>
  <c r="AF55" i="4"/>
  <c r="AE55" i="4" s="1"/>
  <c r="AD55" i="4"/>
  <c r="AC55" i="4"/>
  <c r="AM54" i="4"/>
  <c r="AL54" i="4"/>
  <c r="AK54" i="4"/>
  <c r="AJ54" i="4"/>
  <c r="AI54" i="4"/>
  <c r="AG54" i="4"/>
  <c r="AF54" i="4"/>
  <c r="AE54" i="4" s="1"/>
  <c r="AD54" i="4"/>
  <c r="AC54" i="4"/>
  <c r="AM53" i="4"/>
  <c r="AL53" i="4"/>
  <c r="AK53" i="4"/>
  <c r="AJ53" i="4"/>
  <c r="AH53" i="4" s="1"/>
  <c r="AI53" i="4"/>
  <c r="AG53" i="4"/>
  <c r="AF53" i="4"/>
  <c r="AD53" i="4"/>
  <c r="AC53" i="4"/>
  <c r="AM52" i="4"/>
  <c r="AL52" i="4"/>
  <c r="AH52" i="4" s="1"/>
  <c r="AK52" i="4"/>
  <c r="AJ52" i="4"/>
  <c r="AI52" i="4"/>
  <c r="AG52" i="4"/>
  <c r="AF52" i="4"/>
  <c r="AD52" i="4"/>
  <c r="AC52" i="4"/>
  <c r="AM51" i="4"/>
  <c r="AL51" i="4"/>
  <c r="AK51" i="4"/>
  <c r="AJ51" i="4"/>
  <c r="AH51" i="4" s="1"/>
  <c r="AI51" i="4"/>
  <c r="AG51" i="4"/>
  <c r="AE51" i="4" s="1"/>
  <c r="AF51" i="4"/>
  <c r="AD51" i="4"/>
  <c r="AC51" i="4"/>
  <c r="AM50" i="4"/>
  <c r="AL50" i="4"/>
  <c r="AK50" i="4"/>
  <c r="AJ50" i="4"/>
  <c r="AH50" i="4" s="1"/>
  <c r="AI50" i="4"/>
  <c r="AG50" i="4"/>
  <c r="AF50" i="4"/>
  <c r="AE50" i="4" s="1"/>
  <c r="AD50" i="4"/>
  <c r="AC50" i="4"/>
  <c r="AM49" i="4"/>
  <c r="AL49" i="4"/>
  <c r="AH49" i="4" s="1"/>
  <c r="AK49" i="4"/>
  <c r="AJ49" i="4"/>
  <c r="AI49" i="4"/>
  <c r="AG49" i="4"/>
  <c r="AF49" i="4"/>
  <c r="AE49" i="4" s="1"/>
  <c r="AD49" i="4"/>
  <c r="AC49" i="4"/>
  <c r="AM48" i="4"/>
  <c r="AL48" i="4"/>
  <c r="AK48" i="4"/>
  <c r="AJ48" i="4"/>
  <c r="AH48" i="4" s="1"/>
  <c r="AI48" i="4"/>
  <c r="AG48" i="4"/>
  <c r="AF48" i="4"/>
  <c r="AD48" i="4"/>
  <c r="AC48" i="4"/>
  <c r="AM47" i="4"/>
  <c r="AL47" i="4"/>
  <c r="AK47" i="4"/>
  <c r="AJ47" i="4"/>
  <c r="AG47" i="4"/>
  <c r="AF47" i="4"/>
  <c r="AE47" i="4" s="1"/>
  <c r="AD47" i="4"/>
  <c r="AC47" i="4"/>
  <c r="AM46" i="4"/>
  <c r="AL46" i="4"/>
  <c r="AK46" i="4"/>
  <c r="AJ46" i="4"/>
  <c r="AI46" i="4"/>
  <c r="AG46" i="4"/>
  <c r="AE46" i="4" s="1"/>
  <c r="AF46" i="4"/>
  <c r="AD46" i="4"/>
  <c r="AC46" i="4"/>
  <c r="AM45" i="4"/>
  <c r="AL45" i="4"/>
  <c r="AK45" i="4"/>
  <c r="AJ45" i="4"/>
  <c r="AH45" i="4" s="1"/>
  <c r="AI45" i="4"/>
  <c r="AG45" i="4"/>
  <c r="AF45" i="4"/>
  <c r="AD45" i="4"/>
  <c r="AC45" i="4"/>
  <c r="AM44" i="4"/>
  <c r="AL44" i="4"/>
  <c r="AK44" i="4"/>
  <c r="AJ44" i="4"/>
  <c r="AH44" i="4" s="1"/>
  <c r="AI44" i="4"/>
  <c r="AG44" i="4"/>
  <c r="AF44" i="4"/>
  <c r="AE44" i="4" s="1"/>
  <c r="AD44" i="4"/>
  <c r="AC44" i="4"/>
  <c r="AM43" i="4"/>
  <c r="AL43" i="4"/>
  <c r="AK43" i="4"/>
  <c r="AJ43" i="4"/>
  <c r="AI43" i="4"/>
  <c r="AG43" i="4"/>
  <c r="AF43" i="4"/>
  <c r="AE43" i="4" s="1"/>
  <c r="AD43" i="4"/>
  <c r="AC43" i="4"/>
  <c r="AM42" i="4"/>
  <c r="AL42" i="4"/>
  <c r="AK42" i="4"/>
  <c r="AJ42" i="4"/>
  <c r="AI42" i="4"/>
  <c r="AG42" i="4"/>
  <c r="AE42" i="4" s="1"/>
  <c r="AF42" i="4"/>
  <c r="AD42" i="4"/>
  <c r="AC42" i="4"/>
  <c r="AM41" i="4"/>
  <c r="AL41" i="4"/>
  <c r="AK41" i="4"/>
  <c r="AJ41" i="4"/>
  <c r="AI41" i="4"/>
  <c r="AH41" i="4"/>
  <c r="AG41" i="4"/>
  <c r="AF41" i="4"/>
  <c r="AE41" i="4" s="1"/>
  <c r="AD41" i="4"/>
  <c r="AC41" i="4"/>
  <c r="AM40" i="4"/>
  <c r="AL40" i="4"/>
  <c r="AK40" i="4"/>
  <c r="AJ40" i="4"/>
  <c r="AI40" i="4"/>
  <c r="AG40" i="4"/>
  <c r="AF40" i="4"/>
  <c r="AD40" i="4"/>
  <c r="AC40" i="4"/>
  <c r="AM39" i="4"/>
  <c r="AL39" i="4"/>
  <c r="AK39" i="4"/>
  <c r="AJ39" i="4"/>
  <c r="AH39" i="4" s="1"/>
  <c r="AI39" i="4"/>
  <c r="AG39" i="4"/>
  <c r="AF39" i="4"/>
  <c r="AE39" i="4" s="1"/>
  <c r="AD39" i="4"/>
  <c r="AC39" i="4"/>
  <c r="AM38" i="4"/>
  <c r="AL38" i="4"/>
  <c r="AK38" i="4"/>
  <c r="AJ38" i="4"/>
  <c r="AH38" i="4" s="1"/>
  <c r="AI38" i="4"/>
  <c r="AG38" i="4"/>
  <c r="AF38" i="4"/>
  <c r="AE38" i="4" s="1"/>
  <c r="AD38" i="4"/>
  <c r="AC38" i="4"/>
  <c r="AM37" i="4"/>
  <c r="AL37" i="4"/>
  <c r="AK37" i="4"/>
  <c r="AJ37" i="4"/>
  <c r="AH37" i="4" s="1"/>
  <c r="AI37" i="4"/>
  <c r="AG37" i="4"/>
  <c r="AE37" i="4" s="1"/>
  <c r="AF37" i="4"/>
  <c r="AD37" i="4"/>
  <c r="AC37" i="4"/>
  <c r="AL36" i="4"/>
  <c r="AH36" i="4" s="1"/>
  <c r="AK36" i="4"/>
  <c r="AG36" i="4"/>
  <c r="AE36" i="4"/>
  <c r="AD36" i="4"/>
  <c r="AC36" i="4"/>
  <c r="AM35" i="4"/>
  <c r="AL35" i="4"/>
  <c r="AK35" i="4"/>
  <c r="AJ35" i="4"/>
  <c r="AI35" i="4"/>
  <c r="AG35" i="4"/>
  <c r="AE35" i="4" s="1"/>
  <c r="AF35" i="4"/>
  <c r="AD35" i="4"/>
  <c r="AC35" i="4"/>
  <c r="AM34" i="4"/>
  <c r="AL34" i="4"/>
  <c r="AK34" i="4"/>
  <c r="AJ34" i="4"/>
  <c r="AH34" i="4" s="1"/>
  <c r="AI34" i="4"/>
  <c r="AG34" i="4"/>
  <c r="AF34" i="4"/>
  <c r="AD34" i="4"/>
  <c r="AC34" i="4"/>
  <c r="AM33" i="4"/>
  <c r="AL33" i="4"/>
  <c r="AK33" i="4"/>
  <c r="AJ33" i="4"/>
  <c r="AI33" i="4"/>
  <c r="AH33" i="4"/>
  <c r="AG33" i="4"/>
  <c r="AF33" i="4"/>
  <c r="AD33" i="4"/>
  <c r="AC33" i="4"/>
  <c r="AM32" i="4"/>
  <c r="AL32" i="4"/>
  <c r="AK32" i="4"/>
  <c r="AJ32" i="4"/>
  <c r="AH32" i="4" s="1"/>
  <c r="AI32" i="4"/>
  <c r="AG32" i="4"/>
  <c r="AE32" i="4" s="1"/>
  <c r="AF32" i="4"/>
  <c r="AD32" i="4"/>
  <c r="AC32" i="4"/>
  <c r="AM31" i="4"/>
  <c r="AL31" i="4"/>
  <c r="AK31" i="4"/>
  <c r="AJ31" i="4"/>
  <c r="AH31" i="4" s="1"/>
  <c r="AG31" i="4"/>
  <c r="AF31" i="4"/>
  <c r="AE31" i="4"/>
  <c r="AD31" i="4"/>
  <c r="AC31" i="4"/>
  <c r="AM30" i="4"/>
  <c r="AL30" i="4"/>
  <c r="AK30" i="4"/>
  <c r="AJ30" i="4"/>
  <c r="AI30" i="4"/>
  <c r="AG30" i="4"/>
  <c r="AE30" i="4" s="1"/>
  <c r="AF30" i="4"/>
  <c r="AD30" i="4"/>
  <c r="AC30" i="4"/>
  <c r="AM29" i="4"/>
  <c r="AL29" i="4"/>
  <c r="AK29" i="4"/>
  <c r="AJ29" i="4"/>
  <c r="AH29" i="4" s="1"/>
  <c r="AI29" i="4"/>
  <c r="AG29" i="4"/>
  <c r="AF29" i="4"/>
  <c r="AD29" i="4"/>
  <c r="AC29" i="4"/>
  <c r="AM28" i="4"/>
  <c r="AL28" i="4"/>
  <c r="AK28" i="4"/>
  <c r="AJ28" i="4"/>
  <c r="AI28" i="4"/>
  <c r="AG28" i="4"/>
  <c r="AF28" i="4"/>
  <c r="AE28" i="4"/>
  <c r="AD28" i="4"/>
  <c r="AC28" i="4"/>
  <c r="AM27" i="4"/>
  <c r="AL27" i="4"/>
  <c r="AH27" i="4" s="1"/>
  <c r="AK27" i="4"/>
  <c r="AJ27" i="4"/>
  <c r="AI27" i="4"/>
  <c r="AG27" i="4"/>
  <c r="AF27" i="4"/>
  <c r="AD27" i="4"/>
  <c r="AC27" i="4"/>
  <c r="AM26" i="4"/>
  <c r="AL26" i="4"/>
  <c r="AK26" i="4"/>
  <c r="AJ26" i="4"/>
  <c r="AH26" i="4" s="1"/>
  <c r="AI26" i="4"/>
  <c r="AG26" i="4"/>
  <c r="AF26" i="4"/>
  <c r="AE26" i="4" s="1"/>
  <c r="AD26" i="4"/>
  <c r="AC26" i="4"/>
  <c r="AM25" i="4"/>
  <c r="AL25" i="4"/>
  <c r="AK25" i="4"/>
  <c r="AJ25" i="4"/>
  <c r="AH25" i="4" s="1"/>
  <c r="AI25" i="4"/>
  <c r="AG25" i="4"/>
  <c r="AF25" i="4"/>
  <c r="AE25" i="4" s="1"/>
  <c r="AD25" i="4"/>
  <c r="AC25" i="4"/>
  <c r="AM24" i="4"/>
  <c r="AL24" i="4"/>
  <c r="AK24" i="4"/>
  <c r="AJ24" i="4"/>
  <c r="AH24" i="4" s="1"/>
  <c r="AI24" i="4"/>
  <c r="AG24" i="4"/>
  <c r="AF24" i="4"/>
  <c r="AE24" i="4" s="1"/>
  <c r="AD24" i="4"/>
  <c r="AC24" i="4"/>
  <c r="AM23" i="4"/>
  <c r="AL23" i="4"/>
  <c r="AK23" i="4"/>
  <c r="AJ23" i="4"/>
  <c r="AH23" i="4" s="1"/>
  <c r="AI23" i="4"/>
  <c r="AG23" i="4"/>
  <c r="AF23" i="4"/>
  <c r="AD23" i="4"/>
  <c r="AC23" i="4"/>
  <c r="AM22" i="4"/>
  <c r="AL22" i="4"/>
  <c r="AH22" i="4" s="1"/>
  <c r="AK22" i="4"/>
  <c r="AJ22" i="4"/>
  <c r="AI22" i="4"/>
  <c r="AG22" i="4"/>
  <c r="AF22" i="4"/>
  <c r="AE22" i="4" s="1"/>
  <c r="AD22" i="4"/>
  <c r="AC22" i="4"/>
  <c r="AM21" i="4"/>
  <c r="AL21" i="4"/>
  <c r="AK21" i="4"/>
  <c r="AJ21" i="4"/>
  <c r="AH21" i="4" s="1"/>
  <c r="AI21" i="4"/>
  <c r="AG21" i="4"/>
  <c r="AF21" i="4"/>
  <c r="AE21" i="4"/>
  <c r="AD21" i="4"/>
  <c r="AC21" i="4"/>
  <c r="AM20" i="4"/>
  <c r="AL20" i="4"/>
  <c r="AK20" i="4"/>
  <c r="AJ20" i="4"/>
  <c r="AI20" i="4"/>
  <c r="AG20" i="4"/>
  <c r="AF20" i="4"/>
  <c r="AD20" i="4"/>
  <c r="AC20" i="4"/>
  <c r="AM19" i="4"/>
  <c r="AL19" i="4"/>
  <c r="AK19" i="4"/>
  <c r="AJ19" i="4"/>
  <c r="AI19" i="4"/>
  <c r="AH19" i="4"/>
  <c r="AG19" i="4"/>
  <c r="AF19" i="4"/>
  <c r="AE19" i="4"/>
  <c r="AD19" i="4"/>
  <c r="AC19" i="4"/>
  <c r="AM18" i="4"/>
  <c r="AL18" i="4"/>
  <c r="AK18" i="4"/>
  <c r="AJ18" i="4"/>
  <c r="AH18" i="4" s="1"/>
  <c r="AI18" i="4"/>
  <c r="AG18" i="4"/>
  <c r="AF18" i="4"/>
  <c r="AD18" i="4"/>
  <c r="AC18" i="4"/>
  <c r="AM17" i="4"/>
  <c r="AL17" i="4"/>
  <c r="AK17" i="4"/>
  <c r="AJ17" i="4"/>
  <c r="AI17" i="4"/>
  <c r="AG17" i="4"/>
  <c r="AF17" i="4"/>
  <c r="AE17" i="4" s="1"/>
  <c r="AD17" i="4"/>
  <c r="AC17" i="4"/>
  <c r="AM16" i="4"/>
  <c r="AL16" i="4"/>
  <c r="AK16" i="4"/>
  <c r="AJ16" i="4"/>
  <c r="AI16" i="4"/>
  <c r="AG16" i="4"/>
  <c r="AF16" i="4"/>
  <c r="AE16" i="4"/>
  <c r="AD16" i="4"/>
  <c r="AC16" i="4"/>
  <c r="AM15" i="4"/>
  <c r="AL15" i="4"/>
  <c r="AH15" i="4" s="1"/>
  <c r="AK15" i="4"/>
  <c r="AJ15" i="4"/>
  <c r="AI15" i="4"/>
  <c r="AG15" i="4"/>
  <c r="AE15" i="4" s="1"/>
  <c r="AF15" i="4"/>
  <c r="AD15" i="4"/>
  <c r="AC15" i="4"/>
  <c r="AM14" i="4"/>
  <c r="AL14" i="4"/>
  <c r="AK14" i="4"/>
  <c r="AJ14" i="4"/>
  <c r="AH14" i="4" s="1"/>
  <c r="AI14" i="4"/>
  <c r="AG14" i="4"/>
  <c r="AF14" i="4"/>
  <c r="AD14" i="4"/>
  <c r="AC14" i="4"/>
  <c r="AM13" i="4"/>
  <c r="AL13" i="4"/>
  <c r="AK13" i="4"/>
  <c r="AJ13" i="4"/>
  <c r="AH13" i="4" s="1"/>
  <c r="AI13" i="4"/>
  <c r="AG13" i="4"/>
  <c r="AF13" i="4"/>
  <c r="AE13" i="4"/>
  <c r="AD13" i="4"/>
  <c r="AC13" i="4"/>
  <c r="AM12" i="4"/>
  <c r="AL12" i="4"/>
  <c r="AH12" i="4" s="1"/>
  <c r="AK12" i="4"/>
  <c r="AJ12" i="4"/>
  <c r="AI12" i="4"/>
  <c r="AG12" i="4"/>
  <c r="AF12" i="4"/>
  <c r="AE12" i="4"/>
  <c r="AD12" i="4"/>
  <c r="AC12" i="4"/>
  <c r="AM11" i="4"/>
  <c r="AL11" i="4"/>
  <c r="AK11" i="4"/>
  <c r="AJ11" i="4"/>
  <c r="AH11" i="4" s="1"/>
  <c r="AI11" i="4"/>
  <c r="AG11" i="4"/>
  <c r="AE11" i="4" s="1"/>
  <c r="AF11" i="4"/>
  <c r="AD11" i="4"/>
  <c r="AC11" i="4"/>
  <c r="AM10" i="4"/>
  <c r="AL10" i="4"/>
  <c r="AH10" i="4" s="1"/>
  <c r="AK10" i="4"/>
  <c r="AJ10" i="4"/>
  <c r="AI10" i="4"/>
  <c r="AG10" i="4"/>
  <c r="AF10" i="4"/>
  <c r="AD10" i="4"/>
  <c r="AC10" i="4"/>
  <c r="AM9" i="4"/>
  <c r="AL9" i="4"/>
  <c r="AK9" i="4"/>
  <c r="AJ9" i="4"/>
  <c r="AH9" i="4" s="1"/>
  <c r="AI9" i="4"/>
  <c r="AG9" i="4"/>
  <c r="AF9" i="4"/>
  <c r="AE9" i="4"/>
  <c r="AD9" i="4"/>
  <c r="AC9" i="4"/>
  <c r="AM8" i="4"/>
  <c r="AL8" i="4"/>
  <c r="AK8" i="4"/>
  <c r="AJ8" i="4"/>
  <c r="AH8" i="4" s="1"/>
  <c r="AI8" i="4"/>
  <c r="AG8" i="4"/>
  <c r="AF8" i="4"/>
  <c r="AE8" i="4" s="1"/>
  <c r="AD8" i="4"/>
  <c r="AC8" i="4"/>
  <c r="AM7" i="4"/>
  <c r="AL7" i="4"/>
  <c r="AK7" i="4"/>
  <c r="AJ7" i="4"/>
  <c r="AI7" i="4"/>
  <c r="AH7" i="4"/>
  <c r="AG7" i="4"/>
  <c r="AF7" i="4"/>
  <c r="AE7" i="4"/>
  <c r="AD7" i="4"/>
  <c r="AC7" i="4"/>
  <c r="AM6" i="4"/>
  <c r="AL6" i="4"/>
  <c r="AK6" i="4"/>
  <c r="AJ6" i="4"/>
  <c r="AI6" i="4"/>
  <c r="AG6" i="4"/>
  <c r="AF6" i="4"/>
  <c r="AD6" i="4"/>
  <c r="AC6" i="4"/>
  <c r="AM5" i="4"/>
  <c r="AL5" i="4"/>
  <c r="AK5" i="4"/>
  <c r="AJ5" i="4"/>
  <c r="AI5" i="4"/>
  <c r="AG5" i="4"/>
  <c r="AF5" i="4"/>
  <c r="AD5" i="4"/>
  <c r="AC5" i="4"/>
  <c r="AM4" i="4"/>
  <c r="AL4" i="4"/>
  <c r="AK4" i="4"/>
  <c r="AJ4" i="4"/>
  <c r="AI4" i="4"/>
  <c r="AG4" i="4"/>
  <c r="AF4" i="4"/>
  <c r="AE4" i="4"/>
  <c r="AD4" i="4"/>
  <c r="AC4" i="4"/>
  <c r="AM3" i="4"/>
  <c r="AL3" i="4"/>
  <c r="AK3" i="4"/>
  <c r="AJ3" i="4"/>
  <c r="AI3" i="4"/>
  <c r="AG3" i="4"/>
  <c r="AF3" i="4"/>
  <c r="AD3" i="4"/>
  <c r="AC3" i="4"/>
  <c r="AH42" i="4" l="1"/>
  <c r="AE62" i="4"/>
  <c r="AE70" i="4"/>
  <c r="AH71" i="4"/>
  <c r="AE8" i="5"/>
  <c r="AH9" i="5"/>
  <c r="AH11" i="5"/>
  <c r="AE3" i="6"/>
  <c r="AE14" i="6"/>
  <c r="AE18" i="4"/>
  <c r="AE45" i="4"/>
  <c r="AE66" i="4"/>
  <c r="AE79" i="4"/>
  <c r="AH85" i="4"/>
  <c r="AH59" i="4"/>
  <c r="AE97" i="4"/>
  <c r="AH123" i="4"/>
  <c r="AH137" i="4"/>
  <c r="AE27" i="4"/>
  <c r="AE40" i="4"/>
  <c r="AH46" i="4"/>
  <c r="AE78" i="4"/>
  <c r="AE87" i="4"/>
  <c r="AH88" i="4"/>
  <c r="AH93" i="4"/>
  <c r="AH101" i="4"/>
  <c r="AE131" i="4"/>
  <c r="AE4" i="5"/>
  <c r="AH8" i="5"/>
  <c r="AH14" i="6"/>
  <c r="AE6" i="4"/>
  <c r="AE61" i="4"/>
  <c r="AE73" i="4"/>
  <c r="AH98" i="4"/>
  <c r="AH17" i="4"/>
  <c r="AH28" i="4"/>
  <c r="AH40" i="4"/>
  <c r="AE48" i="4"/>
  <c r="AE53" i="4"/>
  <c r="AH54" i="4"/>
  <c r="AH83" i="4"/>
  <c r="AH105" i="4"/>
  <c r="AH112" i="4"/>
  <c r="AE121" i="4"/>
  <c r="AE135" i="4"/>
  <c r="AE8" i="6"/>
  <c r="AH3" i="4"/>
  <c r="AE5" i="4"/>
  <c r="AH6" i="4"/>
  <c r="AE10" i="4"/>
  <c r="AE52" i="4"/>
  <c r="AE57" i="4"/>
  <c r="AE60" i="4"/>
  <c r="AH61" i="4"/>
  <c r="AE72" i="4"/>
  <c r="AH73" i="4"/>
  <c r="AH74" i="4"/>
  <c r="AH78" i="4"/>
  <c r="AH87" i="4"/>
  <c r="AE91" i="4"/>
  <c r="AE100" i="4"/>
  <c r="AE107" i="4"/>
  <c r="AH108" i="4"/>
  <c r="AH128" i="4"/>
  <c r="AH4" i="4"/>
  <c r="AE20" i="4"/>
  <c r="AE64" i="4"/>
  <c r="AE127" i="4"/>
  <c r="AE141" i="4"/>
  <c r="AH7" i="5"/>
  <c r="AH8" i="6"/>
  <c r="AE23" i="4"/>
  <c r="AE3" i="4"/>
  <c r="AH5" i="4"/>
  <c r="AE29" i="4"/>
  <c r="AH30" i="4"/>
  <c r="AE34" i="4"/>
  <c r="AH35" i="4"/>
  <c r="AH60" i="4"/>
  <c r="AH68" i="4"/>
  <c r="AH72" i="4"/>
  <c r="AE80" i="4"/>
  <c r="AE85" i="4"/>
  <c r="AE94" i="4"/>
  <c r="AE102" i="4"/>
  <c r="AH107" i="4"/>
  <c r="AH114" i="4"/>
  <c r="AH138" i="4"/>
  <c r="AE12" i="6"/>
  <c r="AE14" i="4"/>
  <c r="AH16" i="4"/>
  <c r="AH20" i="4"/>
  <c r="AE33" i="4"/>
  <c r="AH43" i="4"/>
  <c r="AH47" i="4"/>
  <c r="AH64" i="4"/>
  <c r="AE75" i="4"/>
  <c r="AH76" i="4"/>
  <c r="AH81" i="4"/>
  <c r="AH95" i="4"/>
  <c r="AH103" i="4"/>
  <c r="AE133" i="4"/>
  <c r="AE137" i="4"/>
  <c r="AH99" i="4"/>
  <c r="AE113" i="4"/>
  <c r="AH146" i="4"/>
  <c r="AE6" i="6"/>
  <c r="AE9" i="6"/>
  <c r="AH12" i="6"/>
</calcChain>
</file>

<file path=xl/sharedStrings.xml><?xml version="1.0" encoding="utf-8"?>
<sst xmlns="http://schemas.openxmlformats.org/spreadsheetml/2006/main" count="15182" uniqueCount="3885">
  <si>
    <t>코드*</t>
  </si>
  <si>
    <t>측정년도*</t>
  </si>
  <si>
    <t>측정주기*</t>
  </si>
  <si>
    <t>비고</t>
  </si>
  <si>
    <t>지정한계_관할지청*</t>
  </si>
  <si>
    <t>공문연번</t>
  </si>
  <si>
    <t>연번</t>
  </si>
  <si>
    <t>5인 이상 연번</t>
  </si>
  <si>
    <t>측정시작일</t>
  </si>
  <si>
    <t>측정종료일</t>
  </si>
  <si>
    <t>완료여부</t>
  </si>
  <si>
    <t>측정자</t>
  </si>
  <si>
    <t>소재지 관할청</t>
  </si>
  <si>
    <t>사업장명*</t>
  </si>
  <si>
    <t>총인원</t>
  </si>
  <si>
    <t>사업자번호</t>
  </si>
  <si>
    <t>산재보험번호</t>
  </si>
  <si>
    <t>대표자명</t>
  </si>
  <si>
    <t>국고지원여부</t>
  </si>
  <si>
    <t>주소</t>
  </si>
  <si>
    <t>전화번호</t>
  </si>
  <si>
    <t>팩스번호</t>
  </si>
  <si>
    <t>담당자명</t>
  </si>
  <si>
    <t>담당자직책</t>
  </si>
  <si>
    <t>담당자휴대폰</t>
  </si>
  <si>
    <t>담당자이메일</t>
  </si>
  <si>
    <t>K2B 전송일</t>
  </si>
  <si>
    <t>K2B 전송자</t>
  </si>
  <si>
    <t>계산서 이메일</t>
  </si>
  <si>
    <t>전자계산서 발행일</t>
  </si>
  <si>
    <t>측정비(합계)</t>
  </si>
  <si>
    <t>측정비(사업장)</t>
  </si>
  <si>
    <t>측정비(국고)</t>
  </si>
  <si>
    <t>입금액(합계)</t>
  </si>
  <si>
    <t>입금일(사업장)</t>
  </si>
  <si>
    <t>입금액(사업장)</t>
  </si>
  <si>
    <t>입금일(국고)</t>
  </si>
  <si>
    <t>입금액(국고)</t>
  </si>
  <si>
    <t>특이사항</t>
  </si>
  <si>
    <t>H0333</t>
  </si>
  <si>
    <t>상반기</t>
  </si>
  <si>
    <t>수시측정, 공정 수시변경</t>
  </si>
  <si>
    <t>천안</t>
  </si>
  <si>
    <t>천-001</t>
  </si>
  <si>
    <t>1</t>
  </si>
  <si>
    <t>완료</t>
  </si>
  <si>
    <t>이주형</t>
  </si>
  <si>
    <t>삼성이앤에이(주) 천안단지 마감공사 C-PJT 도급공사(SECL)</t>
  </si>
  <si>
    <t>남궁홍</t>
  </si>
  <si>
    <t>지원</t>
  </si>
  <si>
    <t>충청남도 천안시 서북구 백석공단1로 111, 노루비케미칼 건물 2층 SE&amp;A 안전팀 (백석동)</t>
  </si>
  <si>
    <t>김세은</t>
  </si>
  <si>
    <t>프로</t>
  </si>
  <si>
    <t>010-7344-7649</t>
  </si>
  <si>
    <t>seeun315.kim@samsung.com</t>
  </si>
  <si>
    <t>ssuyeon.lee@samsung.com</t>
  </si>
  <si>
    <t>국고 X</t>
  </si>
  <si>
    <t>H0341</t>
  </si>
  <si>
    <t>신규측정, 공정 수시변경</t>
  </si>
  <si>
    <t>천-002</t>
  </si>
  <si>
    <t>2</t>
  </si>
  <si>
    <t>강종구</t>
  </si>
  <si>
    <t>주식회사 무한종합건설 송악고등학교 교실증축공사</t>
  </si>
  <si>
    <t>박영복</t>
  </si>
  <si>
    <t>충청남도 당진시 송악읍 송악로 165 (가학리)</t>
  </si>
  <si>
    <t>이재흥</t>
  </si>
  <si>
    <t>이사</t>
  </si>
  <si>
    <t>010-5409-5788</t>
  </si>
  <si>
    <t>muhan6410@hanmail.net</t>
  </si>
  <si>
    <t>국고 전액</t>
  </si>
  <si>
    <t>H0246</t>
  </si>
  <si>
    <t>고시물질</t>
  </si>
  <si>
    <t>천-003</t>
  </si>
  <si>
    <t>한기문</t>
  </si>
  <si>
    <t>천공엔지니어링 주식회사</t>
  </si>
  <si>
    <t>김방재</t>
  </si>
  <si>
    <t>충청남도 천안시 동남구 풍세면 미죽1길 63 (미죽리)</t>
  </si>
  <si>
    <t>041-571-0951</t>
  </si>
  <si>
    <t>대표</t>
  </si>
  <si>
    <t>010-6422-8906</t>
  </si>
  <si>
    <t>ck8906@hanmail.net</t>
  </si>
  <si>
    <t>H0342</t>
  </si>
  <si>
    <t>천-004</t>
  </si>
  <si>
    <t>3</t>
  </si>
  <si>
    <t>서산</t>
  </si>
  <si>
    <t>대보에너지솔루션 주식회사 멧카 태안 태양광발전소 건설공사</t>
  </si>
  <si>
    <t>김상욱</t>
  </si>
  <si>
    <t>충청남도 태안군 고남면 누동리 1587-11</t>
  </si>
  <si>
    <t>김형준</t>
  </si>
  <si>
    <t>안전팀장</t>
  </si>
  <si>
    <t>010-5588-6136</t>
  </si>
  <si>
    <t>khyjun1523@naver.com</t>
  </si>
  <si>
    <t>3/10 60만원 페이백 완료</t>
  </si>
  <si>
    <t>H0239</t>
  </si>
  <si>
    <t>공정 수시변경</t>
  </si>
  <si>
    <t>천-005</t>
  </si>
  <si>
    <t>4</t>
  </si>
  <si>
    <t>이태환</t>
  </si>
  <si>
    <t>아산모터스</t>
  </si>
  <si>
    <t>심한주</t>
  </si>
  <si>
    <t>충청남도 아산시 곡교천로 159 (온천동)</t>
  </si>
  <si>
    <t>041-546-0005</t>
  </si>
  <si>
    <t>010-8978-9809</t>
  </si>
  <si>
    <t>asan_motors@naver.com</t>
  </si>
  <si>
    <t>H0240</t>
  </si>
  <si>
    <t>천-006</t>
  </si>
  <si>
    <t>5</t>
  </si>
  <si>
    <t>아산현대서비스 주식회사</t>
  </si>
  <si>
    <t>맹의석</t>
  </si>
  <si>
    <t>충청남도 아산시 온천대로 1790-9 (남동)</t>
  </si>
  <si>
    <t>041-531-1122</t>
  </si>
  <si>
    <t>황중현</t>
  </si>
  <si>
    <t>실장</t>
  </si>
  <si>
    <t>010-7396-2674</t>
  </si>
  <si>
    <t>asanhd@nate.com</t>
  </si>
  <si>
    <t>H0270</t>
  </si>
  <si>
    <t>천-007</t>
  </si>
  <si>
    <t>6</t>
  </si>
  <si>
    <t>케이지모빌리티아산서비스센터 주식회사</t>
  </si>
  <si>
    <t>최재학</t>
  </si>
  <si>
    <t>충청남도 아산시 신리길 6 (신동)</t>
  </si>
  <si>
    <t>041-549-5582</t>
  </si>
  <si>
    <t>정명용</t>
  </si>
  <si>
    <t>과장</t>
  </si>
  <si>
    <t>010-5433-5278</t>
  </si>
  <si>
    <t>ksh5038@hanmail.net</t>
  </si>
  <si>
    <t>H0344</t>
  </si>
  <si>
    <t>천-008</t>
  </si>
  <si>
    <t>7</t>
  </si>
  <si>
    <t>원주</t>
  </si>
  <si>
    <t>은성건설주식회사 (주)디에스테크노 문막공장 신축공사</t>
  </si>
  <si>
    <t>이동준</t>
  </si>
  <si>
    <t>강원특별자치도 원주시 문막읍 문막공단길 202 (반계리)</t>
  </si>
  <si>
    <t>김인성</t>
  </si>
  <si>
    <t>부장</t>
  </si>
  <si>
    <t>010-6515-4438</t>
  </si>
  <si>
    <t>cup0438@eunsungenc.com</t>
  </si>
  <si>
    <t>H0275</t>
  </si>
  <si>
    <t>천-009</t>
  </si>
  <si>
    <t>8</t>
  </si>
  <si>
    <t>JNC-TECH</t>
  </si>
  <si>
    <t>정운세</t>
  </si>
  <si>
    <t>충청남도 아산시 음봉면 신의길 63-21 (신휴리)</t>
  </si>
  <si>
    <t>041-584-4777</t>
  </si>
  <si>
    <t>010-4742-2257</t>
  </si>
  <si>
    <t>2258jos@daum.net</t>
  </si>
  <si>
    <t>H0213</t>
  </si>
  <si>
    <t>천-010</t>
  </si>
  <si>
    <t>9</t>
  </si>
  <si>
    <t>일성건설(주)삭선-원북 지방도 확포장공사</t>
  </si>
  <si>
    <t>유필상</t>
  </si>
  <si>
    <t>충청남도 태안군 태안읍 원이로 77 (삭선리)</t>
  </si>
  <si>
    <t>070-4924-0905</t>
  </si>
  <si>
    <t>최승현</t>
  </si>
  <si>
    <t>010-4616-5408</t>
  </si>
  <si>
    <t>20230502@ilsungconst.co.kr</t>
  </si>
  <si>
    <t>H0346</t>
  </si>
  <si>
    <t>천-011</t>
  </si>
  <si>
    <t>10</t>
  </si>
  <si>
    <t>일성건설(주) 태안발전본부 공업용수관로(삭선-원북) 이설공사</t>
  </si>
  <si>
    <t>H0292</t>
  </si>
  <si>
    <t>천-012</t>
  </si>
  <si>
    <t>11</t>
  </si>
  <si>
    <t>군산</t>
  </si>
  <si>
    <t>(주)하이테크엔지니어링 군산공장, OSP-1 Project EPC</t>
  </si>
  <si>
    <t>장영</t>
  </si>
  <si>
    <t>전북특별자치도 군산시 외항로 82 (소룡동, OCI주식회사)</t>
  </si>
  <si>
    <t>강대일</t>
  </si>
  <si>
    <t>팀장</t>
  </si>
  <si>
    <t>010-8449-8832</t>
  </si>
  <si>
    <t>dikang2310@htech.co.kr</t>
  </si>
  <si>
    <t>H0211</t>
  </si>
  <si>
    <t>천-013</t>
  </si>
  <si>
    <t>뉴텍(NEWTECH)</t>
  </si>
  <si>
    <t>이재식</t>
  </si>
  <si>
    <t>충청남도 아산시 음봉면 월산로 214-1 (산동리)</t>
  </si>
  <si>
    <t>041-542-3703</t>
  </si>
  <si>
    <t>이선영</t>
  </si>
  <si>
    <t>대리</t>
  </si>
  <si>
    <t>010-8434-6802</t>
  </si>
  <si>
    <t>698547@naver.com</t>
  </si>
  <si>
    <t>고유빈</t>
  </si>
  <si>
    <t>jslee705@naver.com</t>
  </si>
  <si>
    <t>이주형 통화 / 8월 입금해준다고 함</t>
  </si>
  <si>
    <t>H0212</t>
  </si>
  <si>
    <t>천-014</t>
  </si>
  <si>
    <t>12</t>
  </si>
  <si>
    <t>주식회사 현무</t>
  </si>
  <si>
    <t>김은덕</t>
  </si>
  <si>
    <t>chc6857@naver.com</t>
  </si>
  <si>
    <t>H0345</t>
  </si>
  <si>
    <t>신규측정</t>
  </si>
  <si>
    <t>천-015</t>
  </si>
  <si>
    <t>13</t>
  </si>
  <si>
    <t>주식회사 소울네이처푸드</t>
  </si>
  <si>
    <t>김병기</t>
  </si>
  <si>
    <t>충청남도 천안시 동남구 성남면 석곡2길 80 (석곡리)</t>
  </si>
  <si>
    <t>070-4800-1955</t>
  </si>
  <si>
    <t>이혜나</t>
  </si>
  <si>
    <t>010-6220-1411</t>
  </si>
  <si>
    <t>hnlee@soulnaturefood.com</t>
  </si>
  <si>
    <t>soulnaturefood@hometax.go.kr</t>
  </si>
  <si>
    <t>H0288</t>
  </si>
  <si>
    <t>소음 85 이상</t>
  </si>
  <si>
    <t>천-016</t>
  </si>
  <si>
    <t>14</t>
  </si>
  <si>
    <t>동아하이테크 주식회사 2공장</t>
  </si>
  <si>
    <t>이우용, 조봉학</t>
  </si>
  <si>
    <t>충청남도 천안시 서북구 성환읍 왕지1길 5 (율금리)</t>
  </si>
  <si>
    <t>031-797-1003</t>
  </si>
  <si>
    <t>이용준
이원국</t>
  </si>
  <si>
    <t>과장(본사)
차장(현장)</t>
  </si>
  <si>
    <t>010-8920-2263
010-8928-0605</t>
  </si>
  <si>
    <t>wk0209@dongah.biz(현장)</t>
  </si>
  <si>
    <t>yj_lee@dongah.biz(본사)</t>
  </si>
  <si>
    <t>H0126</t>
  </si>
  <si>
    <t>천-017</t>
  </si>
  <si>
    <t>15</t>
  </si>
  <si>
    <t>배윤민</t>
  </si>
  <si>
    <t>주식회사 협성솔루션</t>
  </si>
  <si>
    <t>도용주</t>
  </si>
  <si>
    <t>충청남도 천안시 서북구 입장면 위례성로 1898-41 (양대리)</t>
  </si>
  <si>
    <t>041-412-8500</t>
  </si>
  <si>
    <t>전우영</t>
  </si>
  <si>
    <t>차장</t>
  </si>
  <si>
    <t>010-4299-3284</t>
  </si>
  <si>
    <t>peace3284@hss-auto.co.kr</t>
  </si>
  <si>
    <t>H0348</t>
  </si>
  <si>
    <t>타기관 신규, 고시물질</t>
  </si>
  <si>
    <t>천-018</t>
  </si>
  <si>
    <t>16</t>
  </si>
  <si>
    <t>성남</t>
  </si>
  <si>
    <t>동아하이테크 주식회사</t>
  </si>
  <si>
    <t>경기도 광주시 도척면 방도길 8-35 (유정리)</t>
  </si>
  <si>
    <t>이용준</t>
  </si>
  <si>
    <t>010-8920-2263</t>
  </si>
  <si>
    <t>yj_lee@dongah.biz</t>
  </si>
  <si>
    <t>H0253</t>
  </si>
  <si>
    <t>소음 초과</t>
  </si>
  <si>
    <t>천-019</t>
  </si>
  <si>
    <t>17</t>
  </si>
  <si>
    <t>경기</t>
  </si>
  <si>
    <t>오다금속 주식회사</t>
  </si>
  <si>
    <t>최석재</t>
  </si>
  <si>
    <t>경기도 화성시 송산면 송산서로239번길 45-33 (지화리)</t>
  </si>
  <si>
    <t>031-356-4596</t>
  </si>
  <si>
    <t>김청미</t>
  </si>
  <si>
    <t>010-2286-8023</t>
  </si>
  <si>
    <t>odm8684@naver.com</t>
  </si>
  <si>
    <t>H0160</t>
  </si>
  <si>
    <t>천-020</t>
  </si>
  <si>
    <t>경인단조</t>
  </si>
  <si>
    <t>이대연</t>
  </si>
  <si>
    <t>경기도 화성시 송산면 송산서로239번길 45-35 (지화리)</t>
  </si>
  <si>
    <t>031-357-3713</t>
  </si>
  <si>
    <t>한희순</t>
  </si>
  <si>
    <t>010-8823-4256</t>
  </si>
  <si>
    <t>hshan@daeseung.me</t>
  </si>
  <si>
    <t>H0159</t>
  </si>
  <si>
    <t>천-021</t>
  </si>
  <si>
    <t>18</t>
  </si>
  <si>
    <t>주식회사 대승금속</t>
  </si>
  <si>
    <t>H0128</t>
  </si>
  <si>
    <t>천-022</t>
  </si>
  <si>
    <t>태성이엔지 주식회사</t>
  </si>
  <si>
    <t>채종헌</t>
  </si>
  <si>
    <t>충청남도 아산시 둔포면 아산밸리로 89 (운용리)</t>
  </si>
  <si>
    <t>041-547-6118</t>
  </si>
  <si>
    <t>양병옥</t>
  </si>
  <si>
    <t>010-9189-5641</t>
  </si>
  <si>
    <t>tsung2021@naver.com</t>
  </si>
  <si>
    <t>H0222</t>
  </si>
  <si>
    <t>천-023</t>
  </si>
  <si>
    <t>19</t>
  </si>
  <si>
    <t>주식회사 마루벌</t>
  </si>
  <si>
    <t>김연자</t>
  </si>
  <si>
    <t>충청남도 천안시 동남구 수신면 장산동길 92-23 (장산리, 공장)</t>
  </si>
  <si>
    <t>041-552-9287</t>
  </si>
  <si>
    <t>김영선</t>
  </si>
  <si>
    <t>010-2170-2735</t>
  </si>
  <si>
    <t>akfnqjf1234@naver.com</t>
  </si>
  <si>
    <t>베윤민</t>
  </si>
  <si>
    <t>H0349</t>
  </si>
  <si>
    <t>신규측정, 고시물질</t>
  </si>
  <si>
    <t>천-024</t>
  </si>
  <si>
    <t>20</t>
  </si>
  <si>
    <t>주식회사 에스케이팩</t>
  </si>
  <si>
    <t>이익희</t>
  </si>
  <si>
    <t>경기도 광주시 초월읍 현산로361번길 13-8 (지월리)</t>
  </si>
  <si>
    <t>031-763-8899</t>
  </si>
  <si>
    <t>박준수</t>
  </si>
  <si>
    <t>010-9989-8913</t>
  </si>
  <si>
    <t>sk@skpack.co.kr</t>
  </si>
  <si>
    <t>webmaster@skpack.co.kr</t>
  </si>
  <si>
    <t>H0209</t>
  </si>
  <si>
    <t>천-025</t>
  </si>
  <si>
    <t>주식회사 브이에스테크</t>
  </si>
  <si>
    <t>이명근</t>
  </si>
  <si>
    <t>충청남도 천안시 서북구 성환읍 연암로 149 (수향리)</t>
  </si>
  <si>
    <t>041-583-3700</t>
  </si>
  <si>
    <t>010-4577-7000</t>
  </si>
  <si>
    <t>vstech3700@naver.com</t>
  </si>
  <si>
    <t>H0350</t>
  </si>
  <si>
    <t>천-026</t>
  </si>
  <si>
    <t>21</t>
  </si>
  <si>
    <t>정연코퍼레이션 주식회사</t>
  </si>
  <si>
    <t>장두희</t>
  </si>
  <si>
    <t>충청남도 천안시 서북구 성환읍 왕지1길 156-7 (송덕리)</t>
  </si>
  <si>
    <t>041-522-7072</t>
  </si>
  <si>
    <t>신지원</t>
  </si>
  <si>
    <t>010-6483-0072</t>
  </si>
  <si>
    <t>smdccv@naver.com</t>
  </si>
  <si>
    <t>wjhnc64352@hometax.go.kr</t>
  </si>
  <si>
    <t>H0143</t>
  </si>
  <si>
    <t>공정 변경</t>
  </si>
  <si>
    <t>천-027</t>
  </si>
  <si>
    <t>(주)쓰리디치과기공소</t>
  </si>
  <si>
    <t>원태희</t>
  </si>
  <si>
    <t>충청남도 천안시 서북구 불당21로 71, 7층 705호 (불당동)</t>
  </si>
  <si>
    <t>041-555-2879</t>
  </si>
  <si>
    <t>김다겸</t>
  </si>
  <si>
    <t>주임</t>
  </si>
  <si>
    <t>010-5870-2958</t>
  </si>
  <si>
    <t>office@theboston.co.kr</t>
  </si>
  <si>
    <t>3ddentallab1@naver.com</t>
  </si>
  <si>
    <t>H0142</t>
  </si>
  <si>
    <t>천-028</t>
  </si>
  <si>
    <t>22</t>
  </si>
  <si>
    <t>더보스톤치과병원</t>
  </si>
  <si>
    <t>충청남도 천안시 서북구 불당33길 26 (불당동)</t>
  </si>
  <si>
    <t>tax@theboston.co.kr</t>
  </si>
  <si>
    <t>H0237</t>
  </si>
  <si>
    <t>천-029</t>
  </si>
  <si>
    <t>23</t>
  </si>
  <si>
    <t>청주</t>
  </si>
  <si>
    <t>(주)경화 청주지점</t>
  </si>
  <si>
    <t>정성곤</t>
  </si>
  <si>
    <t>충청북도 청주시 흥덕구 강내면 황탄리길 211 (황탄리)</t>
  </si>
  <si>
    <t>043-232-9009</t>
  </si>
  <si>
    <t>이정희</t>
  </si>
  <si>
    <t>010-3740-8233</t>
  </si>
  <si>
    <t>khcj9009@naver.com</t>
  </si>
  <si>
    <t>H0351</t>
  </si>
  <si>
    <t>천-030</t>
  </si>
  <si>
    <t>24</t>
  </si>
  <si>
    <t>바쿠우스 주식회사</t>
  </si>
  <si>
    <t>오세민</t>
  </si>
  <si>
    <t>충청남도 천안시 동남구 풍세면 하도1길 55-41 (용정리)</t>
  </si>
  <si>
    <t>이명규</t>
  </si>
  <si>
    <t>010-4708-4028</t>
  </si>
  <si>
    <t>v4we11@naver.com</t>
  </si>
  <si>
    <t>H0110</t>
  </si>
  <si>
    <t>천-031</t>
  </si>
  <si>
    <t>25</t>
  </si>
  <si>
    <t>주식회사 아이엘사이언스</t>
  </si>
  <si>
    <t>송성근, 오성호, 신금성</t>
  </si>
  <si>
    <t>충청남도 천안시 동남구 수신면 장산동길 32 (장산리)</t>
  </si>
  <si>
    <t>041-415-2060</t>
  </si>
  <si>
    <t>이강덕</t>
  </si>
  <si>
    <t>010-3432-1892</t>
  </si>
  <si>
    <t>kdlee@ilscience.co.kr</t>
  </si>
  <si>
    <t>H0123</t>
  </si>
  <si>
    <t>천-032</t>
  </si>
  <si>
    <t>한솔지에스</t>
  </si>
  <si>
    <t>김효식</t>
  </si>
  <si>
    <t>충청남도 천안시 서북구 직산읍 상덕2길 2 (자은가리)</t>
  </si>
  <si>
    <t>041-553-1026</t>
  </si>
  <si>
    <t>010-5406-9859</t>
  </si>
  <si>
    <t>cacao003@hansolgs.com</t>
  </si>
  <si>
    <t>cacaco003@hansolgs.com</t>
  </si>
  <si>
    <t>H0296</t>
  </si>
  <si>
    <t>천-033</t>
  </si>
  <si>
    <t>26</t>
  </si>
  <si>
    <t>주식회사 유기농기계</t>
  </si>
  <si>
    <t>김상호</t>
  </si>
  <si>
    <t>충청남도 천안시 서북구 직산읍 군수1길 112-16 (군서리)</t>
  </si>
  <si>
    <t>041-567-2859</t>
  </si>
  <si>
    <t>김상범</t>
  </si>
  <si>
    <t>010-9911-2859</t>
  </si>
  <si>
    <t>sadang3378@naver.com</t>
  </si>
  <si>
    <t>H0207</t>
  </si>
  <si>
    <t>천-034</t>
  </si>
  <si>
    <t>27</t>
  </si>
  <si>
    <t>사단법인 천안제5일반산업단지입주기업체협의회</t>
  </si>
  <si>
    <t>홍상의</t>
  </si>
  <si>
    <t>충청남도 천안시 동남구 성남면 5산단3로 78 (대화리)</t>
  </si>
  <si>
    <t>041-569-0264</t>
  </si>
  <si>
    <t>박갑수</t>
  </si>
  <si>
    <t>사원</t>
  </si>
  <si>
    <t>010-3460-1265</t>
  </si>
  <si>
    <t>ca5sandan2@nate.com</t>
  </si>
  <si>
    <t>H0242</t>
  </si>
  <si>
    <t>천-035</t>
  </si>
  <si>
    <t>28</t>
  </si>
  <si>
    <t>주식회사 엘에스이</t>
  </si>
  <si>
    <t>이관형</t>
  </si>
  <si>
    <t>충청남도 천안시 서북구 직산읍 4산단6길 22 (신갈리)</t>
  </si>
  <si>
    <t>041-583-0110</t>
  </si>
  <si>
    <t>박기상</t>
  </si>
  <si>
    <t>010-8964-7234</t>
  </si>
  <si>
    <t>kspark@lse21.co.kr</t>
  </si>
  <si>
    <t>feerique@lse21.co.kr</t>
  </si>
  <si>
    <t>H0307</t>
  </si>
  <si>
    <t>천-036</t>
  </si>
  <si>
    <t>29</t>
  </si>
  <si>
    <t>(주)엘에스티</t>
  </si>
  <si>
    <t>충청남도 천안시 서북구 직산읍 4산단4로 60, 씨동 1호 (모서리)</t>
  </si>
  <si>
    <t>lst0932@hometax.go.kr</t>
  </si>
  <si>
    <t>H0299</t>
  </si>
  <si>
    <t>천-037</t>
  </si>
  <si>
    <t>30</t>
  </si>
  <si>
    <t>주식회사 디에이치오토모티브</t>
  </si>
  <si>
    <t>한상, 배성훈</t>
  </si>
  <si>
    <t>충청남도 당진시 석문면 산단7로2길 46 (삼봉리)</t>
  </si>
  <si>
    <t>041-358-6316</t>
  </si>
  <si>
    <t>장채근</t>
  </si>
  <si>
    <t>선임매니저</t>
  </si>
  <si>
    <t>010-2515-5950</t>
  </si>
  <si>
    <t>corms5950@secodh.com</t>
  </si>
  <si>
    <t>tax@secodh.com</t>
  </si>
  <si>
    <t>H0137</t>
  </si>
  <si>
    <t>고시물질, 소음 85 이상</t>
  </si>
  <si>
    <t>천-038</t>
  </si>
  <si>
    <t>31</t>
  </si>
  <si>
    <t>성일테크(주)당진공장</t>
  </si>
  <si>
    <t>황일곤</t>
  </si>
  <si>
    <t>충청남도 당진시 석문면 산단3로2길 19 (통정리)</t>
  </si>
  <si>
    <t>070-4250-3949</t>
  </si>
  <si>
    <t>김보성</t>
  </si>
  <si>
    <t>010-9146-6015</t>
  </si>
  <si>
    <t>sighwang@hanmail.net</t>
  </si>
  <si>
    <t>H0102</t>
  </si>
  <si>
    <t>공정 변경, 신규 공정 측정, 고시물질</t>
  </si>
  <si>
    <t>천-039</t>
  </si>
  <si>
    <t>32</t>
  </si>
  <si>
    <t>한기문,강종구,고유빈</t>
  </si>
  <si>
    <t>전주</t>
  </si>
  <si>
    <t>국립농업과학원</t>
  </si>
  <si>
    <t>이승돈</t>
  </si>
  <si>
    <t>전북특별자치도 완주군 이서면 농생명로 166 (금평리, 국립농업과학원)</t>
  </si>
  <si>
    <t>063-238-2243</t>
  </si>
  <si>
    <t>안유미</t>
  </si>
  <si>
    <t>보건관리자</t>
  </si>
  <si>
    <t>010-3194-8055</t>
  </si>
  <si>
    <t>dbal8055@korea.kr</t>
  </si>
  <si>
    <t>H0266</t>
  </si>
  <si>
    <t>사업장 요청</t>
  </si>
  <si>
    <t>천-040</t>
  </si>
  <si>
    <t>주식회사 와이에이치프라텍</t>
  </si>
  <si>
    <t>김춘규</t>
  </si>
  <si>
    <t>경기도 화성시 향남읍 토성로359번길 31 (길성리)</t>
  </si>
  <si>
    <t>070-8862-7322</t>
  </si>
  <si>
    <t>이주형 지인 사업장</t>
  </si>
  <si>
    <t>H0127</t>
  </si>
  <si>
    <t>천-041</t>
  </si>
  <si>
    <t>33</t>
  </si>
  <si>
    <t>(주)신태양 화성공장</t>
  </si>
  <si>
    <t>박용복, 박지종</t>
  </si>
  <si>
    <t>경기도 화성시 팔탄면 신양1길 39 (가재리)</t>
  </si>
  <si>
    <t>031-353-9571</t>
  </si>
  <si>
    <t>이명섭</t>
  </si>
  <si>
    <t>공장장</t>
  </si>
  <si>
    <t>010-8913-6228</t>
  </si>
  <si>
    <t>sty2355@daum.net</t>
  </si>
  <si>
    <t>H0356</t>
  </si>
  <si>
    <t>천-042</t>
  </si>
  <si>
    <t>34</t>
  </si>
  <si>
    <t>태양기계 우정공장</t>
  </si>
  <si>
    <t>박지종</t>
  </si>
  <si>
    <t>경기도 화성시 우정읍 버들로 899-159 (주곡리)</t>
  </si>
  <si>
    <t>031-353-9523</t>
  </si>
  <si>
    <t>윤건기</t>
  </si>
  <si>
    <t>010-3410-8158</t>
  </si>
  <si>
    <t>tymc1012@tymc.kr</t>
  </si>
  <si>
    <t>H0226</t>
  </si>
  <si>
    <t>천-043</t>
  </si>
  <si>
    <t>35</t>
  </si>
  <si>
    <t>(주) 현대자동차충청써비스</t>
  </si>
  <si>
    <t>김송</t>
  </si>
  <si>
    <t>충청남도 아산시 곡교천로125번길 35 (실옥동)</t>
  </si>
  <si>
    <t>041-546-0992</t>
  </si>
  <si>
    <t>김사론</t>
  </si>
  <si>
    <t>010-7138-1537</t>
  </si>
  <si>
    <t>mt3275@hanmail.net</t>
  </si>
  <si>
    <t>H0357</t>
  </si>
  <si>
    <t>천-044</t>
  </si>
  <si>
    <t>36</t>
  </si>
  <si>
    <t>(주) 제일엠앤에스 천안CF동 극판 M라인 PD,믹싱설비,분체제작설치</t>
  </si>
  <si>
    <t>이효원, 이영진</t>
  </si>
  <si>
    <t>충청남도 천안시 서북구 번영로 467 (성성동, 삼성SDI(주))</t>
  </si>
  <si>
    <t>김종하</t>
  </si>
  <si>
    <t>매니저</t>
  </si>
  <si>
    <t>010-7272-8811</t>
  </si>
  <si>
    <t>jh.kim3@jeilm.co.kr</t>
  </si>
  <si>
    <t>sh.bae@jeilm.co.kr</t>
  </si>
  <si>
    <t>8/6 이주형 통화 / 처리해준다고 함</t>
  </si>
  <si>
    <t>H0358</t>
  </si>
  <si>
    <t>천-045</t>
  </si>
  <si>
    <t>37</t>
  </si>
  <si>
    <t>한화모멘텀 주식회사 삼성 SDI 천안 CF동 표준라인 Coater PJT</t>
  </si>
  <si>
    <t>류양식</t>
  </si>
  <si>
    <t>최용현</t>
  </si>
  <si>
    <t>010-3210-8738</t>
  </si>
  <si>
    <t>chldydgus485@hanwha.com</t>
  </si>
  <si>
    <t>H0295</t>
  </si>
  <si>
    <t>천-046</t>
  </si>
  <si>
    <t>38</t>
  </si>
  <si>
    <t>한기문,강종구,배윤민</t>
  </si>
  <si>
    <t>지에스건설(주) 아산자이그랜드파크1BL</t>
  </si>
  <si>
    <t>허윤홍, 허창수</t>
  </si>
  <si>
    <t>충청남도 아산시 용화동 126-41</t>
  </si>
  <si>
    <t>정다슬</t>
  </si>
  <si>
    <t>전임</t>
  </si>
  <si>
    <t>010-5587-3865</t>
  </si>
  <si>
    <t>babysofe@gsenc.com</t>
  </si>
  <si>
    <t>H0352</t>
  </si>
  <si>
    <t>천-047</t>
  </si>
  <si>
    <t>39</t>
  </si>
  <si>
    <t>강릉</t>
  </si>
  <si>
    <t>(주) 국보디자인 설해원 설해수림 인테리어 공사 C공구</t>
  </si>
  <si>
    <t>황창연, 김민기</t>
  </si>
  <si>
    <t>강원특별자치도 양양군 손양면 공항로 230 (동호리, 설해원)</t>
  </si>
  <si>
    <t>이경진</t>
  </si>
  <si>
    <t>010-5760-6933</t>
  </si>
  <si>
    <t>kyungjin.lee@ikukbo.com</t>
  </si>
  <si>
    <t>kukbo1@ikukbo.com</t>
  </si>
  <si>
    <t>H0353</t>
  </si>
  <si>
    <t>천-048</t>
  </si>
  <si>
    <t>40</t>
  </si>
  <si>
    <t>주식회사 계선 설해원 설해수림 인테리어 공사 - A공구</t>
  </si>
  <si>
    <t>장윤일</t>
  </si>
  <si>
    <t>박범준</t>
  </si>
  <si>
    <t>선임</t>
  </si>
  <si>
    <t>010-8704-7166</t>
  </si>
  <si>
    <t>bjpark@kesson.co.kr</t>
  </si>
  <si>
    <t>kesson1@hometax.go.kr</t>
  </si>
  <si>
    <t>H0354</t>
  </si>
  <si>
    <t>천-049</t>
  </si>
  <si>
    <t>41</t>
  </si>
  <si>
    <t>주식회사 은민에스엔디 24-3513 설해원 설해수림 인테리어 공사-B공구</t>
  </si>
  <si>
    <t>이승성</t>
  </si>
  <si>
    <t>고정욱</t>
  </si>
  <si>
    <t>010-8934-0836</t>
  </si>
  <si>
    <t>rhwjddnr159@eunmin.co.kr</t>
  </si>
  <si>
    <t>H0149</t>
  </si>
  <si>
    <t>천-050</t>
  </si>
  <si>
    <t>42</t>
  </si>
  <si>
    <t>아산피앤피(주)</t>
  </si>
  <si>
    <t>이병길, 이건우</t>
  </si>
  <si>
    <t>충청남도 아산시 선장면 학성로122번길 94 (죽산리)</t>
  </si>
  <si>
    <t>041-541-5711</t>
  </si>
  <si>
    <t>이선미</t>
  </si>
  <si>
    <t>010-4045-9979</t>
  </si>
  <si>
    <t>beauty@aspulp.co.kr</t>
  </si>
  <si>
    <t>H0359</t>
  </si>
  <si>
    <t>타기관 신규, 공정 수시변경</t>
  </si>
  <si>
    <t>천-051</t>
  </si>
  <si>
    <t>43</t>
  </si>
  <si>
    <t>한기문,이주형,강종구</t>
  </si>
  <si>
    <t>에이치디씨현대산업개발 주식회사 고속국도 제32호 인주 염치 1공구</t>
  </si>
  <si>
    <t>최익훈, 조태제, 김회언</t>
  </si>
  <si>
    <t>충청남도 아산시 영인면 신현로 58 (신현리)</t>
  </si>
  <si>
    <t>041-549-7580</t>
  </si>
  <si>
    <t>유다은</t>
  </si>
  <si>
    <t>010-7734-6601</t>
    <phoneticPr fontId="6" type="noConversion"/>
  </si>
  <si>
    <t>2807011@hdc-dvp.com</t>
  </si>
  <si>
    <t>R1043cdti@hdc.dooray.com</t>
  </si>
  <si>
    <t>H0363</t>
  </si>
  <si>
    <t>천-052</t>
  </si>
  <si>
    <t>44</t>
  </si>
  <si>
    <t>현대휀스개발 (주) 천안공장</t>
  </si>
  <si>
    <t>김해용</t>
  </si>
  <si>
    <t>충청남도 천안시 서북구 성환읍 와우2길 104 (와룡리)</t>
  </si>
  <si>
    <t>031-691-5880</t>
  </si>
  <si>
    <t>서상원</t>
  </si>
  <si>
    <t>010-4506-4599</t>
  </si>
  <si>
    <t>ssw3147@nate.com</t>
  </si>
  <si>
    <t>H0362</t>
  </si>
  <si>
    <t>타기관 신규, 일부 공정 측정</t>
  </si>
  <si>
    <t>천-053</t>
  </si>
  <si>
    <t>45</t>
  </si>
  <si>
    <t>더존앤테크 (주)</t>
  </si>
  <si>
    <t>이희연, 김해용</t>
  </si>
  <si>
    <t>충청남도 천안시 서북구 성환읍 와우2길 102 (와룡리)</t>
  </si>
  <si>
    <t>041-582-5200</t>
  </si>
  <si>
    <t>H0364</t>
  </si>
  <si>
    <t>타기관 신규, 고시물질, 공정 변경</t>
  </si>
  <si>
    <t>천-054</t>
  </si>
  <si>
    <t>46</t>
  </si>
  <si>
    <t>중부</t>
  </si>
  <si>
    <t>(주)거화</t>
  </si>
  <si>
    <t>이대곤</t>
  </si>
  <si>
    <t>인천광역시 남동구 남동대로 383 (남촌동)</t>
  </si>
  <si>
    <t>032-567-7456</t>
  </si>
  <si>
    <t>유순영</t>
  </si>
  <si>
    <t>010-8516-6400</t>
  </si>
  <si>
    <t>syjin2003@naver.com</t>
  </si>
  <si>
    <t>kwheater00@daum.net</t>
  </si>
  <si>
    <t>H0162</t>
  </si>
  <si>
    <t>천-055</t>
  </si>
  <si>
    <t>47</t>
  </si>
  <si>
    <t>주식회사 새아</t>
  </si>
  <si>
    <t>김다별</t>
  </si>
  <si>
    <t>충청남도 아산시 영인면 월선서길 77-71 (월선리)</t>
  </si>
  <si>
    <t>041-541-4517</t>
  </si>
  <si>
    <t>김정현</t>
  </si>
  <si>
    <t>010-8024-1984</t>
  </si>
  <si>
    <t>saea4517@naver.com</t>
  </si>
  <si>
    <t>8/6 이주형 통화 / 대표님께 얘기하고 처리해준다고 함</t>
  </si>
  <si>
    <t>H0157</t>
  </si>
  <si>
    <t>천-056</t>
  </si>
  <si>
    <t>48</t>
  </si>
  <si>
    <t>배윤민, 고유빈</t>
  </si>
  <si>
    <t>보령</t>
  </si>
  <si>
    <t>충청남도 홍성의료원</t>
  </si>
  <si>
    <t>김건식</t>
  </si>
  <si>
    <t>충청남도 홍성군 홍성읍 조양로 224 (고암리)</t>
  </si>
  <si>
    <t>041-630-6261</t>
  </si>
  <si>
    <t>조성필</t>
  </si>
  <si>
    <t>010-3128-0875</t>
  </si>
  <si>
    <t>pill5454@naver.com</t>
  </si>
  <si>
    <t xml:space="preserve">pill5454@hsmc.or.kr </t>
  </si>
  <si>
    <t>H0366</t>
  </si>
  <si>
    <t>천-057</t>
  </si>
  <si>
    <t>49</t>
  </si>
  <si>
    <t>우석종합건설(주) 천안천 풍수해생활권 종합정비사업</t>
  </si>
  <si>
    <t>손동우</t>
  </si>
  <si>
    <t>충청남도 천안시 서북구 와촌동 130</t>
  </si>
  <si>
    <t>허재호</t>
  </si>
  <si>
    <t>010-3068-0984</t>
  </si>
  <si>
    <t>jheo6051@naver.com</t>
  </si>
  <si>
    <t>H0315</t>
  </si>
  <si>
    <t>천-058</t>
  </si>
  <si>
    <t>50</t>
  </si>
  <si>
    <t>신호종합건설(주) 예당호반 문화마당 조성사업</t>
  </si>
  <si>
    <t>신호철</t>
  </si>
  <si>
    <t>충청남도 예산군 응복면 예당관광로 163 (후사리)</t>
  </si>
  <si>
    <t>윤장한</t>
  </si>
  <si>
    <t>소장</t>
  </si>
  <si>
    <t>010-5435-2816</t>
  </si>
  <si>
    <t>janghan009@hanmail.net</t>
  </si>
  <si>
    <t>sin582@naver.com</t>
  </si>
  <si>
    <t>H0300</t>
  </si>
  <si>
    <t>천-059</t>
  </si>
  <si>
    <t>51</t>
  </si>
  <si>
    <t>(주)케이엔케이</t>
  </si>
  <si>
    <t>김동후</t>
  </si>
  <si>
    <t>경기도 화성시 기산로87번길 2 (기산동)</t>
  </si>
  <si>
    <t>070-4045-0407</t>
  </si>
  <si>
    <t>엄주영</t>
  </si>
  <si>
    <t>010-2508-0784</t>
  </si>
  <si>
    <t>knk3@knknara.co.kr</t>
  </si>
  <si>
    <t>H0251</t>
  </si>
  <si>
    <t>천-060</t>
  </si>
  <si>
    <t>52</t>
  </si>
  <si>
    <t>건영포장(주)</t>
  </si>
  <si>
    <t>이건승</t>
  </si>
  <si>
    <t>충청남도 아산시 음봉면 연암산로 42 (동암리)</t>
  </si>
  <si>
    <t>041-532-5230</t>
  </si>
  <si>
    <t>이재훈</t>
  </si>
  <si>
    <t>010-9429-1655</t>
  </si>
  <si>
    <t>gy5230@naver.com</t>
  </si>
  <si>
    <t>H0125</t>
  </si>
  <si>
    <t>천-061</t>
  </si>
  <si>
    <t>53</t>
  </si>
  <si>
    <t>노아</t>
  </si>
  <si>
    <t>전은미</t>
  </si>
  <si>
    <t>충청남도 천안시 서북구 직산읍 부송로 136 (마정리)</t>
  </si>
  <si>
    <t>041-566-5507</t>
  </si>
  <si>
    <t>이동연</t>
  </si>
  <si>
    <t>010-7212-3586</t>
  </si>
  <si>
    <t>dongyeon_lee@noahtrust.co.kr</t>
  </si>
  <si>
    <t>H0147</t>
  </si>
  <si>
    <t>천-062</t>
  </si>
  <si>
    <t>54</t>
  </si>
  <si>
    <t>서울</t>
    <phoneticPr fontId="6" type="noConversion"/>
  </si>
  <si>
    <t>(주)동승 JW메리어트 동대문스퀘어서울</t>
  </si>
  <si>
    <t>정종환, 양병덕, 김용식</t>
  </si>
  <si>
    <t>서울특별시 종로구 청계천로 279 (종로6가)</t>
  </si>
  <si>
    <t>02-2276-3174</t>
  </si>
  <si>
    <t>윤인정</t>
  </si>
  <si>
    <t>010-9788-5827</t>
  </si>
  <si>
    <t>InJeong.Yoon@marriott.com</t>
  </si>
  <si>
    <t>H0289</t>
  </si>
  <si>
    <t>천-063</t>
  </si>
  <si>
    <t>55</t>
  </si>
  <si>
    <t>히어로테크주식회사</t>
  </si>
  <si>
    <t>양권철</t>
  </si>
  <si>
    <t>충청남도 천안시 서북구 직산읍 신갈1길 53-12 (신갈리)</t>
  </si>
  <si>
    <t>041-415-1244</t>
  </si>
  <si>
    <t>양승진</t>
  </si>
  <si>
    <t>010-7271-9343</t>
  </si>
  <si>
    <t>tssales2023@daum.net</t>
  </si>
  <si>
    <t>xldptm4541@daum.net</t>
  </si>
  <si>
    <t>H0167</t>
  </si>
  <si>
    <t>천-064</t>
  </si>
  <si>
    <t>56</t>
  </si>
  <si>
    <t>(주) 제이앤지</t>
  </si>
  <si>
    <t>이동근</t>
  </si>
  <si>
    <t>충청남도 아산시 온천대로1122번길 17 (득산동)</t>
  </si>
  <si>
    <t>041-545-0637</t>
  </si>
  <si>
    <t>남진현</t>
  </si>
  <si>
    <t>010-9084-9432</t>
  </si>
  <si>
    <t>ljb1072@daum.net</t>
  </si>
  <si>
    <t xml:space="preserve">ljb1072@daum.net </t>
  </si>
  <si>
    <t>총 80만원 입금(20만원=24하)</t>
  </si>
  <si>
    <t>H0367</t>
  </si>
  <si>
    <t>천-065</t>
  </si>
  <si>
    <t>57</t>
  </si>
  <si>
    <t>범일건설(주) 휴먼마이크로바이옴 상용화센터 신축공사</t>
  </si>
  <si>
    <t>설병덕</t>
  </si>
  <si>
    <t>충청남도 아산시 배방읍 이순신대로 813-26 (장재리)</t>
  </si>
  <si>
    <t>이영근</t>
  </si>
  <si>
    <t>안전관리자</t>
  </si>
  <si>
    <t>010-8784-8397</t>
  </si>
  <si>
    <t>bumil13@hanmail.net</t>
  </si>
  <si>
    <t>H0260</t>
  </si>
  <si>
    <t>천-066</t>
  </si>
  <si>
    <t>58</t>
  </si>
  <si>
    <t>한기문, 배윤민</t>
  </si>
  <si>
    <t>국립해양생물자원관</t>
  </si>
  <si>
    <t>김현태</t>
  </si>
  <si>
    <t>충청남도 서천군 장항읍 장산로101번길 75 (송림리, 국립해양생물자원관)</t>
  </si>
  <si>
    <t>041-950-0680</t>
  </si>
  <si>
    <t>이예솔</t>
  </si>
  <si>
    <t>010-3386-6325</t>
  </si>
  <si>
    <t>leeyesol95@mabik.re.kr</t>
  </si>
  <si>
    <t>H0305</t>
  </si>
  <si>
    <t>천-067</t>
  </si>
  <si>
    <t>59</t>
  </si>
  <si>
    <t>동우건설 주식회사 천안 제2일반산업단지 재생사업</t>
  </si>
  <si>
    <t>김민환</t>
  </si>
  <si>
    <t>충청남도 천안시 서북구 2공단6길 18 (차암동)</t>
  </si>
  <si>
    <t>041-543-9595</t>
  </si>
  <si>
    <t>김태준</t>
  </si>
  <si>
    <t>010-4307-0669</t>
  </si>
  <si>
    <t>kimxowns104@naver.com</t>
  </si>
  <si>
    <t>thewin82@naver.com
dwcc1563@hanmail.net
kimxowns104@naver.com</t>
  </si>
  <si>
    <t>8/5 이주형 통화 / 처리해준다고 함</t>
  </si>
  <si>
    <t>H0368</t>
  </si>
  <si>
    <t>천-068</t>
  </si>
  <si>
    <t>60</t>
  </si>
  <si>
    <t>일성건설(주) 삭선-원북간 상하수도관 이설공사</t>
  </si>
  <si>
    <t>백종탁</t>
  </si>
  <si>
    <t>충청남도 태안군 태안읍 삭선길 505 (삭선리)</t>
  </si>
  <si>
    <t>H0163</t>
  </si>
  <si>
    <t>천-069</t>
  </si>
  <si>
    <t>61</t>
  </si>
  <si>
    <t>국립축산과학원</t>
  </si>
  <si>
    <t>임기순</t>
  </si>
  <si>
    <t>전북특별자치도 완주군 이서면 콩쥐팥쥐로 1500 (금평리, 국립축산과학원)</t>
  </si>
  <si>
    <t>063-238-7178</t>
  </si>
  <si>
    <t>김은혜</t>
  </si>
  <si>
    <t>010-9905-4498</t>
  </si>
  <si>
    <t>geace25@korea.kr</t>
  </si>
  <si>
    <t>euni2698@korea.kr</t>
  </si>
  <si>
    <t>H0369</t>
  </si>
  <si>
    <t>천-070</t>
  </si>
  <si>
    <t>62</t>
  </si>
  <si>
    <t>원광건설(주) 상방 면단위 공공하수처리시설 설치사업 시설공사</t>
  </si>
  <si>
    <t>최병환</t>
  </si>
  <si>
    <t>인천광역시 중구 중산동 1872-3</t>
  </si>
  <si>
    <t>김민</t>
  </si>
  <si>
    <t>010-7130-5539</t>
  </si>
  <si>
    <t>menofmen71@naver.com</t>
  </si>
  <si>
    <t>H0262</t>
  </si>
  <si>
    <t>천-071</t>
  </si>
  <si>
    <t>63</t>
  </si>
  <si>
    <t>(주)마노건설 설해수림 신축공사</t>
  </si>
  <si>
    <t>정봉휘</t>
  </si>
  <si>
    <t>강원특별자치도 양양군 손양면 공항로 230 (동호리)</t>
  </si>
  <si>
    <t>박현규</t>
  </si>
  <si>
    <t>010-3958-0133</t>
  </si>
  <si>
    <t>phg102818@daum.net</t>
  </si>
  <si>
    <t>H0298</t>
  </si>
  <si>
    <t>천-072</t>
  </si>
  <si>
    <t>64</t>
  </si>
  <si>
    <t>(주)대명기전 보령화력본부 저탄장 옥내화사업 소방공사</t>
  </si>
  <si>
    <t>박태주</t>
  </si>
  <si>
    <t>충청남도 보령시 오천면 오천해안로 89-37 (오포리)</t>
  </si>
  <si>
    <t>양용득</t>
  </si>
  <si>
    <t>010-4210-8924</t>
  </si>
  <si>
    <t>banstain@gmail.com</t>
  </si>
  <si>
    <t>H0304</t>
  </si>
  <si>
    <t>신규공정, 유해인자 재선정</t>
  </si>
  <si>
    <t>천-073</t>
  </si>
  <si>
    <t>65</t>
  </si>
  <si>
    <t>(주)쏠라딘</t>
  </si>
  <si>
    <t>송성훈</t>
  </si>
  <si>
    <t>경기도 화성시 동탄산단7길 98-7 (방교동)</t>
  </si>
  <si>
    <t>031-8027-2816</t>
  </si>
  <si>
    <t>윤정우</t>
  </si>
  <si>
    <t>010-2102-7824</t>
  </si>
  <si>
    <t>jwyoon@solardin.com</t>
  </si>
  <si>
    <t>tax@solardin.com</t>
  </si>
  <si>
    <t>H0169</t>
  </si>
  <si>
    <t>천-074</t>
  </si>
  <si>
    <t>66</t>
  </si>
  <si>
    <t>강종구, 배윤민</t>
  </si>
  <si>
    <t>선진정공(주)</t>
  </si>
  <si>
    <t>박성수, 박현진</t>
  </si>
  <si>
    <t>충청남도 천안시 동남구 성남면 신사운전길 199 (신사리)</t>
  </si>
  <si>
    <t>041-553-1800</t>
  </si>
  <si>
    <t>이상무</t>
  </si>
  <si>
    <t>010-2674-8978</t>
  </si>
  <si>
    <t>tryagainlee@sunjin21.co.kr</t>
  </si>
  <si>
    <t>H0279</t>
  </si>
  <si>
    <t>천-075</t>
  </si>
  <si>
    <t>67</t>
  </si>
  <si>
    <t>주식회사 리한</t>
  </si>
  <si>
    <t>박지훈, 이학선</t>
  </si>
  <si>
    <t>경기도 화성시 팔탄면 온천로 16-16 (덕우리)</t>
  </si>
  <si>
    <t>031-831-2250</t>
  </si>
  <si>
    <t>박종화</t>
  </si>
  <si>
    <t>010-8856-9846</t>
  </si>
  <si>
    <t>jonghpark@leehan.com</t>
  </si>
  <si>
    <t>H0310</t>
  </si>
  <si>
    <t>천-076</t>
  </si>
  <si>
    <t>68</t>
  </si>
  <si>
    <t>(주) 제효 마정리 단독주택 신축공사</t>
  </si>
  <si>
    <t>이백화</t>
  </si>
  <si>
    <t>충청남도 천안시 서북구 직산읍 금곡로 317 (마정리)</t>
  </si>
  <si>
    <t>김은석</t>
  </si>
  <si>
    <t>기사</t>
  </si>
  <si>
    <t>010-4830-0477</t>
  </si>
  <si>
    <t>rladmstjr22@naver.com</t>
  </si>
  <si>
    <t>H0221</t>
  </si>
  <si>
    <t>천-077</t>
  </si>
  <si>
    <t>69</t>
  </si>
  <si>
    <t>신성대학교 산학협력단</t>
  </si>
  <si>
    <t>이수근</t>
  </si>
  <si>
    <t>충청남도 당진시 정미면 대학로 1 (덕마리, 신성대학교)</t>
  </si>
  <si>
    <t>041-350-1082</t>
  </si>
  <si>
    <t>성백전</t>
  </si>
  <si>
    <t>010-4485-7082</t>
  </si>
  <si>
    <t>backjeon@shinsung.ac.kr</t>
  </si>
  <si>
    <t>H0376</t>
  </si>
  <si>
    <t>입찰, 신규 공정 측정</t>
  </si>
  <si>
    <t>천-078</t>
  </si>
  <si>
    <t>70</t>
  </si>
  <si>
    <t>이주형, 배윤민</t>
  </si>
  <si>
    <t>부여국유림관리소</t>
  </si>
  <si>
    <t>이재수</t>
  </si>
  <si>
    <t>충청남도 부여군 부여읍 능안로 8 (능산리, 부여국유림관리소)</t>
  </si>
  <si>
    <t>041-830-5012</t>
  </si>
  <si>
    <t>이현주</t>
  </si>
  <si>
    <t>010-3340-0239</t>
  </si>
  <si>
    <t>lhj0706@korea.kr</t>
  </si>
  <si>
    <t>H0217</t>
  </si>
  <si>
    <t>공정 변경, 고시물질</t>
  </si>
  <si>
    <t>천-079</t>
  </si>
  <si>
    <t>71</t>
  </si>
  <si>
    <t>강종구,배윤민,고유빈</t>
  </si>
  <si>
    <t>(주)경동원 아산공장</t>
  </si>
  <si>
    <t>김종욱</t>
  </si>
  <si>
    <t>충청남도 아산시 영인면 아산호로 331 (백석포리)</t>
  </si>
  <si>
    <t>041-539-8181</t>
  </si>
  <si>
    <t>임상윤</t>
  </si>
  <si>
    <t>010-9734-5108</t>
  </si>
  <si>
    <t>sju04093@kdiwin.com</t>
  </si>
  <si>
    <t>H0278</t>
  </si>
  <si>
    <t>천-080</t>
  </si>
  <si>
    <t>72</t>
  </si>
  <si>
    <t>강종구, 고유빈</t>
  </si>
  <si>
    <t>주식회사 경동폴리움</t>
  </si>
  <si>
    <t>장희철</t>
  </si>
  <si>
    <t>041-539-8116</t>
  </si>
  <si>
    <t>H0268</t>
  </si>
  <si>
    <t>고시물질, 소음 초과, 신규 공정 측정</t>
  </si>
  <si>
    <t>천-081</t>
  </si>
  <si>
    <t>73</t>
  </si>
  <si>
    <t>이주형,강종구,배윤민,고유빈</t>
  </si>
  <si>
    <t>주식회사 휴스틸</t>
  </si>
  <si>
    <t>박훈, 윤형원</t>
  </si>
  <si>
    <t>충청남도 당진시 송악읍 부곡공단로 131 (부곡리, 휴스틸)</t>
  </si>
  <si>
    <t>041-350-8119</t>
  </si>
  <si>
    <t>구나래</t>
  </si>
  <si>
    <t>010-4861-9291</t>
  </si>
  <si>
    <t>9nr9@husteel.com</t>
  </si>
  <si>
    <t>H0166</t>
  </si>
  <si>
    <t>천-082</t>
  </si>
  <si>
    <t>S. Y테크</t>
  </si>
  <si>
    <t>손석환</t>
  </si>
  <si>
    <t>충청남도 천안시 서북구 성환읍 우신새터길 40 (우신리)</t>
  </si>
  <si>
    <t>041-583-8305</t>
  </si>
  <si>
    <t>010-3568-8305</t>
  </si>
  <si>
    <t>sonsh61@nate.com</t>
  </si>
  <si>
    <t>H0214</t>
  </si>
  <si>
    <t>천-083</t>
  </si>
  <si>
    <t>74</t>
  </si>
  <si>
    <t>(주)삼정오토메이션</t>
  </si>
  <si>
    <t>신동익</t>
  </si>
  <si>
    <t>경기도 화성시 동탄산단4길 9-34 (방교동)</t>
  </si>
  <si>
    <t>031-469-3090</t>
  </si>
  <si>
    <t>백유현</t>
  </si>
  <si>
    <t>010-4745-3840</t>
  </si>
  <si>
    <t>seohb@sjautomation.com</t>
  </si>
  <si>
    <t>H0178</t>
  </si>
  <si>
    <t>천-084</t>
  </si>
  <si>
    <t>케이피테크</t>
  </si>
  <si>
    <t>김경택외 1명</t>
  </si>
  <si>
    <t>충청남도 천안시 서북구 입장면 석재길 51, 1층 (하장리)</t>
  </si>
  <si>
    <t>041-585-0086</t>
  </si>
  <si>
    <t>김경택</t>
  </si>
  <si>
    <t>010-7162-7218</t>
  </si>
  <si>
    <t>kptech0086@nate.com</t>
  </si>
  <si>
    <t>H0378</t>
  </si>
  <si>
    <t>천-085</t>
  </si>
  <si>
    <t>75</t>
  </si>
  <si>
    <t>드림테크정보통신주식회사 천안 스마트그린산단 통합관제센터 지능형CCTV 기초설비 구축</t>
  </si>
  <si>
    <t>구철회</t>
  </si>
  <si>
    <t>충청남도 천안시 서북구 차암동 540 일원</t>
  </si>
  <si>
    <t>041-571-9426</t>
  </si>
  <si>
    <t>윤지수</t>
  </si>
  <si>
    <t>010-6335-5492</t>
  </si>
  <si>
    <t>dbswltnekd3@naver.com</t>
  </si>
  <si>
    <t>H0186</t>
  </si>
  <si>
    <t>천-086</t>
  </si>
  <si>
    <t>76</t>
  </si>
  <si>
    <t>이주형, 고유빈</t>
  </si>
  <si>
    <t>의료법인 삼광의료재단</t>
  </si>
  <si>
    <t>황태국</t>
  </si>
  <si>
    <t>서울특별시 서초구 바우뫼로41길 57 (양재동, 삼광빌딩)</t>
  </si>
  <si>
    <t>02-3497-5734</t>
  </si>
  <si>
    <t>김란은</t>
  </si>
  <si>
    <t>010-9865-0930</t>
  </si>
  <si>
    <t>rekim@smlab.co.kr</t>
  </si>
  <si>
    <t>H0321</t>
  </si>
  <si>
    <t>천-087</t>
  </si>
  <si>
    <t>77</t>
  </si>
  <si>
    <t>주식회사 푸르내</t>
  </si>
  <si>
    <t>전인왕</t>
  </si>
  <si>
    <t>경기도 이천시 모가면 진상미로1044번길 83-17 (서경리)</t>
  </si>
  <si>
    <t>031-764-9846</t>
  </si>
  <si>
    <t>김은아</t>
  </si>
  <si>
    <t>010-8993-4657</t>
  </si>
  <si>
    <t>kingjj7@hanmail.net</t>
  </si>
  <si>
    <t>H0379</t>
  </si>
  <si>
    <t>노동부 보고 X</t>
  </si>
  <si>
    <t>천-088</t>
  </si>
  <si>
    <t>이주형,강종구,고유빈</t>
  </si>
  <si>
    <t>포항</t>
  </si>
  <si>
    <t>해군항공사령부</t>
  </si>
  <si>
    <t>조영상</t>
  </si>
  <si>
    <t>경상북도 포항시 남구 청림서길 53 (청림동)</t>
  </si>
  <si>
    <t>054-290-6874</t>
  </si>
  <si>
    <t>김성민</t>
  </si>
  <si>
    <t>주무관</t>
  </si>
  <si>
    <t>010-5078-3604</t>
  </si>
  <si>
    <t>H0320</t>
  </si>
  <si>
    <t>천-089</t>
  </si>
  <si>
    <t>79</t>
  </si>
  <si>
    <t>성연테크</t>
  </si>
  <si>
    <t>정현수</t>
  </si>
  <si>
    <t>충청남도 천안시 서북구 백석공단3길 66 (백석동)</t>
  </si>
  <si>
    <t>041-578-3766</t>
  </si>
  <si>
    <t>강혜진</t>
  </si>
  <si>
    <t>010-7678-9829</t>
  </si>
  <si>
    <t>hjkang@sungyeon.net</t>
  </si>
  <si>
    <t>H0382</t>
  </si>
  <si>
    <t>타기관 신규, 공정 변경, 고시물질</t>
  </si>
  <si>
    <t>천-090</t>
  </si>
  <si>
    <t>80</t>
  </si>
  <si>
    <t>주식회사 수천중공업</t>
  </si>
  <si>
    <t>김현진</t>
  </si>
  <si>
    <t>충청남도 홍성군 갈산면 산단로388번길 33 (취생리, (주)수천중공업)</t>
  </si>
  <si>
    <t>041-635-0601</t>
  </si>
  <si>
    <t>임재영</t>
  </si>
  <si>
    <t>안전담당</t>
  </si>
  <si>
    <t>010-6371-9061</t>
  </si>
  <si>
    <t>biz@suchun.co.kr</t>
  </si>
  <si>
    <t>suchun111@hometax.go.kr</t>
  </si>
  <si>
    <t>H0306</t>
  </si>
  <si>
    <t>천-091</t>
  </si>
  <si>
    <t>81</t>
  </si>
  <si>
    <t>천지산업</t>
  </si>
  <si>
    <t>김현순</t>
  </si>
  <si>
    <t>충청북도 청주시 서원구 현도면 시목외천로 441-23 (상삼리)</t>
  </si>
  <si>
    <t>043-262-4695</t>
  </si>
  <si>
    <t>이용진</t>
  </si>
  <si>
    <t>전무</t>
  </si>
  <si>
    <t>010-6363-1348</t>
  </si>
  <si>
    <t>talkman2ya@amorepacific.com</t>
  </si>
  <si>
    <t>jhleeqn@nate.com</t>
  </si>
  <si>
    <t>H0384</t>
  </si>
  <si>
    <t>타기관 신규</t>
  </si>
  <si>
    <t>천-092</t>
  </si>
  <si>
    <t>82</t>
  </si>
  <si>
    <t>주식회사 미성코퍼레이션</t>
  </si>
  <si>
    <t>H0374</t>
  </si>
  <si>
    <t>입찰, 전회 미실시(작업무)</t>
  </si>
  <si>
    <t>천-093</t>
  </si>
  <si>
    <t>83</t>
  </si>
  <si>
    <t>보은국유림관리소</t>
  </si>
  <si>
    <t>송광헌</t>
  </si>
  <si>
    <t>충청북도 보은군 보은읍 장신로 46 (장신리, 보은국유림관리소)</t>
  </si>
  <si>
    <t>043-540-7013</t>
  </si>
  <si>
    <t>입찰</t>
  </si>
  <si>
    <t>기존 측정기관에서 국고신청 해둔 상황 예상</t>
  </si>
  <si>
    <t>H0203</t>
  </si>
  <si>
    <t>천-094</t>
  </si>
  <si>
    <t>84</t>
  </si>
  <si>
    <t>(주)비츠로밀텍</t>
  </si>
  <si>
    <t>변영철</t>
  </si>
  <si>
    <t>충청남도 천안시 동남구 풍세면 풍세산단로 58 (용정리)</t>
  </si>
  <si>
    <t>041-529-4004</t>
  </si>
  <si>
    <t>채희찬</t>
  </si>
  <si>
    <t>010-8533-8668</t>
  </si>
  <si>
    <t>hcchae@vizromiltech.com</t>
  </si>
  <si>
    <t>hcchae@vitzromiltech.com</t>
  </si>
  <si>
    <t>H0007</t>
  </si>
  <si>
    <t>천-095</t>
  </si>
  <si>
    <t>85</t>
  </si>
  <si>
    <t>(주)신태양 천안공장</t>
  </si>
  <si>
    <t>충청남도 천안시 서북구 직산읍 성진로 154-14 (군동리)</t>
  </si>
  <si>
    <t>041-585-9571</t>
  </si>
  <si>
    <t>박가영</t>
  </si>
  <si>
    <t>010-4611-6358</t>
  </si>
  <si>
    <t>dnfqhrkduddl@naver.com</t>
  </si>
  <si>
    <t>H0179</t>
  </si>
  <si>
    <t>고시물질, 공정 수시변경</t>
  </si>
  <si>
    <t>천-096</t>
  </si>
  <si>
    <t>86</t>
  </si>
  <si>
    <t>이주형,배윤민,고유빈</t>
  </si>
  <si>
    <t>에이치디현대삼호 주식회사 보령발전본부 저탄장 옥내화 건설사업</t>
  </si>
  <si>
    <t>김재을</t>
  </si>
  <si>
    <t>김수빈</t>
  </si>
  <si>
    <t>010-4802-6295</t>
  </si>
  <si>
    <t>o001737@hshi.co.kr</t>
  </si>
  <si>
    <t>o001737@hshi.co.kr(현대삼호)
psh@tongyanginc.co.kr(동양건설)</t>
  </si>
  <si>
    <t>2025-06-23, 2025-07-08</t>
    <phoneticPr fontId="6" type="noConversion"/>
  </si>
  <si>
    <t>2025-07-15, 2025-08-29</t>
    <phoneticPr fontId="6" type="noConversion"/>
  </si>
  <si>
    <t>계산서 : 2025-06-23 현대삼호(970만원), 2025-07-08 (주)동양(140만원), 입금 : 2025-07-15(현대삼호), 2025-08-29((주)동양)</t>
    <phoneticPr fontId="6" type="noConversion"/>
  </si>
  <si>
    <t>H0373</t>
  </si>
  <si>
    <t>입찰, 신규 유해인자 측정</t>
  </si>
  <si>
    <t>천-097</t>
  </si>
  <si>
    <t>87</t>
  </si>
  <si>
    <t>충주</t>
  </si>
  <si>
    <t>충주국유림관리소</t>
  </si>
  <si>
    <t>김종룡</t>
  </si>
  <si>
    <t>충청북도 충주시 중원대로 3006 (단월동, 충주국유림관리소)</t>
  </si>
  <si>
    <t>043-850-0312</t>
  </si>
  <si>
    <t>H0261</t>
  </si>
  <si>
    <t>천-098</t>
  </si>
  <si>
    <t>88</t>
  </si>
  <si>
    <t>신화종합건설(주) 연구동 환경개선사업 건축공사</t>
  </si>
  <si>
    <t>조춘희</t>
  </si>
  <si>
    <t>충청남도 천안시 서북구 입장면 양대기로길 89 (기로리, 한국생산기술연구원)</t>
  </si>
  <si>
    <t>고상순</t>
  </si>
  <si>
    <t>안전과장</t>
  </si>
  <si>
    <t>010-5136-2272</t>
  </si>
  <si>
    <t>k1273s@naver.com</t>
  </si>
  <si>
    <t>cch44@daum.net, kasa0303@naver.com</t>
  </si>
  <si>
    <t>H0276</t>
  </si>
  <si>
    <t>천-099</t>
  </si>
  <si>
    <t>89</t>
  </si>
  <si>
    <t>주식회사 에코리치</t>
  </si>
  <si>
    <t>윤성호</t>
  </si>
  <si>
    <t>충청북도 청주시 청원구 오창읍 두릉유리로 50-1 (성재리)</t>
  </si>
  <si>
    <t>043-215-3080</t>
  </si>
  <si>
    <t>김민정</t>
  </si>
  <si>
    <t>010-9115-3925</t>
  </si>
  <si>
    <t>100mesh@naver.com</t>
  </si>
  <si>
    <t>H0326</t>
  </si>
  <si>
    <t>천-100</t>
  </si>
  <si>
    <t>광주</t>
  </si>
  <si>
    <t>주식회사 와이케이건기 나주센터</t>
  </si>
  <si>
    <t>채호선</t>
  </si>
  <si>
    <t>전라남도 나주시 다시면 영산로 4731 (가운리, YK건기)</t>
  </si>
  <si>
    <t>070-4884-1646</t>
  </si>
  <si>
    <t>윤영민</t>
  </si>
  <si>
    <t>010-6763-8287</t>
  </si>
  <si>
    <t>ym_yoon@sunnyyk.co.kr</t>
  </si>
  <si>
    <t>sunnyyk@sunnyyk.co.kr</t>
  </si>
  <si>
    <t>와이케이건기 통합</t>
  </si>
  <si>
    <t>H0324</t>
  </si>
  <si>
    <t>천-101</t>
  </si>
  <si>
    <t>주식회사 와이케이건기 청주센터</t>
  </si>
  <si>
    <t>충청북도 청주시 흥덕구 강내면 서부로 458-8 (궁현리)</t>
  </si>
  <si>
    <t>1588-3806</t>
  </si>
  <si>
    <t>유서연</t>
  </si>
  <si>
    <t>010-5037-7779</t>
  </si>
  <si>
    <t>sh_yoo@sunnyyk.co.kr</t>
  </si>
  <si>
    <t>H0330</t>
  </si>
  <si>
    <t>천-102</t>
  </si>
  <si>
    <t>90</t>
  </si>
  <si>
    <t>주식회사 와이케이건기 화성센터</t>
  </si>
  <si>
    <t>경기도 화성시 남양읍 주석로 337 (북양리)</t>
  </si>
  <si>
    <t>010-2004-1834</t>
  </si>
  <si>
    <t>bs_kim@sunnyyk.co.kr</t>
  </si>
  <si>
    <t>H0375</t>
  </si>
  <si>
    <t>천-103</t>
  </si>
  <si>
    <t>91</t>
  </si>
  <si>
    <t>단양국유림관리소</t>
  </si>
  <si>
    <t>충청북도 단양군 단양읍 별곡6길 15 (별곡리, 단양국유림관리소)</t>
  </si>
  <si>
    <t>043-420-0312</t>
  </si>
  <si>
    <t>H0329</t>
  </si>
  <si>
    <t>천-104</t>
  </si>
  <si>
    <t>92</t>
  </si>
  <si>
    <t>주식회사 와이케이건기 전주센터</t>
  </si>
  <si>
    <t>전북특별자치도 완주군 삼례읍 삼례나들목로 344 (삼례리)</t>
  </si>
  <si>
    <t>황상규</t>
  </si>
  <si>
    <t>센터장</t>
  </si>
  <si>
    <t>010-6578-7611</t>
  </si>
  <si>
    <t>sk_hwang@sunnyyk.co.kr</t>
  </si>
  <si>
    <t>H0328</t>
  </si>
  <si>
    <t>천-105</t>
  </si>
  <si>
    <t>93</t>
  </si>
  <si>
    <t>고양</t>
  </si>
  <si>
    <t>주식회사 와이케이건기 일산센터</t>
  </si>
  <si>
    <t>경기도 고양시 일산동구 공릉천로187번길 38 (사리현동)</t>
  </si>
  <si>
    <t>곽성준</t>
  </si>
  <si>
    <t>직장</t>
  </si>
  <si>
    <t>010-8610-2527</t>
  </si>
  <si>
    <t>yk_lee@sunnyyk.co.kr</t>
  </si>
  <si>
    <t>H0381</t>
  </si>
  <si>
    <t>천-106</t>
  </si>
  <si>
    <t>94</t>
  </si>
  <si>
    <t>(주)유에스티 (UST CO., Ltd)</t>
  </si>
  <si>
    <t>방민규</t>
  </si>
  <si>
    <t>경기도 화성시 동탄산단2길 50 (방교동, (주)유에스티 본사)</t>
  </si>
  <si>
    <t>070-7721-3770</t>
  </si>
  <si>
    <t>정미선</t>
  </si>
  <si>
    <t>msjeong@ust.co</t>
  </si>
  <si>
    <t>ust@ust.co</t>
  </si>
  <si>
    <t>H0383</t>
  </si>
  <si>
    <t>천-107</t>
  </si>
  <si>
    <t>95</t>
  </si>
  <si>
    <t>주식회사 제이에스엠씨</t>
  </si>
  <si>
    <t>김태섭, 박규형, 유창호</t>
  </si>
  <si>
    <t>경기도 용인시 처인구 임원로 130-1 (고림동)</t>
  </si>
  <si>
    <t>031-526-6697</t>
  </si>
  <si>
    <t>최종해</t>
  </si>
  <si>
    <t>010-8706-7062</t>
  </si>
  <si>
    <t>azamong@naver.com</t>
  </si>
  <si>
    <t>jsmc526@daum.net</t>
  </si>
  <si>
    <t>H0327</t>
  </si>
  <si>
    <t>천-108</t>
  </si>
  <si>
    <t>96</t>
  </si>
  <si>
    <t>주식회사 와이케이건기 용인센터</t>
  </si>
  <si>
    <t>경기도 용인시 처인구 모현읍 곡현로 847 (일산리)</t>
  </si>
  <si>
    <t>황지수</t>
  </si>
  <si>
    <t>010-6289-6642</t>
  </si>
  <si>
    <t>js_hwang@sunnyyk.co.kr</t>
  </si>
  <si>
    <t>H0334</t>
  </si>
  <si>
    <t>천-109</t>
  </si>
  <si>
    <t>97</t>
  </si>
  <si>
    <t>안동</t>
  </si>
  <si>
    <t>주식회사 와이케이건기 안동센터</t>
  </si>
  <si>
    <t>경상북도 안동시 풍산읍 풍산공단길 13 (괴정리)</t>
  </si>
  <si>
    <t>070-4884-0663</t>
  </si>
  <si>
    <t>이재환</t>
  </si>
  <si>
    <t>010-5099-7363</t>
  </si>
  <si>
    <t>jh_lee1@sunnyyk.co.kr</t>
  </si>
  <si>
    <t>H0255</t>
  </si>
  <si>
    <t>전회 미실시(작업무)</t>
  </si>
  <si>
    <t>천-110</t>
  </si>
  <si>
    <t>98</t>
  </si>
  <si>
    <t>주식회사 경동폴리움 가산</t>
  </si>
  <si>
    <t>충청남도 아산시 선장면 삽교천로 104 (가산리)</t>
  </si>
  <si>
    <t>041-539-8114</t>
  </si>
  <si>
    <t>H0335</t>
  </si>
  <si>
    <t>천-111</t>
  </si>
  <si>
    <t>대구서부</t>
  </si>
  <si>
    <t>주식회사 와이케이건기 대구센터</t>
  </si>
  <si>
    <t>경상북도 고령군 성산면 성산로 1050 (득성리)</t>
  </si>
  <si>
    <t>070-4884-0662</t>
  </si>
  <si>
    <t>김기원</t>
  </si>
  <si>
    <t>010-6660-5496</t>
  </si>
  <si>
    <t>kw_kim@sunnyyk.co.kr</t>
  </si>
  <si>
    <t>H0387</t>
  </si>
  <si>
    <t>천-112</t>
  </si>
  <si>
    <t>99</t>
  </si>
  <si>
    <t>주식회사 무한종합건설 주식회사 부흥금속 가내리 263-1 신축공사</t>
  </si>
  <si>
    <t>충청남도 아산시 신창면 가내길 27-35 (가내리)</t>
  </si>
  <si>
    <t>041-549-6077</t>
  </si>
  <si>
    <t>H0230</t>
  </si>
  <si>
    <t>천-113</t>
  </si>
  <si>
    <t>100</t>
  </si>
  <si>
    <t>아로마라인 주식회사</t>
  </si>
  <si>
    <t>이동현</t>
  </si>
  <si>
    <t>경기도 성남시 중원구 둔촌대로466번길 16 (상대원동)</t>
  </si>
  <si>
    <t>031-734-7744</t>
  </si>
  <si>
    <t>박가람</t>
  </si>
  <si>
    <t>010-2039-1879</t>
  </si>
  <si>
    <t>csflim@csfood.com</t>
  </si>
  <si>
    <t>H0181</t>
  </si>
  <si>
    <t>고시물질, 신규 공정, 공정 변경</t>
  </si>
  <si>
    <t>천-114</t>
  </si>
  <si>
    <t>101</t>
  </si>
  <si>
    <t>(주)두원전자</t>
  </si>
  <si>
    <t>김종완</t>
  </si>
  <si>
    <t>충청남도 아산시 영인면 월선길 4-16 (월선리)</t>
  </si>
  <si>
    <t>041-421-0021</t>
  </si>
  <si>
    <t>이동엽</t>
  </si>
  <si>
    <t>010-6289-8617</t>
  </si>
  <si>
    <t>ldy@dwdec.kr</t>
  </si>
  <si>
    <t>H0316</t>
  </si>
  <si>
    <t>천-115</t>
  </si>
  <si>
    <t>주식회사 와이케이건기 강릉센터</t>
  </si>
  <si>
    <t>강원특별자치도 강릉시 사천면 청솔공원길 86-14 (석교리)</t>
  </si>
  <si>
    <t>지태환</t>
  </si>
  <si>
    <t>010-3973-0545</t>
  </si>
  <si>
    <t>th_ji@sunnyyk.co.kr</t>
  </si>
  <si>
    <t>H0325</t>
  </si>
  <si>
    <t>천-116</t>
  </si>
  <si>
    <t>102</t>
  </si>
  <si>
    <t>천안다나힐병원</t>
  </si>
  <si>
    <t>김용준</t>
  </si>
  <si>
    <t>충청남도 천안시 동남구 터미널3길 5 (신부동)</t>
  </si>
  <si>
    <t>041-562-7000</t>
  </si>
  <si>
    <t>구성모</t>
  </si>
  <si>
    <t>원무과장</t>
  </si>
  <si>
    <t>010-5671-5111</t>
  </si>
  <si>
    <t>blueblizzard@naver.com</t>
  </si>
  <si>
    <t>danaheal2021@naver.com</t>
  </si>
  <si>
    <t>H0318</t>
  </si>
  <si>
    <t>천-117</t>
  </si>
  <si>
    <t>103</t>
  </si>
  <si>
    <t>주식회사 와이케이건기 횡성센터</t>
  </si>
  <si>
    <t>강원특별자치도 횡성군 횡성읍 한우로조곡1길 11 (조곡리)</t>
  </si>
  <si>
    <t>민성진</t>
  </si>
  <si>
    <t>010-9457-5509</t>
  </si>
  <si>
    <t>sj_min@sunnyyk.co.kr</t>
  </si>
  <si>
    <t>H0386</t>
  </si>
  <si>
    <t>천-118</t>
  </si>
  <si>
    <t>104</t>
  </si>
  <si>
    <t>한기문, 고유빈</t>
  </si>
  <si>
    <t>울산</t>
  </si>
  <si>
    <t>에쓰씨엔지니어링(주) 케이앤디에너젠 SHC-1 PROJECT 건설공사</t>
  </si>
  <si>
    <t>김기웅</t>
  </si>
  <si>
    <t>울산광역시 울주군 온산읍 산암로 213 (산암리)</t>
  </si>
  <si>
    <t>02-2167-9330</t>
  </si>
  <si>
    <t>박원섭</t>
  </si>
  <si>
    <t>010-3611-2886</t>
  </si>
  <si>
    <t>wsbak71@sc-eng.com</t>
  </si>
  <si>
    <t>H0339</t>
  </si>
  <si>
    <t>천-119</t>
  </si>
  <si>
    <t>양산</t>
  </si>
  <si>
    <t>주식회사 와이케이건기 김해센터</t>
  </si>
  <si>
    <t>경상남도 김해시 생림면 생림대로 399-11 (나전리)</t>
  </si>
  <si>
    <t>선영수</t>
  </si>
  <si>
    <t>010-3501-4866</t>
  </si>
  <si>
    <t>ys_sun@sunnyyk.co.kr</t>
  </si>
  <si>
    <t>H0337</t>
  </si>
  <si>
    <t>천-120</t>
  </si>
  <si>
    <t>주식회사 와이케이건기 경주센터</t>
  </si>
  <si>
    <t>경상북도 경주시 천북면 모아동산길 289 (동산리)</t>
  </si>
  <si>
    <t>김용국</t>
  </si>
  <si>
    <t>010-4116-7116</t>
  </si>
  <si>
    <t>yg_kim@sunnyyk.co.kr</t>
  </si>
  <si>
    <t>H0338</t>
  </si>
  <si>
    <t>천-121</t>
  </si>
  <si>
    <t>주식회사 와이케이건기 울산센터</t>
  </si>
  <si>
    <t>울산광역시 울주군 온산읍 온산로 272 (학남리)</t>
  </si>
  <si>
    <t>070-4894-4885</t>
  </si>
  <si>
    <t>이승준</t>
  </si>
  <si>
    <t>010-4768-9661</t>
  </si>
  <si>
    <t>sj_lee@sunnyyk.co.kr</t>
  </si>
  <si>
    <t>H0332</t>
  </si>
  <si>
    <t>천-122</t>
  </si>
  <si>
    <t>105</t>
  </si>
  <si>
    <t>주식회사 와이케이건기 옥천센터</t>
  </si>
  <si>
    <t>충청북도 옥천군 옥천읍 서부로 371-12 (삼청리)</t>
  </si>
  <si>
    <t>박정기</t>
  </si>
  <si>
    <t>010-9239-0606</t>
  </si>
  <si>
    <t>ocas@sunnyyk.co.kr</t>
  </si>
  <si>
    <t>H0385</t>
  </si>
  <si>
    <t>천-123</t>
  </si>
  <si>
    <t>106</t>
  </si>
  <si>
    <t>(주) 보성산업</t>
  </si>
  <si>
    <t>최정운</t>
  </si>
  <si>
    <t>충청남도 천안시 동남구 신방남부길 3 (신방동, 보성산업)</t>
  </si>
  <si>
    <t>041-577-6294</t>
  </si>
  <si>
    <t>신지훈</t>
  </si>
  <si>
    <t>010-8448-6294</t>
  </si>
  <si>
    <t>bosung6294@daum.net</t>
  </si>
  <si>
    <t>H0336</t>
  </si>
  <si>
    <t>천-124</t>
  </si>
  <si>
    <t>진주</t>
  </si>
  <si>
    <t>주식회사 와이케이건기 사천센터</t>
  </si>
  <si>
    <t>경상남도 사천시 축동면 서삼로 1177 (구호리)</t>
  </si>
  <si>
    <t>070-4884-0667</t>
  </si>
  <si>
    <t>김정국</t>
  </si>
  <si>
    <t>010-4581-7317</t>
  </si>
  <si>
    <t>jk_kim1@sunnyyk.co.kr</t>
  </si>
  <si>
    <t>H0389</t>
  </si>
  <si>
    <t>타기관 신규, 신규 공정, 소음 85 이상</t>
  </si>
  <si>
    <t>천-125</t>
  </si>
  <si>
    <t>107</t>
  </si>
  <si>
    <t>강종구, 이주형</t>
  </si>
  <si>
    <t>한일산업 (주)</t>
  </si>
  <si>
    <t>김장한, 김정동</t>
  </si>
  <si>
    <t>충청남도 아산시 신창면 서부남로 561 (궁화리)</t>
  </si>
  <si>
    <t>041-541-2833</t>
  </si>
  <si>
    <t>구훈회</t>
  </si>
  <si>
    <t>010-9430-0842</t>
  </si>
  <si>
    <t>hhgu1@ihanil.co.kr</t>
  </si>
  <si>
    <t>hanil@bill36524.com</t>
  </si>
  <si>
    <t>H0150</t>
  </si>
  <si>
    <t>천-126</t>
  </si>
  <si>
    <t>108</t>
  </si>
  <si>
    <t>(주)한마</t>
  </si>
  <si>
    <t>강병영</t>
  </si>
  <si>
    <t>충청남도 당진시 면천면 산업단지길 31 (문봉리)</t>
  </si>
  <si>
    <t>041-356-9355</t>
  </si>
  <si>
    <t>010-8777-9355</t>
  </si>
  <si>
    <t>briankby@naver.com</t>
  </si>
  <si>
    <t>H0392</t>
  </si>
  <si>
    <t>타기관 신규, 공정 변경</t>
  </si>
  <si>
    <t>천-127</t>
  </si>
  <si>
    <t>109</t>
  </si>
  <si>
    <t>한기문, 강종구</t>
  </si>
  <si>
    <t>엠케이에스코리아 유한회사</t>
  </si>
  <si>
    <t>HENRY CHUAN CHIH CHANG(헨리추안치창)</t>
  </si>
  <si>
    <t>경기도 용인시 기흥구 원고매로 12 (고매동)</t>
  </si>
  <si>
    <t>031-8021-1320</t>
  </si>
  <si>
    <t>김지선</t>
  </si>
  <si>
    <t>010-4085-0234</t>
  </si>
  <si>
    <t>jiseon.kim@mks.com</t>
  </si>
  <si>
    <t>Jiseon.kim@mks.com</t>
  </si>
  <si>
    <t>H0120</t>
  </si>
  <si>
    <t>대전</t>
  </si>
  <si>
    <t>대-001</t>
  </si>
  <si>
    <t>0</t>
  </si>
  <si>
    <t>대청모터스</t>
  </si>
  <si>
    <t>강윤구</t>
  </si>
  <si>
    <t>대전광역시 대덕구 대덕대로 1400 (신일동)</t>
  </si>
  <si>
    <t>042-931-8935</t>
  </si>
  <si>
    <t>042-931-8936</t>
  </si>
  <si>
    <t>010-9959-8989</t>
  </si>
  <si>
    <t>kuk9029@hanmail.net</t>
  </si>
  <si>
    <t>22만원 입금됨 / 2만원 반환</t>
  </si>
  <si>
    <t>H0196</t>
  </si>
  <si>
    <t>대-002</t>
  </si>
  <si>
    <t>두리모터스</t>
  </si>
  <si>
    <t>김천호</t>
  </si>
  <si>
    <t>대전광역시 대덕구 산업단지로 92-16 (신일동)</t>
  </si>
  <si>
    <t>042-934-0277</t>
  </si>
  <si>
    <t>042-934-0278</t>
  </si>
  <si>
    <t>황선희</t>
  </si>
  <si>
    <t>010-9989-4864</t>
  </si>
  <si>
    <t>drmotors0277@naver.com</t>
  </si>
  <si>
    <t>H0119</t>
  </si>
  <si>
    <t>대-003</t>
  </si>
  <si>
    <t>주식회사 대우대덕정비사업소</t>
  </si>
  <si>
    <t>박채은</t>
  </si>
  <si>
    <t>대전광역시 대덕구 신일동로 7 (신일동)</t>
  </si>
  <si>
    <t>042-935-0981</t>
  </si>
  <si>
    <t>042-936-1808</t>
  </si>
  <si>
    <t>010-7604-1770</t>
  </si>
  <si>
    <t>gkwk1770@naver.com</t>
  </si>
  <si>
    <t>H0040</t>
  </si>
  <si>
    <t>대-004</t>
  </si>
  <si>
    <t>(주)다정공업사</t>
  </si>
  <si>
    <t>김효남</t>
  </si>
  <si>
    <t>대전광역시 대덕구 신탄진로 1, 정비동 2층 (읍내동)</t>
  </si>
  <si>
    <t>042-626-3884</t>
  </si>
  <si>
    <t>042-626-3885</t>
  </si>
  <si>
    <t>010-2050-3884</t>
  </si>
  <si>
    <t>dajung3885@naver.com</t>
  </si>
  <si>
    <t>H0039</t>
  </si>
  <si>
    <t>대-005</t>
  </si>
  <si>
    <t>대한상용자동차</t>
  </si>
  <si>
    <t>전일하 외 5명</t>
  </si>
  <si>
    <t>대전광역시 대덕구 신탄진로 1 (읍내동)</t>
  </si>
  <si>
    <t>042-632-2220</t>
  </si>
  <si>
    <t>042-632-2228</t>
  </si>
  <si>
    <t>전일하</t>
  </si>
  <si>
    <t>010-8838-9297</t>
  </si>
  <si>
    <t>korex2220@naver.com</t>
  </si>
  <si>
    <t>H0041</t>
  </si>
  <si>
    <t>대-006</t>
  </si>
  <si>
    <t>세광자동차공업사</t>
  </si>
  <si>
    <t>권형철</t>
  </si>
  <si>
    <t>대전광역시 대덕구 대전로1397번안길 54 (읍내동)</t>
  </si>
  <si>
    <t>042-623-8252</t>
  </si>
  <si>
    <t>042-623-8251</t>
  </si>
  <si>
    <t>010-6432-0782</t>
  </si>
  <si>
    <t>79kwohc@naver.com</t>
  </si>
  <si>
    <t>H0340</t>
  </si>
  <si>
    <t>대-007</t>
  </si>
  <si>
    <t>동아자동차기업 주식회사</t>
  </si>
  <si>
    <t>박종길</t>
  </si>
  <si>
    <t>대전광역시 대덕구 대화로50번길 96 (대화동)</t>
  </si>
  <si>
    <t>042-626-1800</t>
  </si>
  <si>
    <t>042-631-0425</t>
  </si>
  <si>
    <t>우종만</t>
  </si>
  <si>
    <t>부사장</t>
  </si>
  <si>
    <t>010-9624-1800</t>
  </si>
  <si>
    <t>jjong2347@hanmail.net</t>
  </si>
  <si>
    <t>H0015</t>
  </si>
  <si>
    <t>대-008</t>
  </si>
  <si>
    <t>한반도1급자동차공업사</t>
  </si>
  <si>
    <t>홍돈기</t>
  </si>
  <si>
    <t>대전광역시 대덕구 대화로52번길 162 (대화동)</t>
  </si>
  <si>
    <t>042-625-1919</t>
  </si>
  <si>
    <t>042-625-5262</t>
  </si>
  <si>
    <t>010-4472-7913</t>
  </si>
  <si>
    <t>ddd0225@naver.com</t>
  </si>
  <si>
    <t>H0020</t>
  </si>
  <si>
    <t>대-009</t>
  </si>
  <si>
    <t>대성공업사</t>
  </si>
  <si>
    <t>이기태 외 1명</t>
  </si>
  <si>
    <t>대전광역시 대덕구 대화로 16 (대화동)</t>
  </si>
  <si>
    <t>042-624-7771</t>
  </si>
  <si>
    <t>042-633-2688</t>
  </si>
  <si>
    <t>이기태</t>
  </si>
  <si>
    <t>010-3408-7777</t>
  </si>
  <si>
    <t>ds6247771@naver.com</t>
  </si>
  <si>
    <t>H0021</t>
  </si>
  <si>
    <t>대-010</t>
  </si>
  <si>
    <t>대성모터스</t>
  </si>
  <si>
    <t>박종대</t>
  </si>
  <si>
    <t>042-636-0363</t>
  </si>
  <si>
    <t>042-636-0364</t>
  </si>
  <si>
    <t>010-5092-0364</t>
  </si>
  <si>
    <t>pppt0364@hanmail.net</t>
  </si>
  <si>
    <t>H0258</t>
  </si>
  <si>
    <t>대-011</t>
  </si>
  <si>
    <t>시온모터스</t>
  </si>
  <si>
    <t>지봉춘</t>
  </si>
  <si>
    <t>대전광역시 대덕구 대화로 16, 지하층 (대화동)</t>
  </si>
  <si>
    <t>042-672-7588</t>
  </si>
  <si>
    <t>042-672-7688</t>
  </si>
  <si>
    <t>대표이사</t>
  </si>
  <si>
    <t>010-9548-7588</t>
  </si>
  <si>
    <t>wlqhdcns12@naver.com</t>
  </si>
  <si>
    <t>H0135</t>
  </si>
  <si>
    <t>대-012</t>
  </si>
  <si>
    <t>광림자동차공업사</t>
  </si>
  <si>
    <t>배석희</t>
  </si>
  <si>
    <t>대전광역시 대덕구 상서당1길 50 (상서동)</t>
  </si>
  <si>
    <t>042-932-7755</t>
  </si>
  <si>
    <t>042-934-9115</t>
  </si>
  <si>
    <t>010-4531-0228</t>
  </si>
  <si>
    <t>kanglimcar@hanmail.net</t>
  </si>
  <si>
    <t>H0027</t>
  </si>
  <si>
    <t>대-013</t>
  </si>
  <si>
    <t>주식회사 대영1급자동차공업사</t>
  </si>
  <si>
    <t>한동철, 전욱진</t>
  </si>
  <si>
    <t>대전광역시 대덕구 상서당3길 27-1 (상서동)</t>
  </si>
  <si>
    <t>042-936-0086</t>
  </si>
  <si>
    <t>042-936-0097</t>
  </si>
  <si>
    <t>최윤정</t>
  </si>
  <si>
    <t>010-2781-6547</t>
  </si>
  <si>
    <t>cyj1072@gmail.com</t>
  </si>
  <si>
    <t>H0191</t>
  </si>
  <si>
    <t>대-014</t>
  </si>
  <si>
    <t>주식회사현대카독크</t>
  </si>
  <si>
    <t>대전광역시 대덕구 벚꽃길 100 (상서동)</t>
  </si>
  <si>
    <t>042-932-0607</t>
  </si>
  <si>
    <t>042-932-6315</t>
  </si>
  <si>
    <t>서승현</t>
  </si>
  <si>
    <t>010-3613-1895</t>
  </si>
  <si>
    <t>bsd0298@naver.com</t>
  </si>
  <si>
    <t>H0053</t>
  </si>
  <si>
    <t>대-015</t>
  </si>
  <si>
    <t>(주)현우모터스</t>
  </si>
  <si>
    <t>조일석</t>
  </si>
  <si>
    <t>대전광역시 동구 대종로 27 (대성동)</t>
  </si>
  <si>
    <t>042-274-4972</t>
  </si>
  <si>
    <t>042-274-4012</t>
  </si>
  <si>
    <t>010-5421-0720</t>
  </si>
  <si>
    <t>hyunwoo4210720@naver.com</t>
  </si>
  <si>
    <t>H0055</t>
  </si>
  <si>
    <t>대-016</t>
  </si>
  <si>
    <t>남대전서비스기아오토큐 주식회사</t>
  </si>
  <si>
    <t>장영우</t>
  </si>
  <si>
    <t>대전광역시 동구 대전로 265 (대성동)</t>
  </si>
  <si>
    <t>042-282-1500</t>
  </si>
  <si>
    <t>042-282-1502</t>
  </si>
  <si>
    <t>신예순</t>
  </si>
  <si>
    <t>010-2680-9096</t>
  </si>
  <si>
    <t>jyu9839@hanmail.net</t>
  </si>
  <si>
    <t>H0054</t>
  </si>
  <si>
    <t>대-017</t>
  </si>
  <si>
    <t>한솔자동차공업사</t>
  </si>
  <si>
    <t>서현수</t>
  </si>
  <si>
    <t>대전광역시 동구 대전천동로 62 (대성동)</t>
  </si>
  <si>
    <t>042-271-0330</t>
  </si>
  <si>
    <t>042-273-3485</t>
  </si>
  <si>
    <t>010-5423-0679</t>
  </si>
  <si>
    <t>seo01225@naver.com</t>
  </si>
  <si>
    <t>SE04394344@hometax.go.kr</t>
  </si>
  <si>
    <t>H0112</t>
  </si>
  <si>
    <t>대-018</t>
  </si>
  <si>
    <t>삼우자동차정비(자)</t>
  </si>
  <si>
    <t>최남식</t>
  </si>
  <si>
    <t>대전광역시 대덕구 대화로 101 (대화동)</t>
  </si>
  <si>
    <t>042-627-5600</t>
  </si>
  <si>
    <t>042-627-2995</t>
  </si>
  <si>
    <t>010-5424-9766</t>
  </si>
  <si>
    <t>cns5600@bill36524.com</t>
  </si>
  <si>
    <t>H0018</t>
  </si>
  <si>
    <t>대-019</t>
  </si>
  <si>
    <t>우정공업사</t>
  </si>
  <si>
    <t>정형기</t>
  </si>
  <si>
    <t>대전광역시 대덕구 대화로 24 (대화동)</t>
  </si>
  <si>
    <t>042-627-6100</t>
  </si>
  <si>
    <t>042-627-6101</t>
  </si>
  <si>
    <t>한성수</t>
  </si>
  <si>
    <t>010-2967-1900</t>
  </si>
  <si>
    <t>jhg1128@hanmail.net</t>
  </si>
  <si>
    <t>H0016</t>
  </si>
  <si>
    <t>대-020</t>
  </si>
  <si>
    <t>중문공업사</t>
  </si>
  <si>
    <t>박흥기</t>
  </si>
  <si>
    <t>대전광역시 대덕구 대화로119번길 17 (대화동)</t>
  </si>
  <si>
    <t>042-633-7778</t>
  </si>
  <si>
    <t>0505-116-3123</t>
  </si>
  <si>
    <t>010-3118-9678</t>
  </si>
  <si>
    <t>yhr2100@daum.net</t>
  </si>
  <si>
    <t>H0032</t>
  </si>
  <si>
    <t>대-021</t>
  </si>
  <si>
    <t>갑천공업사</t>
  </si>
  <si>
    <t>석용길</t>
  </si>
  <si>
    <t>대전광역시 대덕구 산업단지로87번길 21 (신일동)</t>
  </si>
  <si>
    <t>042-623-2771</t>
  </si>
  <si>
    <t>042-935-2771</t>
  </si>
  <si>
    <t>010-9447-2772</t>
  </si>
  <si>
    <t>보고서 이메일전송 원하지 않음</t>
  </si>
  <si>
    <t>load2772@hometax.go.kr</t>
  </si>
  <si>
    <t>H0031</t>
  </si>
  <si>
    <t>대-022</t>
  </si>
  <si>
    <t>덕승1급자동차공업사</t>
  </si>
  <si>
    <t>최내수</t>
  </si>
  <si>
    <t>042-931-0014</t>
  </si>
  <si>
    <t>042-934-0054</t>
  </si>
  <si>
    <t>010-4433-5254</t>
  </si>
  <si>
    <t>doek0014@daum.net</t>
  </si>
  <si>
    <t>ds0014@bill36524.com</t>
  </si>
  <si>
    <t>H0030</t>
  </si>
  <si>
    <t>대-023</t>
  </si>
  <si>
    <t>르노코리아자동차지정정비센터대덕정비(주)</t>
  </si>
  <si>
    <t>남정현</t>
  </si>
  <si>
    <t>대전광역시 대덕구 신일동로33번길 85 (신일동)</t>
  </si>
  <si>
    <t>042-936-7777</t>
  </si>
  <si>
    <t>042-936-7704</t>
  </si>
  <si>
    <t>남화수</t>
  </si>
  <si>
    <t>서비스팀장</t>
  </si>
  <si>
    <t>010-6410-4269</t>
  </si>
  <si>
    <t>forkland@hanmail.net</t>
  </si>
  <si>
    <t>H0090</t>
  </si>
  <si>
    <t>대-024</t>
  </si>
  <si>
    <t>(주)관저자동차공업</t>
  </si>
  <si>
    <t>김희동</t>
  </si>
  <si>
    <t>대전광역시 유성구 계백로 937 (원내동)</t>
  </si>
  <si>
    <t>042-544-2222</t>
  </si>
  <si>
    <t>042-544-4041</t>
  </si>
  <si>
    <t>윤숙</t>
  </si>
  <si>
    <t>010-9420-4100</t>
  </si>
  <si>
    <t>8800sun@hometax.go.kr</t>
  </si>
  <si>
    <t>H0091</t>
  </si>
  <si>
    <t>대-025</t>
  </si>
  <si>
    <t>(주)서대전공업사</t>
  </si>
  <si>
    <t>박병배</t>
  </si>
  <si>
    <t>대전광역시 유성구 계백로 963 (원내동)</t>
  </si>
  <si>
    <t>042-545-7181</t>
  </si>
  <si>
    <t>042-545-7184</t>
  </si>
  <si>
    <t>공수연</t>
  </si>
  <si>
    <t>010-4878-0003</t>
  </si>
  <si>
    <t>kch10045@naver.com</t>
  </si>
  <si>
    <t>sdj7184@hometax.go.kr</t>
  </si>
  <si>
    <t>H0089</t>
  </si>
  <si>
    <t>대-026</t>
  </si>
  <si>
    <t>유화자동차공업사</t>
  </si>
  <si>
    <t>김형호</t>
  </si>
  <si>
    <t>대전광역시 유성구 계백로 919 (원내동)</t>
  </si>
  <si>
    <t>042-545-8800</t>
  </si>
  <si>
    <t>042-545-2247</t>
  </si>
  <si>
    <t>최희주</t>
  </si>
  <si>
    <t>010-7464-2672</t>
  </si>
  <si>
    <t>ujs0042@hanmail.net</t>
  </si>
  <si>
    <t>3141227371@bestbill.co.kr</t>
  </si>
  <si>
    <t>H0023</t>
  </si>
  <si>
    <t>대-027</t>
  </si>
  <si>
    <t>(주)대전공업사</t>
  </si>
  <si>
    <t>전준식</t>
  </si>
  <si>
    <t>대전광역시 대덕구 벚꽃길 86 (상서동)</t>
  </si>
  <si>
    <t>042-932-9733</t>
  </si>
  <si>
    <t>042-931-8912</t>
  </si>
  <si>
    <t>이해연</t>
  </si>
  <si>
    <t>010-3365-0929</t>
  </si>
  <si>
    <t>dj9733@naver.com</t>
  </si>
  <si>
    <t>dj9733@homtax.go.kr</t>
  </si>
  <si>
    <t>H0195</t>
  </si>
  <si>
    <t>대-028</t>
  </si>
  <si>
    <t>신탄1급정비검사장</t>
  </si>
  <si>
    <t>오연환</t>
  </si>
  <si>
    <t>대전광역시 대덕구 신탄진로756번안길 52-25 (신탄진동)</t>
  </si>
  <si>
    <t>042-932-7005</t>
  </si>
  <si>
    <t>042-932-7008</t>
  </si>
  <si>
    <t>백병영</t>
  </si>
  <si>
    <t>관리부장</t>
  </si>
  <si>
    <t>010-3422-2013</t>
  </si>
  <si>
    <t>oho0322@naver.com</t>
  </si>
  <si>
    <t>H0204</t>
  </si>
  <si>
    <t>대-029</t>
  </si>
  <si>
    <t>티에스모터스 주식회사</t>
  </si>
  <si>
    <t>김충연</t>
  </si>
  <si>
    <t>042-933-2871</t>
  </si>
  <si>
    <t>042-933-2873</t>
  </si>
  <si>
    <t>010-2484-8495</t>
  </si>
  <si>
    <t>kcy4130@naver.com</t>
  </si>
  <si>
    <t>H0061</t>
  </si>
  <si>
    <t>대-030</t>
  </si>
  <si>
    <t>삼보자동차공업사</t>
  </si>
  <si>
    <t>신형철</t>
  </si>
  <si>
    <t>대전광역시 동구 옥천로 273 (삼정동)</t>
  </si>
  <si>
    <t>042-284-4910</t>
  </si>
  <si>
    <t>042-283-4910</t>
  </si>
  <si>
    <t>010-2222-4910</t>
  </si>
  <si>
    <t>rcn27x@nate.com</t>
  </si>
  <si>
    <t>H0133</t>
  </si>
  <si>
    <t>공정 수시변경, 판금 변경</t>
  </si>
  <si>
    <t>대-031</t>
  </si>
  <si>
    <t>태전자동차공업사(동구)</t>
  </si>
  <si>
    <t>박승택</t>
  </si>
  <si>
    <t>대전광역시 동구 옥천로 321 (삼정동)</t>
  </si>
  <si>
    <t>042-282-3004</t>
  </si>
  <si>
    <t>010-2439-3900</t>
  </si>
  <si>
    <t>pst4972@naver.com</t>
  </si>
  <si>
    <t>H0060</t>
  </si>
  <si>
    <t>대-032</t>
  </si>
  <si>
    <t>하늘자동차공업사</t>
  </si>
  <si>
    <t>김진형</t>
  </si>
  <si>
    <t>대전광역시 동구 옥천로 273, 4층 (삼정동)</t>
  </si>
  <si>
    <t>042-284-2605</t>
  </si>
  <si>
    <t>042-284-2606</t>
  </si>
  <si>
    <t>010-6422-2605</t>
  </si>
  <si>
    <t>gksmf2605@hanmail.net</t>
  </si>
  <si>
    <t>H0037</t>
  </si>
  <si>
    <t>대-033</t>
  </si>
  <si>
    <t>(주)1급금호자동차정비</t>
  </si>
  <si>
    <t>김영환</t>
  </si>
  <si>
    <t>대전광역시 대덕구 신탄진로 319 (와동)</t>
  </si>
  <si>
    <t>042-627-0020</t>
  </si>
  <si>
    <t>042-627-0028</t>
  </si>
  <si>
    <t>010-5406-2764</t>
  </si>
  <si>
    <t>kh0020@hanmail.net</t>
  </si>
  <si>
    <t>H0038</t>
  </si>
  <si>
    <t>대-034</t>
  </si>
  <si>
    <t>마이더스모터스</t>
  </si>
  <si>
    <t>홍석준</t>
  </si>
  <si>
    <t>042-523-1577</t>
  </si>
  <si>
    <t>042-523-1578</t>
  </si>
  <si>
    <t>김선일</t>
  </si>
  <si>
    <t>010-3426-3410</t>
  </si>
  <si>
    <t>bmwjuni73@naver.com</t>
  </si>
  <si>
    <t>H0257</t>
  </si>
  <si>
    <t>대-035</t>
  </si>
  <si>
    <t>신유승자동차공업사</t>
  </si>
  <si>
    <t>배영일</t>
  </si>
  <si>
    <t>대전광역시 대덕구 신탄진로 375 (와동, 대형물류)</t>
  </si>
  <si>
    <t>042-625-6600</t>
  </si>
  <si>
    <t>042-841-3833</t>
  </si>
  <si>
    <t>성윤숙</t>
  </si>
  <si>
    <t>010-3405-1500</t>
  </si>
  <si>
    <t>violet740@naver.com</t>
  </si>
  <si>
    <t>24년 하반기 입금(4/1 이주형 안내)</t>
  </si>
  <si>
    <t>H0014</t>
  </si>
  <si>
    <t>대-036</t>
  </si>
  <si>
    <t>대화자동차공업사</t>
  </si>
  <si>
    <t>김성환</t>
  </si>
  <si>
    <t>대전광역시 대덕구 대화로52번안길 34 (대화동)</t>
  </si>
  <si>
    <t>042-635-0051</t>
  </si>
  <si>
    <t>042-635-0055</t>
  </si>
  <si>
    <t>010-6529-0051</t>
  </si>
  <si>
    <t>khssi@daum.net</t>
  </si>
  <si>
    <t>H0012</t>
  </si>
  <si>
    <t>대-037</t>
  </si>
  <si>
    <t>안전자동차정비공업사</t>
  </si>
  <si>
    <t>조경애</t>
  </si>
  <si>
    <t>대전광역시 대덕구 대화로32번길 223 (대화동)</t>
  </si>
  <si>
    <t>042-636-3530</t>
  </si>
  <si>
    <t>042-625-3530</t>
  </si>
  <si>
    <t>박선홍</t>
  </si>
  <si>
    <t>010-4412-4118</t>
  </si>
  <si>
    <t>sjh353000@hanmail.net</t>
  </si>
  <si>
    <t>H0011</t>
  </si>
  <si>
    <t>대-038</t>
  </si>
  <si>
    <t>주식회사 정일모터스</t>
  </si>
  <si>
    <t>이정열</t>
  </si>
  <si>
    <t>대전광역시 대덕구 대화로32번길 217 (대화동)</t>
  </si>
  <si>
    <t>042-633-1311</t>
  </si>
  <si>
    <t>042-633-8484</t>
  </si>
  <si>
    <t>이상영</t>
  </si>
  <si>
    <t>010-9553-2255</t>
  </si>
  <si>
    <t>jim1311@hanmail.net</t>
  </si>
  <si>
    <t>jim1811@daum.net</t>
  </si>
  <si>
    <t>H0095</t>
  </si>
  <si>
    <t>대-039</t>
  </si>
  <si>
    <t>대흥자동차모터스</t>
  </si>
  <si>
    <t>전낙규 외 1명</t>
  </si>
  <si>
    <t>대전광역시 중구 대흥로165번길 9 (대흥동)</t>
  </si>
  <si>
    <t>042-544-8088</t>
  </si>
  <si>
    <t>042-544-8087</t>
  </si>
  <si>
    <t>전정수</t>
  </si>
  <si>
    <t>운영실장</t>
  </si>
  <si>
    <t>010-4135-1090</t>
  </si>
  <si>
    <t>cardh@hanmail.net</t>
  </si>
  <si>
    <t>H0101</t>
  </si>
  <si>
    <t>대-040</t>
  </si>
  <si>
    <t>이수모터스</t>
  </si>
  <si>
    <t>송재욱</t>
  </si>
  <si>
    <t>대전광역시 중구 대종로 754 (중촌동)</t>
  </si>
  <si>
    <t>042-222-4972</t>
  </si>
  <si>
    <t>042-221-4973</t>
  </si>
  <si>
    <t>010-4568-7891</t>
  </si>
  <si>
    <t>ls4972@hanmail.net</t>
  </si>
  <si>
    <t>H0100</t>
  </si>
  <si>
    <t>대-041</t>
  </si>
  <si>
    <t>주식회사 통운모터스</t>
  </si>
  <si>
    <t>김동선</t>
  </si>
  <si>
    <t>대전광역시 중구 유등천동로 790 (중촌동)</t>
  </si>
  <si>
    <t>042-242-7770</t>
  </si>
  <si>
    <t>042-624-7272</t>
  </si>
  <si>
    <t>김재곤</t>
  </si>
  <si>
    <t>010-6421-7442</t>
  </si>
  <si>
    <t>lovesy480@naver.com</t>
  </si>
  <si>
    <t>H0238</t>
  </si>
  <si>
    <t>대-042</t>
  </si>
  <si>
    <t>대원자동차공업사</t>
  </si>
  <si>
    <t>전용배 외 1명</t>
  </si>
  <si>
    <t>대전광역시 서구 도산로181번길 21 (변동)</t>
  </si>
  <si>
    <t>042-523-1535</t>
  </si>
  <si>
    <t>042-534-5809</t>
  </si>
  <si>
    <t>이유정</t>
  </si>
  <si>
    <t>010-4488-6896</t>
  </si>
  <si>
    <t>dw1535@bill36524.com</t>
  </si>
  <si>
    <t>H0077</t>
  </si>
  <si>
    <t>대-043</t>
  </si>
  <si>
    <t>정림모터스</t>
  </si>
  <si>
    <t>안병철외 1명</t>
  </si>
  <si>
    <t>대전광역시 서구 구봉로 474 (정림동)</t>
  </si>
  <si>
    <t>042-581-0055</t>
  </si>
  <si>
    <t>042-581-0300</t>
  </si>
  <si>
    <t>안병철</t>
  </si>
  <si>
    <t>010-5408-5876</t>
  </si>
  <si>
    <t>jm85352@naver.com</t>
  </si>
  <si>
    <t>H0075</t>
  </si>
  <si>
    <t>대-044</t>
  </si>
  <si>
    <t>(주)월평정비검사장</t>
  </si>
  <si>
    <t>임성빈</t>
  </si>
  <si>
    <t>대전광역시 서구 월드컵대로484번길 148-4 (월평동)</t>
  </si>
  <si>
    <t>042-528-9700</t>
  </si>
  <si>
    <t>042-528-9701</t>
  </si>
  <si>
    <t>김정부</t>
  </si>
  <si>
    <t>010-3455-3040</t>
  </si>
  <si>
    <t>wp5289503@hanmail.net</t>
  </si>
  <si>
    <t>H0076</t>
  </si>
  <si>
    <t>대-045</t>
  </si>
  <si>
    <t>만년종합정비(주)</t>
  </si>
  <si>
    <t>김홍동, 윤현석</t>
  </si>
  <si>
    <t>대전광역시 서구 월드컵대로484번길 148-16 (월평동)</t>
  </si>
  <si>
    <t>042-522-0033</t>
  </si>
  <si>
    <t>042-527-0030</t>
  </si>
  <si>
    <t>김홍동</t>
  </si>
  <si>
    <t>010-5405-3767</t>
  </si>
  <si>
    <t>kmhydr1@nate.com</t>
  </si>
  <si>
    <t>H0071</t>
  </si>
  <si>
    <t>대-046</t>
  </si>
  <si>
    <t>주식회사 엠원1급정비검사소</t>
  </si>
  <si>
    <t>최기홍</t>
  </si>
  <si>
    <t>대전광역시 서구 월드컵대로484번길 82-20 (월평동)</t>
  </si>
  <si>
    <t>042-538-7796</t>
  </si>
  <si>
    <t>042-255-4119</t>
  </si>
  <si>
    <t>이한정</t>
  </si>
  <si>
    <t>010-8231-0211</t>
  </si>
  <si>
    <t xml:space="preserve">mone2689@naver.com </t>
  </si>
  <si>
    <t>H0297</t>
  </si>
  <si>
    <t>대-047</t>
  </si>
  <si>
    <t>스타모터스</t>
  </si>
  <si>
    <t>주영승외 1명</t>
  </si>
  <si>
    <t>대전광역시 대덕구 신탄진로 588 (상서동)</t>
  </si>
  <si>
    <t>070-4647-1691</t>
  </si>
  <si>
    <t>070-4833-7667</t>
  </si>
  <si>
    <t>주영승</t>
  </si>
  <si>
    <t>010-5766-7666</t>
  </si>
  <si>
    <t>starmotors7666@naver.com</t>
  </si>
  <si>
    <t>H0107</t>
  </si>
  <si>
    <t>대-048</t>
  </si>
  <si>
    <t>위드카1급자동차공업사</t>
  </si>
  <si>
    <t>최한선</t>
  </si>
  <si>
    <t>대전광역시 대덕구 신탄진로738번길 85 (신탄진동)</t>
  </si>
  <si>
    <t>042-826-3171</t>
  </si>
  <si>
    <t>042-933-3171</t>
  </si>
  <si>
    <t>010-2238-3161</t>
  </si>
  <si>
    <t>djpyd@naver.com</t>
  </si>
  <si>
    <t>djpyd@naver.com
(계산서 발행 시 안내 문자 필수)</t>
  </si>
  <si>
    <t>H0115</t>
  </si>
  <si>
    <t>대-049</t>
  </si>
  <si>
    <t>제이에스모터스</t>
  </si>
  <si>
    <t>김진철</t>
  </si>
  <si>
    <t>대전광역시 대덕구 상서당2길 15 (상서동)</t>
  </si>
  <si>
    <t>042-935-4477</t>
  </si>
  <si>
    <t>042-936-7744</t>
  </si>
  <si>
    <t>010-5438-3301</t>
  </si>
  <si>
    <t>jahee0125@naver.com</t>
  </si>
  <si>
    <t>H0035</t>
  </si>
  <si>
    <t>대-050</t>
  </si>
  <si>
    <t>금빛종합모터스</t>
  </si>
  <si>
    <t>정우현</t>
  </si>
  <si>
    <t>대전광역시 대덕구 한밭대로1003번길 110 (오정동)</t>
  </si>
  <si>
    <t>042-624-1479</t>
  </si>
  <si>
    <t>042-624-1478</t>
  </si>
  <si>
    <t>010-3174-1479</t>
  </si>
  <si>
    <t>rmaqlc1479@daum.net</t>
  </si>
  <si>
    <t>H0010</t>
  </si>
  <si>
    <t>대-051</t>
  </si>
  <si>
    <t>신대덕자동차공업사</t>
  </si>
  <si>
    <t>차경준</t>
  </si>
  <si>
    <t>대전광역시 대덕구 한남로138번길 12 (오정동)</t>
  </si>
  <si>
    <t>042-623-7700</t>
  </si>
  <si>
    <t>042-627-6896</t>
  </si>
  <si>
    <t>차명준</t>
  </si>
  <si>
    <t>010-8001-6097</t>
  </si>
  <si>
    <t>liftcha@hanmail,net</t>
  </si>
  <si>
    <t>H0034</t>
  </si>
  <si>
    <t>대-052</t>
  </si>
  <si>
    <t>종성모터스</t>
  </si>
  <si>
    <t>김종성</t>
  </si>
  <si>
    <t>042-331-9104</t>
  </si>
  <si>
    <t>042-385-9105</t>
  </si>
  <si>
    <t>이병철</t>
  </si>
  <si>
    <t>010-8438-9609</t>
  </si>
  <si>
    <t>kjs-motors@daum.net</t>
  </si>
  <si>
    <t>H0291</t>
  </si>
  <si>
    <t>대-053</t>
  </si>
  <si>
    <t>롯데이노베이트(주) 대전CDC 자동화설비 구축 공사</t>
  </si>
  <si>
    <t>김경엽</t>
  </si>
  <si>
    <t>대전광역시 대덕구 문평서로 57 (문평동, 롯데칠성음료(주))</t>
  </si>
  <si>
    <t>박지현</t>
  </si>
  <si>
    <t>안전관리</t>
  </si>
  <si>
    <t>010-4921-9944</t>
  </si>
  <si>
    <t>jihyun-park@lotte.net</t>
  </si>
  <si>
    <t>H0290</t>
  </si>
  <si>
    <t>대-054</t>
  </si>
  <si>
    <t>벧엘금속</t>
  </si>
  <si>
    <t>오근환 외 1명</t>
  </si>
  <si>
    <t>대전광역시 대덕구 대화로234번길 14 (대화동)</t>
  </si>
  <si>
    <t>042-625-1521</t>
  </si>
  <si>
    <t>042-622-5726</t>
  </si>
  <si>
    <t>오근환</t>
  </si>
  <si>
    <t>010-8818-6531</t>
  </si>
  <si>
    <t>dh15222@naver.com</t>
  </si>
  <si>
    <t>H0225</t>
  </si>
  <si>
    <t>대-055</t>
  </si>
  <si>
    <t>다해자동차공업사</t>
  </si>
  <si>
    <t>권오실외 1명</t>
  </si>
  <si>
    <t>대전광역시 서구 계룡로232번길 163 (월평동)</t>
  </si>
  <si>
    <t>042-522-2285</t>
  </si>
  <si>
    <t>042-536-4052</t>
  </si>
  <si>
    <t>김희란</t>
  </si>
  <si>
    <t>010-2230-2600</t>
  </si>
  <si>
    <t>dh20110714@daum.net</t>
  </si>
  <si>
    <t>H0072</t>
  </si>
  <si>
    <t>대-056</t>
  </si>
  <si>
    <t>도안자동차공업사</t>
  </si>
  <si>
    <t>정건우</t>
  </si>
  <si>
    <t>대전광역시 서구 월드컵대로484번안길 34 (월평동)</t>
  </si>
  <si>
    <t>042-521-1311</t>
  </si>
  <si>
    <t>042-521-1315</t>
  </si>
  <si>
    <t>010-5362-4894</t>
  </si>
  <si>
    <t>jgw7226@naver.com</t>
  </si>
  <si>
    <t>H0073</t>
  </si>
  <si>
    <t>대-057</t>
  </si>
  <si>
    <t>에스더블유기업 주식회사</t>
  </si>
  <si>
    <t>안경호, 최한석</t>
  </si>
  <si>
    <t>대전광역시 서구 계룡로232번길 149 (월평동)</t>
  </si>
  <si>
    <t>042-528-1800</t>
  </si>
  <si>
    <t>042-528-1833</t>
  </si>
  <si>
    <t>임재세</t>
  </si>
  <si>
    <t>010-2125-3321</t>
  </si>
  <si>
    <t>hsy05849@gmail.com</t>
  </si>
  <si>
    <t>H0175</t>
  </si>
  <si>
    <t>대-058</t>
  </si>
  <si>
    <t>명품모터스</t>
  </si>
  <si>
    <t>오치구</t>
  </si>
  <si>
    <t>대전광역시 대덕구 대화로52번안길 40 (대화동)</t>
  </si>
  <si>
    <t>042-637-4971</t>
  </si>
  <si>
    <t>042-637-4970</t>
  </si>
  <si>
    <t>010-6425-9234</t>
  </si>
  <si>
    <t>mp4971@naver.com</t>
  </si>
  <si>
    <t>H0017</t>
  </si>
  <si>
    <t>대-059</t>
  </si>
  <si>
    <t>선우기업동부사업소</t>
  </si>
  <si>
    <t>박준혁</t>
  </si>
  <si>
    <t>대전광역시 대덕구 대화로52번안길 104 (대화동)</t>
  </si>
  <si>
    <t>042-627-0094</t>
  </si>
  <si>
    <t>042-637-8272</t>
  </si>
  <si>
    <t>010-5258-1175</t>
  </si>
  <si>
    <t>lsyjump@naver.com</t>
  </si>
  <si>
    <t>H0259</t>
  </si>
  <si>
    <t>대-060</t>
  </si>
  <si>
    <t>창신모터스</t>
  </si>
  <si>
    <t>차주용</t>
  </si>
  <si>
    <t>대전광역시 대덕구 대화로52번안길 76 (대화동)</t>
  </si>
  <si>
    <t>042-623-6266</t>
  </si>
  <si>
    <t>042-623-7359</t>
  </si>
  <si>
    <t>010-5455-7359</t>
  </si>
  <si>
    <t>ckwndyd2548@naver.com</t>
  </si>
  <si>
    <t>H0045</t>
  </si>
  <si>
    <t>대-061</t>
  </si>
  <si>
    <t>주식회사 북대전현대상용서비스</t>
  </si>
  <si>
    <t>정진숙</t>
  </si>
  <si>
    <t>대전광역시 대덕구 대전로 1324 (읍내동)</t>
  </si>
  <si>
    <t>042-634-1122</t>
  </si>
  <si>
    <t>042-631-6705</t>
  </si>
  <si>
    <t>홍준호</t>
  </si>
  <si>
    <t>010-9234-8630</t>
  </si>
  <si>
    <t>bdj3728@naver.com</t>
  </si>
  <si>
    <t>H0044</t>
  </si>
  <si>
    <t>대-062</t>
  </si>
  <si>
    <t>태경자동차종합정비</t>
  </si>
  <si>
    <t>윤경수</t>
  </si>
  <si>
    <t>대전광역시 대덕구 대전로 1419 (읍내동)</t>
  </si>
  <si>
    <t>042-624-0359</t>
  </si>
  <si>
    <t>042-624-0350</t>
  </si>
  <si>
    <t>010-6402-0359</t>
  </si>
  <si>
    <t>tk0359@hanmail.net</t>
  </si>
  <si>
    <t>H0131</t>
  </si>
  <si>
    <t>대-063</t>
  </si>
  <si>
    <t>태성공업사</t>
  </si>
  <si>
    <t>조덕구 외 1명</t>
  </si>
  <si>
    <t>대전광역시 대덕구 아리랑로 69 (읍내동)</t>
  </si>
  <si>
    <t>042-634-8800</t>
  </si>
  <si>
    <t>042-633-4972</t>
  </si>
  <si>
    <t>조덕구</t>
  </si>
  <si>
    <t>010-2822-4004</t>
  </si>
  <si>
    <t>duk6515@hanmail.net</t>
  </si>
  <si>
    <t>H0064</t>
  </si>
  <si>
    <t>대-064</t>
  </si>
  <si>
    <t>주식회사 에펠오토서비스</t>
  </si>
  <si>
    <t>정성윤</t>
  </si>
  <si>
    <t>대전광역시 동구 대전로 707 (인동)</t>
  </si>
  <si>
    <t>042-282-3008</t>
  </si>
  <si>
    <t>042-285-5008</t>
  </si>
  <si>
    <t>허유민</t>
  </si>
  <si>
    <t>010-3258-2417</t>
  </si>
  <si>
    <t>ymheosvc@eiffelauto.com</t>
  </si>
  <si>
    <t>H0065</t>
  </si>
  <si>
    <t>대-065</t>
  </si>
  <si>
    <t>주식회사 이레자동차공업사</t>
  </si>
  <si>
    <t>김상희, 정성윤</t>
  </si>
  <si>
    <t>042-284-4971</t>
  </si>
  <si>
    <t>042-285-4973</t>
  </si>
  <si>
    <t>변은진</t>
  </si>
  <si>
    <t>010-2747-5077</t>
  </si>
  <si>
    <t>leere707@naver.com</t>
  </si>
  <si>
    <t>H0156</t>
  </si>
  <si>
    <t>대-066</t>
  </si>
  <si>
    <t>주식회사 제이에스모터스대전</t>
  </si>
  <si>
    <t>박흥수</t>
  </si>
  <si>
    <t>대전광역시 동구 대전로 723-8 (인동)</t>
  </si>
  <si>
    <t>042-284-4974</t>
  </si>
  <si>
    <t>042-284-4975</t>
  </si>
  <si>
    <t>김민선</t>
  </si>
  <si>
    <t>010-5353-7906</t>
  </si>
  <si>
    <t>jsmotorsdj@naver.com</t>
  </si>
  <si>
    <t>기존 사업장 예상 but 신규 국고(100만원) 입금됨, 2만원 반환해야됨</t>
  </si>
  <si>
    <t>H0081</t>
  </si>
  <si>
    <t>대-067</t>
  </si>
  <si>
    <t>(주)제이엘모터스</t>
  </si>
  <si>
    <t>전긍수</t>
  </si>
  <si>
    <t>대전광역시 서구 둔산남로 50 (탄방동)</t>
  </si>
  <si>
    <t>042-620-7017</t>
  </si>
  <si>
    <t>042-620-7099</t>
  </si>
  <si>
    <t>송수호</t>
  </si>
  <si>
    <t>010-2217-8803</t>
  </si>
  <si>
    <t>ssh@jlrmotors.co.kr</t>
  </si>
  <si>
    <t>H0084</t>
  </si>
  <si>
    <t>대-068</t>
  </si>
  <si>
    <t>케이에스모터스 서비스센터</t>
  </si>
  <si>
    <t>대전광역시 유성구 대학로76번길 99 (궁동)</t>
  </si>
  <si>
    <t>042-861-5000</t>
  </si>
  <si>
    <t>042-826-9013</t>
  </si>
  <si>
    <t>유광준</t>
  </si>
  <si>
    <t>010-9244-8352</t>
  </si>
  <si>
    <t>jnh5000@naver.com</t>
  </si>
  <si>
    <t>H0094</t>
  </si>
  <si>
    <t>대-069</t>
  </si>
  <si>
    <t>명원기업</t>
  </si>
  <si>
    <t>강명근</t>
  </si>
  <si>
    <t>대전광역시 유성구 학하북로 65 (학하동)</t>
  </si>
  <si>
    <t>042-826-8572</t>
  </si>
  <si>
    <t>042-826-8574</t>
  </si>
  <si>
    <t>010-5401-4376</t>
  </si>
  <si>
    <t>myungw2020@naver.vcom</t>
  </si>
  <si>
    <t>H0151</t>
  </si>
  <si>
    <t>대-070</t>
  </si>
  <si>
    <t>주식회사 동대전현대서비스</t>
  </si>
  <si>
    <t>박흥준</t>
  </si>
  <si>
    <t>대전광역시 동구 새울로 58-15 (용운동)</t>
  </si>
  <si>
    <t>042-282-7008</t>
  </si>
  <si>
    <t>042-284-7008</t>
  </si>
  <si>
    <t>phj8858@daum.net</t>
  </si>
  <si>
    <t>H0063</t>
  </si>
  <si>
    <t>대-071</t>
  </si>
  <si>
    <t>은진모터스</t>
  </si>
  <si>
    <t>송봉섭</t>
  </si>
  <si>
    <t>대전광역시 동구 옥천로96번길 96-117 (판암동)</t>
  </si>
  <si>
    <t>042-283-3006</t>
  </si>
  <si>
    <t>042-283-3005</t>
  </si>
  <si>
    <t>이종식</t>
  </si>
  <si>
    <t>010-5108-2591</t>
  </si>
  <si>
    <t>song9852@nate.com</t>
  </si>
  <si>
    <t>H0066</t>
  </si>
  <si>
    <t>대-072</t>
  </si>
  <si>
    <t>동명자동차공업사</t>
  </si>
  <si>
    <t>오성우</t>
  </si>
  <si>
    <t>대전광역시 동구 옥천로 235 (판암동)</t>
  </si>
  <si>
    <t>042-273-5700</t>
  </si>
  <si>
    <t>042-273-8200</t>
  </si>
  <si>
    <t>010-9346-8757</t>
  </si>
  <si>
    <t>osw0421@naver.com</t>
  </si>
  <si>
    <t>mimimi3281@hanmail.net</t>
  </si>
  <si>
    <t>H0092</t>
  </si>
  <si>
    <t>대-073</t>
  </si>
  <si>
    <t>케이지모빌리티유성서비스센터 주식회사</t>
  </si>
  <si>
    <t>임광재</t>
  </si>
  <si>
    <t>대전광역시 유성구 월드컵대로 67-6 (장대동)</t>
  </si>
  <si>
    <t>042-825-5582</t>
  </si>
  <si>
    <t>042-825-8583</t>
  </si>
  <si>
    <t>이은희</t>
  </si>
  <si>
    <t>010-2530-2094</t>
  </si>
  <si>
    <t>kjyim2000@hanmail.net</t>
  </si>
  <si>
    <t>H0083</t>
  </si>
  <si>
    <t>대-074</t>
  </si>
  <si>
    <t>아크로공업사</t>
  </si>
  <si>
    <t>이병찬</t>
  </si>
  <si>
    <t>대전광역시 유성구 한밭대로 17 (구암동)</t>
  </si>
  <si>
    <t>042-533-6841</t>
  </si>
  <si>
    <t>042-535-6841</t>
  </si>
  <si>
    <t>이희숙</t>
  </si>
  <si>
    <t>경리과장</t>
  </si>
  <si>
    <t>010-4515-2813</t>
  </si>
  <si>
    <t>tltmm1212@naver.com</t>
  </si>
  <si>
    <t>H0208</t>
  </si>
  <si>
    <t>대-075</t>
  </si>
  <si>
    <t>(주)유성현대서비스</t>
  </si>
  <si>
    <t>전춘식</t>
  </si>
  <si>
    <t>대전광역시 유성구 한밭대로 398 (궁동)</t>
  </si>
  <si>
    <t>042-824-4972</t>
  </si>
  <si>
    <t>042-824-4975</t>
  </si>
  <si>
    <t>010-8914-5794</t>
  </si>
  <si>
    <t>jjs2627@hanmail.net</t>
  </si>
  <si>
    <t>H0105</t>
  </si>
  <si>
    <t>대-076</t>
  </si>
  <si>
    <t>그린자동차공업사</t>
  </si>
  <si>
    <t>이규희</t>
  </si>
  <si>
    <t>대전광역시 대덕구 대전로1397번안길 67 (읍내동)</t>
  </si>
  <si>
    <t>042-633-7182</t>
  </si>
  <si>
    <t>042-633-7184</t>
  </si>
  <si>
    <t>010-5403-1513</t>
  </si>
  <si>
    <t>gosi67@naver.com</t>
  </si>
  <si>
    <t>H0043</t>
  </si>
  <si>
    <t>대-077</t>
  </si>
  <si>
    <t>명성자동차공업사</t>
  </si>
  <si>
    <t>김기범 외 1명</t>
  </si>
  <si>
    <t>대전광역시 대덕구 대전로 1433 (읍내동)</t>
  </si>
  <si>
    <t>042-639-2987</t>
  </si>
  <si>
    <t>042-637-2987</t>
  </si>
  <si>
    <t>김기범</t>
  </si>
  <si>
    <t>010-3903-2987</t>
  </si>
  <si>
    <t>kbkim@hanmail.net</t>
  </si>
  <si>
    <t>H0042</t>
  </si>
  <si>
    <t>대-078</t>
  </si>
  <si>
    <t>일급대동자동차공업사</t>
  </si>
  <si>
    <t>지용출</t>
  </si>
  <si>
    <t>대전광역시 대덕구 대전로 1431 (읍내동)</t>
  </si>
  <si>
    <t>042-935-8181</t>
  </si>
  <si>
    <t>042-935-2345</t>
  </si>
  <si>
    <t>지혁</t>
  </si>
  <si>
    <t>010-5423-5389</t>
  </si>
  <si>
    <t>yyong1404@hanmail.net</t>
  </si>
  <si>
    <t>H0132</t>
  </si>
  <si>
    <t>대-079</t>
  </si>
  <si>
    <t>삼우특장</t>
  </si>
  <si>
    <t>남수현</t>
  </si>
  <si>
    <t>대전광역시 동구 하소중로 72 (하소동)</t>
  </si>
  <si>
    <t>042-933-2800</t>
  </si>
  <si>
    <t>042-933-2813</t>
  </si>
  <si>
    <t>010-5405-3838</t>
  </si>
  <si>
    <t>samwoo0815@naver.com</t>
  </si>
  <si>
    <t>H0051</t>
  </si>
  <si>
    <t>대-080</t>
  </si>
  <si>
    <t>이안현대모터스</t>
  </si>
  <si>
    <t>한영식 외 1명</t>
  </si>
  <si>
    <t>대전광역시 동구 안골로 45 (구도동)</t>
  </si>
  <si>
    <t>042-282-2500</t>
  </si>
  <si>
    <t>042-282-2506</t>
  </si>
  <si>
    <t>한영식</t>
  </si>
  <si>
    <t>010-3408-9008</t>
  </si>
  <si>
    <t>gks3408@naver.com</t>
  </si>
  <si>
    <t>H0122</t>
  </si>
  <si>
    <t>대-081</t>
  </si>
  <si>
    <t>노랑자동차공업사</t>
  </si>
  <si>
    <t>송현기</t>
  </si>
  <si>
    <t>대전광역시 동구 산내로 1412-4 (대성동)</t>
  </si>
  <si>
    <t>042-286-8770</t>
  </si>
  <si>
    <t>042-286-7772</t>
  </si>
  <si>
    <t>010-4480-3825</t>
  </si>
  <si>
    <t>pqpq1230@naver.com</t>
  </si>
  <si>
    <t>H0190</t>
  </si>
  <si>
    <t>대-082</t>
  </si>
  <si>
    <t>(주)1급동부자동차공업사</t>
  </si>
  <si>
    <t>임진수</t>
  </si>
  <si>
    <t>대전광역시 동구 대종로 15 (대성동)</t>
  </si>
  <si>
    <t>042-272-1500</t>
  </si>
  <si>
    <t>042-271-8287</t>
  </si>
  <si>
    <t>김순근</t>
  </si>
  <si>
    <t>010-3452-5142</t>
  </si>
  <si>
    <t>dongbu1500@hanmail.net</t>
  </si>
  <si>
    <t>db8287@hanmail.net</t>
  </si>
  <si>
    <t>H0057</t>
  </si>
  <si>
    <t>대-083</t>
  </si>
  <si>
    <t>우리모터스주식회사</t>
  </si>
  <si>
    <t>김영수</t>
  </si>
  <si>
    <t>대전광역시 동구 산내로 1400-1 (대성동)</t>
  </si>
  <si>
    <t>042-273-6788</t>
  </si>
  <si>
    <t>042-254-0174</t>
  </si>
  <si>
    <t>010-5426-6788</t>
  </si>
  <si>
    <t>young444@nate.com</t>
  </si>
  <si>
    <t>H0121</t>
  </si>
  <si>
    <t>대-084</t>
  </si>
  <si>
    <t>주식회사 동부모터스</t>
  </si>
  <si>
    <t>명순영</t>
  </si>
  <si>
    <t>대전광역시 동구 대종로 17 (대성동)</t>
  </si>
  <si>
    <t>0504-255-7964</t>
  </si>
  <si>
    <t>010-5401-5582</t>
  </si>
  <si>
    <t>msy5582@naver.com</t>
  </si>
  <si>
    <t>H0025</t>
  </si>
  <si>
    <t>대-085</t>
  </si>
  <si>
    <t>봉황자동차공업사</t>
  </si>
  <si>
    <t>김경식</t>
  </si>
  <si>
    <t>대전광역시 대덕구 상서당1길 22-4 (상서동)</t>
  </si>
  <si>
    <t>042-933-1551</t>
  </si>
  <si>
    <t>042-933-1661</t>
  </si>
  <si>
    <t>김근영</t>
  </si>
  <si>
    <t>010-3440-3583</t>
  </si>
  <si>
    <t>ksk373200@naver.com</t>
  </si>
  <si>
    <t>H0113</t>
  </si>
  <si>
    <t>대-086</t>
  </si>
  <si>
    <t>주식회사 대전종합모터스</t>
  </si>
  <si>
    <t>이동건</t>
  </si>
  <si>
    <t>대전광역시 대덕구 상서당2길 29 (상서동)</t>
  </si>
  <si>
    <t>042-935-2113</t>
  </si>
  <si>
    <t>042-935-2115</t>
  </si>
  <si>
    <t>010-2820-4538</t>
  </si>
  <si>
    <t>dj7057@naver.com</t>
  </si>
  <si>
    <t>H0108</t>
  </si>
  <si>
    <t>대-087</t>
  </si>
  <si>
    <t>한돌기업주식회사</t>
  </si>
  <si>
    <t>박종안</t>
  </si>
  <si>
    <t>042-535-1096</t>
  </si>
  <si>
    <t>042-273-1007</t>
  </si>
  <si>
    <t>김재봉</t>
  </si>
  <si>
    <t>상무</t>
  </si>
  <si>
    <t>010-3805-2840</t>
  </si>
  <si>
    <t>handolmotors@gmail.com</t>
  </si>
  <si>
    <t>HANDOL@hometax.go.kr</t>
  </si>
  <si>
    <t>H0067</t>
  </si>
  <si>
    <t>대-088</t>
  </si>
  <si>
    <t>중부모터스(주)렉서스서대전서비스센터</t>
  </si>
  <si>
    <t>장승호, 오재욱</t>
  </si>
  <si>
    <t>대전광역시 서구 벌곡로 1358 (가수원동)</t>
  </si>
  <si>
    <t>042-825-3369</t>
  </si>
  <si>
    <t>042-825-0110</t>
  </si>
  <si>
    <t>전호인</t>
  </si>
  <si>
    <t>010-9085-0458</t>
  </si>
  <si>
    <t>hijeon@lexusjb.com</t>
  </si>
  <si>
    <t>toyotajb1@hometax.go.kr</t>
  </si>
  <si>
    <t>H0068</t>
  </si>
  <si>
    <t>대-089</t>
  </si>
  <si>
    <t>중부모터스(주)토요타대전</t>
  </si>
  <si>
    <t>H0082</t>
  </si>
  <si>
    <t>대-090</t>
  </si>
  <si>
    <t>주식회사 다올기업</t>
  </si>
  <si>
    <t>백연옥</t>
  </si>
  <si>
    <t>대전광역시 유성구 원계산로 238-33 (계산동)</t>
  </si>
  <si>
    <t>042-867-7400</t>
  </si>
  <si>
    <t>042-867-7500</t>
  </si>
  <si>
    <t>010-5455-7790</t>
  </si>
  <si>
    <t>citrine4@naver.com</t>
  </si>
  <si>
    <t>dalo7400@hometax.go.kr</t>
  </si>
  <si>
    <t>H0216</t>
  </si>
  <si>
    <t>대-091</t>
  </si>
  <si>
    <t>(주)신이십일세기자동차정비</t>
  </si>
  <si>
    <t>김선기</t>
  </si>
  <si>
    <t>대전광역시 서구 대덕대로 67 (괴정동)</t>
  </si>
  <si>
    <t>042-532-2121</t>
  </si>
  <si>
    <t>042-531-5465</t>
  </si>
  <si>
    <t>이현우</t>
  </si>
  <si>
    <t>010-9043-7066</t>
  </si>
  <si>
    <t>jks2513@naver.com</t>
  </si>
  <si>
    <t>H0069</t>
  </si>
  <si>
    <t>대-092</t>
  </si>
  <si>
    <t>21세기모터스검사장(주)</t>
  </si>
  <si>
    <t>양진형</t>
  </si>
  <si>
    <t>대전광역시 서구 대덕대로 69-11 (괴정동)</t>
  </si>
  <si>
    <t>042-527-0203</t>
  </si>
  <si>
    <t>042-527-0005</t>
  </si>
  <si>
    <t>010-2448-4848</t>
  </si>
  <si>
    <t>21cm0203@naver.com</t>
  </si>
  <si>
    <t>H0096</t>
  </si>
  <si>
    <t>대-093</t>
  </si>
  <si>
    <t>(주)경일모터스</t>
  </si>
  <si>
    <t>박정분</t>
  </si>
  <si>
    <t>대전광역시 중구 유등천동로 324 (산성동)</t>
  </si>
  <si>
    <t>042-584-2929</t>
  </si>
  <si>
    <t>042-586-0776</t>
  </si>
  <si>
    <t>임헌량</t>
  </si>
  <si>
    <t>010-8817-6722</t>
  </si>
  <si>
    <t>ki5842929@naver.com</t>
  </si>
  <si>
    <t>H0098</t>
  </si>
  <si>
    <t>대-094</t>
  </si>
  <si>
    <t>(주)정인모터스</t>
  </si>
  <si>
    <t>김원호</t>
  </si>
  <si>
    <t>대전광역시 중구 대둔산로 127 (안영동)</t>
  </si>
  <si>
    <t>042-583-4009</t>
  </si>
  <si>
    <t>042-582-4005</t>
  </si>
  <si>
    <t>이건문</t>
  </si>
  <si>
    <t>010-3993-7890</t>
  </si>
  <si>
    <t>kkukkuro@hanmail.net</t>
  </si>
  <si>
    <t>H0099</t>
  </si>
  <si>
    <t>대-095</t>
  </si>
  <si>
    <t>안영자동차정비사업소</t>
  </si>
  <si>
    <t>김형락 외 1명</t>
  </si>
  <si>
    <t>대전광역시 중구 대둔산로128번길 2 (안영동)</t>
  </si>
  <si>
    <t>042-586-6300</t>
  </si>
  <si>
    <t>042-586-5533</t>
  </si>
  <si>
    <t>김형락</t>
  </si>
  <si>
    <t>010-5423-4480</t>
  </si>
  <si>
    <t>khr4460@naver.com</t>
  </si>
  <si>
    <t>H0241</t>
  </si>
  <si>
    <t>대-096</t>
  </si>
  <si>
    <t>케이지모빌리티남대전서비스센터 주식회사</t>
  </si>
  <si>
    <t>김상중</t>
  </si>
  <si>
    <t>대전광역시 중구 대둔산로 461 (산성동)</t>
  </si>
  <si>
    <t>042-587-5582</t>
  </si>
  <si>
    <t>042-587-5585</t>
  </si>
  <si>
    <t>한성민</t>
  </si>
  <si>
    <t>010-9322-5970</t>
  </si>
  <si>
    <t>bestcenter88@hanmail.net</t>
  </si>
  <si>
    <t>H0033</t>
  </si>
  <si>
    <t>대-097</t>
  </si>
  <si>
    <t>(주) 대진자동차공업사</t>
  </si>
  <si>
    <t>이숙자</t>
  </si>
  <si>
    <t>대전광역시 대덕구 신탄진로756번안길 79 (신탄진동)</t>
  </si>
  <si>
    <t>042-933-1282</t>
  </si>
  <si>
    <t>042-933-1284</t>
  </si>
  <si>
    <t>진대성</t>
  </si>
  <si>
    <t>010-6313-5467</t>
  </si>
  <si>
    <t>daejin24512@hanmail.net</t>
  </si>
  <si>
    <t>H0273</t>
  </si>
  <si>
    <t>대-098</t>
  </si>
  <si>
    <t>세종모터스</t>
  </si>
  <si>
    <t>김재경</t>
  </si>
  <si>
    <t>대전광역시 대덕구 신탄진로583번길 10 (상서동)</t>
  </si>
  <si>
    <t>042-637-1357</t>
  </si>
  <si>
    <t>044-864-1077</t>
  </si>
  <si>
    <t>010-5427-8828</t>
  </si>
  <si>
    <t>sanggun7746@naver.com</t>
  </si>
  <si>
    <t>H0114</t>
  </si>
  <si>
    <t>대-099</t>
  </si>
  <si>
    <t>천금모터스</t>
  </si>
  <si>
    <t>박화주</t>
  </si>
  <si>
    <t>대전광역시 대덕구 신탄진로583번길 20 (상서동)</t>
  </si>
  <si>
    <t>042-931-5236</t>
  </si>
  <si>
    <t>042-931-5237</t>
  </si>
  <si>
    <t>010-3944-5236</t>
  </si>
  <si>
    <t>a39445236@gmail.com</t>
  </si>
  <si>
    <t>H0138</t>
  </si>
  <si>
    <t>대-100</t>
  </si>
  <si>
    <t>(자)유승기업</t>
  </si>
  <si>
    <t>장정민</t>
  </si>
  <si>
    <t>대전광역시 서구 계룡로 510 (탄방동)</t>
  </si>
  <si>
    <t>042-523-0033</t>
  </si>
  <si>
    <t>042-527-7611</t>
  </si>
  <si>
    <t>이종대</t>
  </si>
  <si>
    <t>010-3591-3291</t>
  </si>
  <si>
    <t>ys001965@naver.com</t>
  </si>
  <si>
    <t>H0188</t>
  </si>
  <si>
    <t>대-101</t>
  </si>
  <si>
    <t>빛나는자동차공업사 주식회사</t>
  </si>
  <si>
    <t>김이기, 김성현</t>
  </si>
  <si>
    <t>대전광역시 서구 도산로 365 (용문동)</t>
  </si>
  <si>
    <t>042-523-9301</t>
  </si>
  <si>
    <t>042-525-3466</t>
  </si>
  <si>
    <t>김일영</t>
  </si>
  <si>
    <t>010-5434-9301</t>
  </si>
  <si>
    <t>bm5239301@bill36524.com</t>
  </si>
  <si>
    <t>H0074</t>
  </si>
  <si>
    <t>전회-타기관, 공정 수시변경</t>
  </si>
  <si>
    <t>대-102</t>
  </si>
  <si>
    <t>태전자동차공업사(서구)</t>
  </si>
  <si>
    <t>오남석</t>
  </si>
  <si>
    <t>대전광역시 서구 계룡로232번길 157 (월평동)</t>
  </si>
  <si>
    <t>042-522-8452</t>
  </si>
  <si>
    <t>042-525-8453</t>
  </si>
  <si>
    <t>010-9813-5579</t>
  </si>
  <si>
    <t>sbtjsdn@naver.com</t>
  </si>
  <si>
    <t>H0088</t>
  </si>
  <si>
    <t>대-103</t>
  </si>
  <si>
    <t>(주)서일모터스</t>
  </si>
  <si>
    <t>홍성용</t>
  </si>
  <si>
    <t>대전광역시 유성구 유성대로 26-26 (원내동)</t>
  </si>
  <si>
    <t>042-541-2282</t>
  </si>
  <si>
    <t>042-544-2282</t>
  </si>
  <si>
    <t>010-6335-1488</t>
  </si>
  <si>
    <t>love2772@hanmail.net</t>
  </si>
  <si>
    <t>H0087</t>
  </si>
  <si>
    <t>대-104</t>
  </si>
  <si>
    <t>78</t>
  </si>
  <si>
    <t>뉴월드마스터</t>
  </si>
  <si>
    <t>박성수</t>
  </si>
  <si>
    <t>대전광역시 유성구 원내로 69-8 (원내동)</t>
  </si>
  <si>
    <t>042-257-3100</t>
  </si>
  <si>
    <t>042-543-3110</t>
  </si>
  <si>
    <t>이경민</t>
  </si>
  <si>
    <t>010-6347-5545</t>
  </si>
  <si>
    <t>sunsuga1970@naver.com</t>
  </si>
  <si>
    <t>24년 하반기 입금(4/8 이주형 안내)</t>
  </si>
  <si>
    <t>H0189</t>
  </si>
  <si>
    <t>대-105</t>
  </si>
  <si>
    <t>(주)원동자동차공업사검사소</t>
  </si>
  <si>
    <t>김운배</t>
  </si>
  <si>
    <t>대전광역시 동구 충무로209번길 81 (원동)</t>
  </si>
  <si>
    <t>042-272-3737</t>
  </si>
  <si>
    <t>042-283-9033</t>
  </si>
  <si>
    <t>010-6403-9033</t>
  </si>
  <si>
    <t>kwb9033@naver.com</t>
  </si>
  <si>
    <t>H0050</t>
  </si>
  <si>
    <t>대-106</t>
  </si>
  <si>
    <t>(주)고속모터스</t>
  </si>
  <si>
    <t>전원식</t>
  </si>
  <si>
    <t>대전광역시 동구 합내로 73 (가양동)</t>
  </si>
  <si>
    <t>042-627-4972</t>
  </si>
  <si>
    <t>042-627-4949</t>
  </si>
  <si>
    <t>정현숙</t>
  </si>
  <si>
    <t>010-4739-7282</t>
  </si>
  <si>
    <t>gs49722@naver.com</t>
  </si>
  <si>
    <t>24년 하반기 입금(4/23 이주형 안내)</t>
  </si>
  <si>
    <t>H0079</t>
  </si>
  <si>
    <t>대-107</t>
  </si>
  <si>
    <t>(주)월드마스터</t>
  </si>
  <si>
    <t>정규성</t>
  </si>
  <si>
    <t>대전광역시 서구 혜천로 22 (정림동)</t>
  </si>
  <si>
    <t>042-587-5484</t>
  </si>
  <si>
    <t>042-587-5486</t>
  </si>
  <si>
    <t>010-6622-9226</t>
  </si>
  <si>
    <t>bm9226@hanmail.net</t>
  </si>
  <si>
    <t>H0080</t>
  </si>
  <si>
    <t>대-108</t>
  </si>
  <si>
    <t>(주)청모터스</t>
  </si>
  <si>
    <t>김윤중</t>
  </si>
  <si>
    <t>대전광역시 서구 복수북로 1 (정림동)</t>
  </si>
  <si>
    <t>042-585-9119</t>
  </si>
  <si>
    <t>042-585-8900</t>
  </si>
  <si>
    <t>임승열</t>
  </si>
  <si>
    <t>010-5428-0540</t>
  </si>
  <si>
    <t>chung911900@hanmail.net</t>
  </si>
  <si>
    <t>H0070</t>
  </si>
  <si>
    <t>대-109</t>
  </si>
  <si>
    <t>모든모터스(Motors)</t>
  </si>
  <si>
    <t>이한성</t>
  </si>
  <si>
    <t>대전광역시 서구 도산로 169 (변동)</t>
  </si>
  <si>
    <t>042-484-5459</t>
  </si>
  <si>
    <t>042-523-5459</t>
  </si>
  <si>
    <t>010-8033-5459</t>
  </si>
  <si>
    <t>md5459@naver.com</t>
  </si>
  <si>
    <t>H0048</t>
  </si>
  <si>
    <t>대-110</t>
  </si>
  <si>
    <t>(주) 운성모터스</t>
  </si>
  <si>
    <t>대전광역시 대덕구 한밭대로 1088 (중리동)</t>
  </si>
  <si>
    <t>042-624-4443</t>
  </si>
  <si>
    <t>042-628-4443</t>
  </si>
  <si>
    <t>010-5452-9293</t>
  </si>
  <si>
    <t>qhfka1401@naver.com</t>
  </si>
  <si>
    <t>H0028</t>
  </si>
  <si>
    <t>대-111</t>
  </si>
  <si>
    <t>뉴 서울모터스</t>
  </si>
  <si>
    <t>최봉환</t>
  </si>
  <si>
    <t>대전광역시 대덕구 갑천도시고속도로 1079 (신대동)</t>
  </si>
  <si>
    <t>042-627-4143</t>
  </si>
  <si>
    <t>042-627-4148</t>
  </si>
  <si>
    <t>010-5408-2244</t>
  </si>
  <si>
    <t>NS24866@daum.net</t>
  </si>
  <si>
    <t>H0029</t>
  </si>
  <si>
    <t>대-112</t>
  </si>
  <si>
    <t>믿음정비공업사</t>
  </si>
  <si>
    <t>정영란</t>
  </si>
  <si>
    <t>대전광역시 대덕구 아리랑로55번길 78 (신대동)</t>
  </si>
  <si>
    <t>042-637-1002</t>
  </si>
  <si>
    <t>042-631-1003</t>
  </si>
  <si>
    <t>010-2237-1499</t>
  </si>
  <si>
    <t>youngran4567@naver.com</t>
  </si>
  <si>
    <t>H0047</t>
  </si>
  <si>
    <t>대-113</t>
  </si>
  <si>
    <t>카신모터스(CARSIN MOTORS)</t>
  </si>
  <si>
    <t>김용이</t>
  </si>
  <si>
    <t>대전광역시 대덕구 아리랑로55번길 7 (읍내동)</t>
  </si>
  <si>
    <t>042-633-4004</t>
  </si>
  <si>
    <t>042-626-6424</t>
  </si>
  <si>
    <t>홍은숙</t>
  </si>
  <si>
    <t>관리이사</t>
  </si>
  <si>
    <t>010-7444-5155</t>
  </si>
  <si>
    <t>sdj3254@naver.com</t>
  </si>
  <si>
    <t>sdj3254@hometax.go.kr</t>
  </si>
  <si>
    <t>H0220</t>
  </si>
  <si>
    <t>대-114</t>
  </si>
  <si>
    <t>주식회사 세종바이오테크</t>
  </si>
  <si>
    <t>최우</t>
  </si>
  <si>
    <t>세종특별자치시 전동면 노장공단길 25-9 (노장리)</t>
  </si>
  <si>
    <t>044-864-2340</t>
  </si>
  <si>
    <t>044-863-2330</t>
  </si>
  <si>
    <t>홍다영</t>
  </si>
  <si>
    <t>010-9953-6065</t>
  </si>
  <si>
    <t>meng3249@naver.com</t>
  </si>
  <si>
    <t>H0152</t>
  </si>
  <si>
    <t>대-115</t>
  </si>
  <si>
    <t>주식회사 아이소밸리 전의공장</t>
  </si>
  <si>
    <t>세종특별자치시 전의면 동신길 144 (신정리)</t>
  </si>
  <si>
    <t>044-865-5937</t>
  </si>
  <si>
    <t>044-865-5938</t>
  </si>
  <si>
    <t>H0153</t>
  </si>
  <si>
    <t>대-116</t>
  </si>
  <si>
    <t>주식회사 아이소밸리 전동지점</t>
  </si>
  <si>
    <t>H0347</t>
  </si>
  <si>
    <t>대-117</t>
  </si>
  <si>
    <t>(주)에스에프에이 (주)아성다이소 세종허브센터 물류자동화 구축</t>
  </si>
  <si>
    <t>김영민</t>
  </si>
  <si>
    <t>세종특별자치시 소정면 고등리 349</t>
  </si>
  <si>
    <t>문창현</t>
  </si>
  <si>
    <t>010-7647-2499</t>
  </si>
  <si>
    <t>changhyun.moon@sfa.co.kr</t>
  </si>
  <si>
    <t>H0281</t>
  </si>
  <si>
    <t>고시물질, 공정 변경</t>
  </si>
  <si>
    <t>대-118</t>
  </si>
  <si>
    <t>의료법인 삼광의료재단 에스엠엘대전의원</t>
  </si>
  <si>
    <t>대전광역시 유성구 북유성대로 188 (죽동)</t>
  </si>
  <si>
    <t>042-824-8360</t>
  </si>
  <si>
    <t>042-824-8365</t>
  </si>
  <si>
    <t>010-4201-4275</t>
  </si>
  <si>
    <t>sbkim2@smlab.co.kr</t>
  </si>
  <si>
    <t>H0111</t>
  </si>
  <si>
    <t>대-119</t>
  </si>
  <si>
    <t>주식회사 서대전현대서비스</t>
  </si>
  <si>
    <t>차종근</t>
  </si>
  <si>
    <t>대전광역시 서구 가수원로 103-13 (가수원동)</t>
  </si>
  <si>
    <t>042-534-8400</t>
  </si>
  <si>
    <t>042-534-7266</t>
  </si>
  <si>
    <t>010-2489-8004</t>
  </si>
  <si>
    <t>yyh4477@hanmail.net</t>
  </si>
  <si>
    <t>H0078</t>
  </si>
  <si>
    <t>대-120</t>
  </si>
  <si>
    <t>(주)한스오토스</t>
  </si>
  <si>
    <t>한숭동</t>
  </si>
  <si>
    <t>대전광역시 서구 혜천로 36 (정림동)</t>
  </si>
  <si>
    <t>042-582-4662</t>
  </si>
  <si>
    <t>042-582-4661</t>
  </si>
  <si>
    <t>박성근</t>
  </si>
  <si>
    <t>010-5187-4700</t>
  </si>
  <si>
    <t>hans6279@naver.com</t>
  </si>
  <si>
    <t>H0086</t>
  </si>
  <si>
    <t>대-121</t>
  </si>
  <si>
    <t>신대광주식회사</t>
  </si>
  <si>
    <t>박영미, 장재완</t>
  </si>
  <si>
    <t>대전광역시 유성구 진잠로 67 (원내동)</t>
  </si>
  <si>
    <t>042-545-8297</t>
  </si>
  <si>
    <t>042-544-2844</t>
  </si>
  <si>
    <t>장재완</t>
  </si>
  <si>
    <t>010-9760-9760</t>
  </si>
  <si>
    <t>sdg8297@hanmail.net</t>
  </si>
  <si>
    <t>H0085</t>
  </si>
  <si>
    <t>대-122</t>
  </si>
  <si>
    <t>오토월드자동차공업사</t>
  </si>
  <si>
    <t>이광림</t>
  </si>
  <si>
    <t>대전광역시 유성구 유성대로 486 (복용동)</t>
  </si>
  <si>
    <t>042-710-7866</t>
  </si>
  <si>
    <t>042-710-7867</t>
  </si>
  <si>
    <t>010-8800-6866</t>
  </si>
  <si>
    <t>rhkdfla7878@naver.com</t>
  </si>
  <si>
    <t>H0049</t>
  </si>
  <si>
    <t>대-123</t>
  </si>
  <si>
    <t>태양아트</t>
  </si>
  <si>
    <t>김진덕</t>
  </si>
  <si>
    <t>대전광역시 대덕구 방두말3길 14 (평촌동)</t>
  </si>
  <si>
    <t>042-933-5197</t>
  </si>
  <si>
    <t>042-935-3738</t>
  </si>
  <si>
    <t>010-5402-4885</t>
  </si>
  <si>
    <t>sunart100@naver.com</t>
  </si>
  <si>
    <t>H0202</t>
  </si>
  <si>
    <t>대-124</t>
  </si>
  <si>
    <t>뉴월드모터스</t>
  </si>
  <si>
    <t>서용범</t>
  </si>
  <si>
    <t>대전광역시 대덕구 아리랑로55번길 64, 지하2층 (신대동)</t>
  </si>
  <si>
    <t>042-936-3003</t>
  </si>
  <si>
    <t>042-936-3002</t>
  </si>
  <si>
    <t>010-3754-3175</t>
  </si>
  <si>
    <t>bum3175@hanmail.net</t>
  </si>
  <si>
    <t>H0280</t>
  </si>
  <si>
    <t>대-125</t>
  </si>
  <si>
    <t>주식회사 신탄특장자동차</t>
  </si>
  <si>
    <t>이창순</t>
  </si>
  <si>
    <t>대전광역시 대덕구 대덕대로 1403-1 (문평동)</t>
  </si>
  <si>
    <t>042-933-1515</t>
  </si>
  <si>
    <t>042-934-7988</t>
  </si>
  <si>
    <t>조중훈</t>
  </si>
  <si>
    <t>010-6404-5608</t>
  </si>
  <si>
    <t>sttj1001@naver.com</t>
  </si>
  <si>
    <t>H0118</t>
  </si>
  <si>
    <t>대-126</t>
  </si>
  <si>
    <t>대동자동차공업</t>
  </si>
  <si>
    <t>최만득</t>
  </si>
  <si>
    <t>대전광역시 대덕구 대덕대로1284번길 309 (신일동, 대동공업(주))</t>
  </si>
  <si>
    <t>042-634-8228</t>
  </si>
  <si>
    <t>042-933-8228</t>
  </si>
  <si>
    <t>010-6434-8228</t>
  </si>
  <si>
    <t xml:space="preserve">carsign25@hanmail.net </t>
  </si>
  <si>
    <t>H0182</t>
  </si>
  <si>
    <t>대-127</t>
  </si>
  <si>
    <t>대전특장공업</t>
  </si>
  <si>
    <t>이시섭</t>
  </si>
  <si>
    <t>대전광역시 대덕구 신탄진로 349 (와동)</t>
  </si>
  <si>
    <t>042-583-8633</t>
  </si>
  <si>
    <t>042-624-8633</t>
  </si>
  <si>
    <t>이기영</t>
  </si>
  <si>
    <t>010-8825-6004</t>
  </si>
  <si>
    <t>0114086004@hanmail.net</t>
  </si>
  <si>
    <t>H0052</t>
  </si>
  <si>
    <t>대-128</t>
  </si>
  <si>
    <t>한밭자동차공업사</t>
  </si>
  <si>
    <t>김경순 외 1명</t>
  </si>
  <si>
    <t>대전광역시 동구 산내로1352번길 15 (낭월동)</t>
  </si>
  <si>
    <t>042-274-1251</t>
  </si>
  <si>
    <t>042-274-1252</t>
  </si>
  <si>
    <t>김경순</t>
  </si>
  <si>
    <t>010-5407-9727</t>
  </si>
  <si>
    <t>pkb9727@hanmail.net</t>
  </si>
  <si>
    <t>H0106</t>
  </si>
  <si>
    <t>대-129</t>
  </si>
  <si>
    <t>대한자동차정비공장</t>
  </si>
  <si>
    <t>김현수 외 1명</t>
  </si>
  <si>
    <t>대전광역시 중구 당디로 126 (유천동)</t>
  </si>
  <si>
    <t>042-585-3381</t>
  </si>
  <si>
    <t>042-585-3384</t>
  </si>
  <si>
    <t>김재호</t>
  </si>
  <si>
    <t>010-4922-8912</t>
  </si>
  <si>
    <t>eogks5853381@naver.com</t>
  </si>
  <si>
    <t>H0056</t>
  </si>
  <si>
    <t>대-130</t>
  </si>
  <si>
    <t>1급 대운자동차공업사</t>
  </si>
  <si>
    <t>한미례</t>
  </si>
  <si>
    <t>대전광역시 동구 대전로 277-12 (대성동)</t>
  </si>
  <si>
    <t>042-282-1552</t>
  </si>
  <si>
    <t>042-284-1552</t>
  </si>
  <si>
    <t>김문규</t>
  </si>
  <si>
    <t>010-9554-4522</t>
  </si>
  <si>
    <t>miye2430@naver.com</t>
  </si>
  <si>
    <t>H0245</t>
  </si>
  <si>
    <t>대-131</t>
  </si>
  <si>
    <t>에이치에스(HS)모터스</t>
  </si>
  <si>
    <t>배형선</t>
  </si>
  <si>
    <t>대전광역시 동구 옥천로 321, 지하1층 (삼정동)</t>
  </si>
  <si>
    <t>042-283-4502</t>
  </si>
  <si>
    <t>042-283-4503</t>
  </si>
  <si>
    <t>한진현</t>
  </si>
  <si>
    <t>010-6788-0988</t>
  </si>
  <si>
    <t>hs-motor6936@daum.net</t>
  </si>
  <si>
    <t>H0361</t>
  </si>
  <si>
    <t>대-132</t>
  </si>
  <si>
    <t>세종종합자동차정비공업사</t>
  </si>
  <si>
    <t>김윤환</t>
  </si>
  <si>
    <t>042-628-9933</t>
  </si>
  <si>
    <t>042-628-9934</t>
  </si>
  <si>
    <t>안도국</t>
  </si>
  <si>
    <t>010-2226-6494</t>
  </si>
  <si>
    <t>ghks9933@naver.com</t>
  </si>
  <si>
    <t>H0093</t>
  </si>
  <si>
    <t>대-133</t>
  </si>
  <si>
    <t>주식회사 드림티엔에스</t>
  </si>
  <si>
    <t>주현석</t>
  </si>
  <si>
    <t>대전광역시 유성구 테크노2로 215 (탑립동)</t>
  </si>
  <si>
    <t>042-933-2555</t>
  </si>
  <si>
    <t>042-933-8343</t>
  </si>
  <si>
    <t>정민</t>
  </si>
  <si>
    <t>010-4463-8000</t>
  </si>
  <si>
    <t>verkybans@naver.com</t>
  </si>
  <si>
    <t>dreamtns@daum.net</t>
  </si>
  <si>
    <t>H0272</t>
  </si>
  <si>
    <t>대-134</t>
  </si>
  <si>
    <t>에스엠상선(주)건설부문 공주월송지구 B-4BL 주택건설</t>
  </si>
  <si>
    <t>강호준, 조유선</t>
  </si>
  <si>
    <t>충청남도 공주시 월송동 671-1</t>
  </si>
  <si>
    <t>070-4103-0631</t>
  </si>
  <si>
    <t>070-4106-2042</t>
  </si>
  <si>
    <t>안태호</t>
  </si>
  <si>
    <t>010-9055-4405</t>
  </si>
  <si>
    <t>taeho.ahn@smlinescon.co.kr</t>
  </si>
  <si>
    <t>H0134</t>
  </si>
  <si>
    <t>대-135</t>
  </si>
  <si>
    <t>진성자동차공업사</t>
  </si>
  <si>
    <t>김진호</t>
  </si>
  <si>
    <t>대전광역시 대덕구 신탄진로 542 (상서동)</t>
  </si>
  <si>
    <t>042-932-4477</t>
  </si>
  <si>
    <t>042-936-4477</t>
  </si>
  <si>
    <t>010-5406-6517</t>
  </si>
  <si>
    <t>khk4477@hanmail.net</t>
  </si>
  <si>
    <t>H0024</t>
  </si>
  <si>
    <t>대-136</t>
  </si>
  <si>
    <t>한국지엠신탄진서비스센터(주)</t>
  </si>
  <si>
    <t>오재영</t>
  </si>
  <si>
    <t>대전광역시 대덕구 상서당1길 7 (상서동)</t>
  </si>
  <si>
    <t>042-932-9176</t>
  </si>
  <si>
    <t>042-931-7849</t>
  </si>
  <si>
    <t>조득래</t>
  </si>
  <si>
    <t>010-2432-9176</t>
  </si>
  <si>
    <t>yuyeu@hanmail.net</t>
  </si>
  <si>
    <t>H0026</t>
  </si>
  <si>
    <t>대-137</t>
  </si>
  <si>
    <t>한마음자동차공업사</t>
  </si>
  <si>
    <t>신용관</t>
  </si>
  <si>
    <t>대전광역시 대덕구 상서당1길 18 (상서동)</t>
  </si>
  <si>
    <t>042-932-5828</t>
  </si>
  <si>
    <t>042-933-5828</t>
  </si>
  <si>
    <t>010-3443-5828</t>
  </si>
  <si>
    <t>hanmaum5828@gmail.com</t>
  </si>
  <si>
    <t>H0370</t>
  </si>
  <si>
    <t>입찰, 신규공정 측정</t>
  </si>
  <si>
    <t>대-138</t>
  </si>
  <si>
    <t>중부지방산림청</t>
  </si>
  <si>
    <t>안병기</t>
  </si>
  <si>
    <t>충청남도 공주시 봉정돌고개길 20 (봉정동, 중부지방산림청)</t>
  </si>
  <si>
    <t>041-850-4085</t>
  </si>
  <si>
    <t>041-852-6137</t>
  </si>
  <si>
    <t>H0371</t>
  </si>
  <si>
    <t>대-139</t>
  </si>
  <si>
    <t>(주) 레오플 24-D-OO부대 간부숙소 리모델링 시설공사</t>
  </si>
  <si>
    <t>권철진</t>
  </si>
  <si>
    <t>충청남도 계룡시 신도안면 신도안2길 96 (남선리, 군인아파트)</t>
  </si>
  <si>
    <t>044-864-8122</t>
  </si>
  <si>
    <t>044-864-8124</t>
  </si>
  <si>
    <t>김동휘</t>
  </si>
  <si>
    <t>010-4462-2029</t>
  </si>
  <si>
    <t>dong880325@naver.com</t>
  </si>
  <si>
    <t>LEOPLE@hometax.go.kr</t>
  </si>
  <si>
    <t>H0372</t>
  </si>
  <si>
    <t>대-140</t>
  </si>
  <si>
    <t>주식회사 디에스종합건설 유구그린스마트 미래학교 조성공사</t>
  </si>
  <si>
    <t>오은택</t>
  </si>
  <si>
    <t>충청남도 공주시 유구읍 유구초교길 12 (석남리, 유구초등학교)</t>
  </si>
  <si>
    <t>이희호</t>
  </si>
  <si>
    <t>010-6401-5635</t>
  </si>
  <si>
    <t>dskoout@naver.com</t>
  </si>
  <si>
    <t>H0274</t>
  </si>
  <si>
    <t>대-141</t>
  </si>
  <si>
    <t>한미타올(주)</t>
  </si>
  <si>
    <t>여기석</t>
  </si>
  <si>
    <t>대전광역시 대덕구 대전로1331번길 50 (읍내동, 한미타올)</t>
  </si>
  <si>
    <t>042-625-4145</t>
  </si>
  <si>
    <t>042-625-4147</t>
  </si>
  <si>
    <t>조한경</t>
  </si>
  <si>
    <t>010-8815-6316</t>
  </si>
  <si>
    <t>chk8534@hanmail.net</t>
  </si>
  <si>
    <t>hanmiacc4141@daum.net</t>
  </si>
  <si>
    <t>H0130</t>
  </si>
  <si>
    <t>대-142</t>
  </si>
  <si>
    <t>110</t>
  </si>
  <si>
    <t>유신모터스</t>
  </si>
  <si>
    <t>오영란</t>
  </si>
  <si>
    <t>대전광역시 대덕구 아리랑로55번길 15 (읍내동)</t>
  </si>
  <si>
    <t>042-634-4100</t>
  </si>
  <si>
    <t>042-634-4101</t>
  </si>
  <si>
    <t>오관식</t>
  </si>
  <si>
    <t>010-4100-0269</t>
  </si>
  <si>
    <t>ys6344100@hanmail.net</t>
  </si>
  <si>
    <t>H0104</t>
  </si>
  <si>
    <t>대-143</t>
  </si>
  <si>
    <t>111</t>
  </si>
  <si>
    <t>동성1급자동차공업사</t>
  </si>
  <si>
    <t>최미정</t>
  </si>
  <si>
    <t>대전광역시 대덕구 덕암로118번길 12 (상서동)</t>
  </si>
  <si>
    <t>042-933-9969</t>
  </si>
  <si>
    <t>황진동</t>
  </si>
  <si>
    <t>010-6424-9969</t>
  </si>
  <si>
    <t>ml3995@naver.com</t>
  </si>
  <si>
    <t>H0058</t>
  </si>
  <si>
    <t>대-144</t>
  </si>
  <si>
    <t>112</t>
  </si>
  <si>
    <t>산내모터스</t>
  </si>
  <si>
    <t>황규선</t>
  </si>
  <si>
    <t>042-272-3426</t>
  </si>
  <si>
    <t>042-272-5048</t>
  </si>
  <si>
    <t>박주용</t>
  </si>
  <si>
    <t>010-5326-9960</t>
  </si>
  <si>
    <t>snmts5048@hanmail.net</t>
  </si>
  <si>
    <t>H0319</t>
  </si>
  <si>
    <t>대-145</t>
  </si>
  <si>
    <t>113</t>
  </si>
  <si>
    <t>(주)하이드로리튬(금산지점)</t>
  </si>
  <si>
    <t>전웅</t>
  </si>
  <si>
    <t>충청남도 금산군 추부면 금산로 2423-16 (추정리, (주)리튬플러스)</t>
  </si>
  <si>
    <t>041-751-9901</t>
  </si>
  <si>
    <t>041-751-9902</t>
  </si>
  <si>
    <t>권호순</t>
  </si>
  <si>
    <t>010-5411-8736</t>
  </si>
  <si>
    <t>hs.kwon@hydroli.co.kr</t>
  </si>
  <si>
    <t>H0380</t>
  </si>
  <si>
    <t>타기관 신규, 고시물질, 소음 85이상</t>
  </si>
  <si>
    <t>대-146</t>
  </si>
  <si>
    <t>114</t>
  </si>
  <si>
    <t>하이트진로음료 (주) 세종공장</t>
  </si>
  <si>
    <t>박재범</t>
  </si>
  <si>
    <t>세종특별자치시 전의면 상대부길 33 (관정리)</t>
  </si>
  <si>
    <t>044-862-1400</t>
  </si>
  <si>
    <t>044-862-1470</t>
  </si>
  <si>
    <t>한경환</t>
  </si>
  <si>
    <t>010-6431-1838</t>
  </si>
  <si>
    <t>han1126@hitejinro.com</t>
  </si>
  <si>
    <t>H0263</t>
  </si>
  <si>
    <t>대-147</t>
  </si>
  <si>
    <t>115</t>
  </si>
  <si>
    <t>충청남도 공주의료원</t>
  </si>
  <si>
    <t>임수흠</t>
  </si>
  <si>
    <t>충청남도 공주시 무령로 77 (웅진동, 공주의료원)</t>
  </si>
  <si>
    <t>041-962-1251</t>
  </si>
  <si>
    <t>041-962-1219</t>
  </si>
  <si>
    <t>이현미</t>
  </si>
  <si>
    <t>010-6470-3761</t>
  </si>
  <si>
    <t>leehen67@hanmail.net</t>
  </si>
  <si>
    <t>gjmc1111@naver.com</t>
  </si>
  <si>
    <t>H0218</t>
  </si>
  <si>
    <t>대-148</t>
  </si>
  <si>
    <t>116</t>
  </si>
  <si>
    <t>현대요양병원</t>
  </si>
  <si>
    <t>박선희</t>
  </si>
  <si>
    <t>충청남도 공주시 번영2로 18-10 (신관동)</t>
  </si>
  <si>
    <t>041-850-7559</t>
  </si>
  <si>
    <t>041-854-5914</t>
  </si>
  <si>
    <t>김형기</t>
  </si>
  <si>
    <t>기획실장</t>
  </si>
  <si>
    <t>010-9424-7346</t>
  </si>
  <si>
    <t>kjhd00@gmail.com</t>
  </si>
  <si>
    <t>H0235</t>
  </si>
  <si>
    <t>대-149</t>
  </si>
  <si>
    <t>117</t>
  </si>
  <si>
    <t>(주)삼양건설환경연구소</t>
  </si>
  <si>
    <t>이의환, 박정훈</t>
  </si>
  <si>
    <t>대전광역시 서구 가수원로 39, 2층, 5층 (가수원동, 삼양빌딩)</t>
  </si>
  <si>
    <t>042-533-6270</t>
  </si>
  <si>
    <t>042-531-6270</t>
  </si>
  <si>
    <t>김명훈</t>
  </si>
  <si>
    <t>010-4427-6050</t>
  </si>
  <si>
    <t>goodbgf@nate.com</t>
  </si>
  <si>
    <t>syeng92@hanmail.net</t>
  </si>
  <si>
    <t>H0390</t>
  </si>
  <si>
    <t>타기관 신규, 유해인자 변경, 공정 수시변경</t>
  </si>
  <si>
    <t>대-150</t>
  </si>
  <si>
    <t>118</t>
  </si>
  <si>
    <t>대청공업사</t>
  </si>
  <si>
    <t>송치만</t>
  </si>
  <si>
    <t>대전광역시 대덕구 신탄진로 600 (상서동)</t>
  </si>
  <si>
    <t>042-933-5100</t>
  </si>
  <si>
    <t>042-933-5020</t>
  </si>
  <si>
    <t>송우선</t>
  </si>
  <si>
    <t>010-3439-5100</t>
  </si>
  <si>
    <t>chi1966@nate.com</t>
  </si>
  <si>
    <t>H0391</t>
  </si>
  <si>
    <t>대-151</t>
  </si>
  <si>
    <t>119</t>
  </si>
  <si>
    <t>1급뉴계룡모터스</t>
  </si>
  <si>
    <t>전영근</t>
  </si>
  <si>
    <t>대전광역시 서구 월드컵대로484번길 82-14 (월평동)</t>
  </si>
  <si>
    <t>042-538-0071</t>
  </si>
  <si>
    <t>042-538-0073</t>
  </si>
  <si>
    <t>010-2494-5333</t>
  </si>
  <si>
    <t>yujk53@hanmail.net</t>
  </si>
  <si>
    <t>H0136</t>
  </si>
  <si>
    <t>대-152</t>
  </si>
  <si>
    <t>에이에스(AS)모터스</t>
  </si>
  <si>
    <t>이경원</t>
  </si>
  <si>
    <t>대전광역시 대덕구 신탄진로 566 (상서동)</t>
  </si>
  <si>
    <t>042-936-3388</t>
  </si>
  <si>
    <t>042-936-4500</t>
  </si>
  <si>
    <t>010-8635-4241</t>
  </si>
  <si>
    <t>darkox0063@naver.com</t>
  </si>
  <si>
    <t>H0294</t>
  </si>
  <si>
    <t>평택</t>
  </si>
  <si>
    <t>평-001</t>
  </si>
  <si>
    <t>주식회사 더가든오브내추럴솔루션</t>
  </si>
  <si>
    <t>장문식, 장두식</t>
  </si>
  <si>
    <t>경기도 오산시 가장산업서로 12-24 (가장동)</t>
  </si>
  <si>
    <t>031-374-5240</t>
  </si>
  <si>
    <t>031-374-5246</t>
  </si>
  <si>
    <t>조진웅</t>
  </si>
  <si>
    <t>책임</t>
  </si>
  <si>
    <t>010-8248-3380</t>
  </si>
  <si>
    <t>willggg@naturalsolution.co.kr</t>
  </si>
  <si>
    <t>H0293</t>
  </si>
  <si>
    <t>평-002</t>
  </si>
  <si>
    <t>주식회사 네이처앤바이오텍</t>
  </si>
  <si>
    <t>장두식</t>
  </si>
  <si>
    <t>H0343</t>
  </si>
  <si>
    <t>평-003</t>
  </si>
  <si>
    <t>나일라캐스트코리아 주식회사</t>
  </si>
  <si>
    <t>키스찰스토드</t>
  </si>
  <si>
    <t>경기도 평택시 진위면 진위2산단로 146 (갈곶리)</t>
  </si>
  <si>
    <t>031-378-0830</t>
  </si>
  <si>
    <t>이수진</t>
  </si>
  <si>
    <t>010-4204-0832</t>
  </si>
  <si>
    <t>ava.lee@nylacast.com</t>
  </si>
  <si>
    <t>H0215</t>
  </si>
  <si>
    <t>평-004</t>
  </si>
  <si>
    <t>(주)엘앤피</t>
  </si>
  <si>
    <t>장은숙</t>
  </si>
  <si>
    <t>경기도 평택시 청북읍 백봉길 114-32 (어연리)</t>
  </si>
  <si>
    <t>031-653-1186</t>
  </si>
  <si>
    <t>031-653-1189</t>
  </si>
  <si>
    <t>곽태경</t>
  </si>
  <si>
    <t>010-2538-4319</t>
  </si>
  <si>
    <t>uridle78@naver.com</t>
  </si>
  <si>
    <t>jeil112@hanmail.net</t>
  </si>
  <si>
    <t>H0176</t>
  </si>
  <si>
    <t>평-005</t>
  </si>
  <si>
    <t>제이비엘(JEIL BEST LABEL)</t>
  </si>
  <si>
    <t>김영구</t>
  </si>
  <si>
    <t>H0365</t>
  </si>
  <si>
    <t>평-006</t>
  </si>
  <si>
    <t>현대휀스개발 (주)</t>
  </si>
  <si>
    <t>경기도 평택시 팽성읍 추팔산단1길 181 (추팔리)</t>
  </si>
  <si>
    <t>031-691-6298</t>
  </si>
  <si>
    <t>H0232</t>
  </si>
  <si>
    <t>고시물질, 신규 공정</t>
  </si>
  <si>
    <t>평-007</t>
  </si>
  <si>
    <t>중앙대학교 다빈치캠퍼스</t>
  </si>
  <si>
    <t>박상규</t>
  </si>
  <si>
    <t>경기도 안성시 대덕면 서동대로 4726 (내리, 중앙대학교)</t>
  </si>
  <si>
    <t>031-670-4962</t>
  </si>
  <si>
    <t>031-676-8237</t>
  </si>
  <si>
    <t>유태준</t>
  </si>
  <si>
    <t>010-6556-7900</t>
  </si>
  <si>
    <t>tjryu@cau.ac.kr</t>
  </si>
  <si>
    <t>H0254</t>
  </si>
  <si>
    <t>평-008</t>
  </si>
  <si>
    <t>한기문,이주형,배윤민</t>
  </si>
  <si>
    <t>한경국립대학교</t>
  </si>
  <si>
    <t>이원희</t>
  </si>
  <si>
    <t>경기도 안성시 중앙로 327 (석정동, 한경대학교)</t>
  </si>
  <si>
    <t>031-8046-4122</t>
  </si>
  <si>
    <t>박서완</t>
  </si>
  <si>
    <t>010-5195-7028</t>
  </si>
  <si>
    <t>yuzen007@hknu.ac.kr</t>
  </si>
  <si>
    <t>나라장터</t>
  </si>
  <si>
    <t>H0331</t>
  </si>
  <si>
    <t>평-009</t>
  </si>
  <si>
    <t>주식회사 와이케이건기 평택센터</t>
  </si>
  <si>
    <t>경기도 평택시 포승읍 평택항로268번길 117-12 (도곡리)</t>
  </si>
  <si>
    <t>031-684-3807</t>
  </si>
  <si>
    <t>이원영</t>
  </si>
  <si>
    <t>010-9439-1125</t>
  </si>
  <si>
    <t>ys_jun@sunnyyk.co.kr</t>
  </si>
  <si>
    <t>H0388</t>
  </si>
  <si>
    <t>평-010</t>
  </si>
  <si>
    <t>주식회사 경동폴리움 평택지점</t>
  </si>
  <si>
    <t>경기도 평택시 경기대로 663 (세교동)</t>
  </si>
  <si>
    <t>041-543-8119</t>
  </si>
  <si>
    <t>류호진</t>
  </si>
  <si>
    <t>010-8630-3072</t>
  </si>
  <si>
    <t>하반기</t>
  </si>
  <si>
    <t>공정의 수시변경</t>
  </si>
  <si>
    <t>천-192</t>
  </si>
  <si>
    <t>동우건설 주식회사 천안 제2산업단지 재생사업</t>
  </si>
  <si>
    <t>0507-0319-4357</t>
  </si>
  <si>
    <t>2025-10-27, 31</t>
    <phoneticPr fontId="6" type="noConversion"/>
  </si>
  <si>
    <t>10/27 제이에스건설산업(주) 60만원 선발행
10/31 동우건설 주식회사 30만원 선발행</t>
  </si>
  <si>
    <t>소음85이상</t>
  </si>
  <si>
    <t>천-193</t>
  </si>
  <si>
    <t>070-8677-2777</t>
  </si>
  <si>
    <t>tax@soulnaturefood.com</t>
  </si>
  <si>
    <t>천-194</t>
  </si>
  <si>
    <t>31285255890</t>
  </si>
  <si>
    <t>041-553-2112</t>
  </si>
  <si>
    <t>천-195</t>
  </si>
  <si>
    <t>천-196</t>
  </si>
  <si>
    <t>041-562-7024</t>
  </si>
  <si>
    <t>천-197</t>
  </si>
  <si>
    <t>공정의 수시변경, 고시물질</t>
  </si>
  <si>
    <t>천-198</t>
  </si>
  <si>
    <t>41181197996</t>
  </si>
  <si>
    <t>현대삼호: 820만원
(주)동양: 160만원</t>
  </si>
  <si>
    <t>천-199</t>
  </si>
  <si>
    <t>이주형,고유빈</t>
  </si>
  <si>
    <t>서울</t>
  </si>
  <si>
    <t>20482037880</t>
  </si>
  <si>
    <t>02-3497-5747</t>
  </si>
  <si>
    <t>천-200</t>
  </si>
  <si>
    <t>강종구,배윤민</t>
  </si>
  <si>
    <t>18386022290</t>
  </si>
  <si>
    <t>고시물질, 소음85이상</t>
  </si>
  <si>
    <t>천-201</t>
  </si>
  <si>
    <t>강종구,이주형,배윤민,고유빈</t>
  </si>
  <si>
    <t>10781115630</t>
  </si>
  <si>
    <t>041-350-8091</t>
  </si>
  <si>
    <t>041-357-4627</t>
  </si>
  <si>
    <t>안경서</t>
  </si>
  <si>
    <t>010-4125-2046</t>
  </si>
  <si>
    <t>rudtj2046@husteel.com</t>
  </si>
  <si>
    <t>H0284</t>
  </si>
  <si>
    <t>신규공정</t>
  </si>
  <si>
    <t>천-202</t>
  </si>
  <si>
    <t>정안레미콘아스콘 주식회사</t>
  </si>
  <si>
    <t>74786029120</t>
  </si>
  <si>
    <t>엄윤미, 안재혁</t>
  </si>
  <si>
    <t>충청남도 천안시 동남구 광덕면 대평교길 48 (대평리)</t>
  </si>
  <si>
    <t>041-554-9494</t>
  </si>
  <si>
    <t>041-553-7999</t>
  </si>
  <si>
    <t>이현래</t>
  </si>
  <si>
    <t>010-3749-7517</t>
  </si>
  <si>
    <t>wjddks9494@naver.com</t>
  </si>
  <si>
    <t>천-203</t>
  </si>
  <si>
    <t>031-763-8060</t>
  </si>
  <si>
    <t>천-204</t>
  </si>
  <si>
    <t>한기문, 배윤민, 고유빈</t>
  </si>
  <si>
    <t>임일환</t>
  </si>
  <si>
    <t>cjsvnd03@gsenc.com</t>
  </si>
  <si>
    <t>신규공정, 고시물질</t>
  </si>
  <si>
    <t>천-205</t>
  </si>
  <si>
    <t>강종구, 배윤민, 고유빈</t>
  </si>
  <si>
    <t>90700621181</t>
  </si>
  <si>
    <t>천-206</t>
  </si>
  <si>
    <t>31182048430</t>
  </si>
  <si>
    <t>041-350-1085</t>
  </si>
  <si>
    <t>backjeon@shinsung.ac.kr
계산서는 신성대학교(311-82-03091)</t>
  </si>
  <si>
    <t>천-207</t>
  </si>
  <si>
    <t>31286097570</t>
  </si>
  <si>
    <t>041-571-0952</t>
  </si>
  <si>
    <t>H0231</t>
  </si>
  <si>
    <t>천-208</t>
  </si>
  <si>
    <t>이주형, 배윤민, 고유빈, 강종구</t>
  </si>
  <si>
    <t>서울서부</t>
  </si>
  <si>
    <t>롯데건설(주)이촌현대아파트 리모델링현장</t>
  </si>
  <si>
    <t>11481163776</t>
  </si>
  <si>
    <t>박현철</t>
  </si>
  <si>
    <t>서울특별시 용산구 이촌로 303 (이촌동, 현대아파트)</t>
  </si>
  <si>
    <t>02-798-8646</t>
  </si>
  <si>
    <t>02-798-8647</t>
  </si>
  <si>
    <t>이하니</t>
  </si>
  <si>
    <t>010-5065-7922</t>
  </si>
  <si>
    <t>caibe@naver.com</t>
  </si>
  <si>
    <t>H0420</t>
  </si>
  <si>
    <t>최초실시, 공정의 수시변경</t>
  </si>
  <si>
    <t>천-209</t>
  </si>
  <si>
    <t>주식회사 에이치원건설 (주)테크윙 아산사업장 기숙사,공장동,접견동,공작물주차장 증축</t>
  </si>
  <si>
    <t>조충구</t>
  </si>
  <si>
    <t>충청남도 아산시 음봉면 아산밸리로387번길 118 (신휴리)</t>
  </si>
  <si>
    <t>천연화</t>
  </si>
  <si>
    <t>고문</t>
  </si>
  <si>
    <t>010-4471-2435</t>
  </si>
  <si>
    <t>cyh403@h1group.co.kr</t>
  </si>
  <si>
    <t>천-210</t>
  </si>
  <si>
    <t>041-585-9570</t>
  </si>
  <si>
    <t>H0323</t>
  </si>
  <si>
    <t>천-211</t>
  </si>
  <si>
    <t>주식회사 제원테크 2공장</t>
  </si>
  <si>
    <t>정현철</t>
  </si>
  <si>
    <t>충청남도 천안시 동남구 성남면 세성로 102-12 (화성리)</t>
  </si>
  <si>
    <t>041-552-1907</t>
  </si>
  <si>
    <t>041-551-1909</t>
  </si>
  <si>
    <t>최동선</t>
  </si>
  <si>
    <t>010-5369-7975</t>
  </si>
  <si>
    <t>dschoi@welkeeps.com</t>
  </si>
  <si>
    <t>jeone@welkeeps.com</t>
  </si>
  <si>
    <t>천-212</t>
  </si>
  <si>
    <t>한기문, 강종구, 고유빈</t>
  </si>
  <si>
    <t>02-2167-9049</t>
  </si>
  <si>
    <t>천-213</t>
  </si>
  <si>
    <t>070-4369-7413</t>
  </si>
  <si>
    <t>천-214</t>
  </si>
  <si>
    <t>woodcla@naver.com</t>
  </si>
  <si>
    <t>천-215</t>
  </si>
  <si>
    <t>070-4369-3806</t>
  </si>
  <si>
    <t>천-216</t>
  </si>
  <si>
    <t>김장호</t>
  </si>
  <si>
    <t>010-3627-5938</t>
  </si>
  <si>
    <t>rndlstk7@hanmail.net</t>
  </si>
  <si>
    <t>천-217</t>
  </si>
  <si>
    <t>20781465900</t>
  </si>
  <si>
    <t>041-529-4050</t>
  </si>
  <si>
    <t>H0249</t>
  </si>
  <si>
    <t>전회미실시, 고시물질</t>
  </si>
  <si>
    <t>천-218</t>
  </si>
  <si>
    <t>주식회사 유성기술</t>
  </si>
  <si>
    <t>37187011780</t>
  </si>
  <si>
    <t>정동철</t>
  </si>
  <si>
    <t>충청남도 천안시 서북구 직산읍 군수1길 96 (군서리)</t>
  </si>
  <si>
    <t>041-588-8817</t>
  </si>
  <si>
    <t>041-588-8819</t>
  </si>
  <si>
    <t>이재원</t>
  </si>
  <si>
    <t>010-5226-3071</t>
  </si>
  <si>
    <t>ys8817@yusungvalve.co.kr</t>
  </si>
  <si>
    <t>H0248</t>
  </si>
  <si>
    <t>천-219</t>
  </si>
  <si>
    <t>(주) 유성</t>
  </si>
  <si>
    <t>31281886790</t>
  </si>
  <si>
    <t>정성욱</t>
  </si>
  <si>
    <t>충청남도 천안시 서북구 직산읍 군수1길 96, 1동</t>
  </si>
  <si>
    <t>공정의 변경, 소음85이상</t>
  </si>
  <si>
    <t>천-220</t>
  </si>
  <si>
    <t>041-541-2838</t>
  </si>
  <si>
    <t>천-221</t>
  </si>
  <si>
    <t>041-549-6078</t>
  </si>
  <si>
    <t>천-222</t>
  </si>
  <si>
    <t>12981184210</t>
  </si>
  <si>
    <t>041-541-2122</t>
  </si>
  <si>
    <t>H0418</t>
  </si>
  <si>
    <t>천-223</t>
  </si>
  <si>
    <t>서대종합건설 주식회사 홍성군 자연장지 조성사업</t>
  </si>
  <si>
    <t>정해천</t>
  </si>
  <si>
    <t>충청남도 홍성군 갈산면 갈산서길170번길 109-60</t>
  </si>
  <si>
    <t>041-935-0051</t>
  </si>
  <si>
    <t>041-936-5279</t>
  </si>
  <si>
    <t>조성선</t>
  </si>
  <si>
    <t>010-2886-6689</t>
  </si>
  <si>
    <t>jss825@naver.com</t>
  </si>
  <si>
    <t>cac048@naver.com</t>
  </si>
  <si>
    <t>신규공정, 공정변경, 고시물질</t>
  </si>
  <si>
    <t>천-224</t>
  </si>
  <si>
    <t>032-567-7459</t>
  </si>
  <si>
    <t>H0006</t>
  </si>
  <si>
    <t>천-225</t>
  </si>
  <si>
    <t>해비치호텔앤드리조트 주식회사 르메르디앙&amp;목시 명동</t>
  </si>
  <si>
    <t>92231505881</t>
  </si>
  <si>
    <t>김민수</t>
  </si>
  <si>
    <t>서울특별시 중구 명동8나길 38 (충무로1가)</t>
  </si>
  <si>
    <t>02-2184-7094</t>
  </si>
  <si>
    <t>02-2184-7093</t>
  </si>
  <si>
    <t>김현주</t>
  </si>
  <si>
    <t>010-9159-5499</t>
  </si>
  <si>
    <t>Elena.Kim@marriott.com</t>
  </si>
  <si>
    <t>elin.kim2@marriott.com
Tax.myeongdong@gmail.com</t>
  </si>
  <si>
    <t>(주)케이티에스테이트로 계산서 발행</t>
  </si>
  <si>
    <t>H0424</t>
  </si>
  <si>
    <t>천-226</t>
  </si>
  <si>
    <t>(주) 부현전기 쿠팡 CHA 6FC Ph2 전기공사</t>
  </si>
  <si>
    <t>김홍수</t>
  </si>
  <si>
    <t>충청남도 천안시 서북구 입장면 용정도하길 181 (용정리)</t>
  </si>
  <si>
    <t>010-9003-0781</t>
  </si>
  <si>
    <t>kjh0781@boohyun.kr</t>
  </si>
  <si>
    <t>kyong16@hometax.go.kr</t>
  </si>
  <si>
    <t>H0422</t>
  </si>
  <si>
    <t>천-227</t>
  </si>
  <si>
    <t>남영물류산업 (주) 쿠팡 CHA6 FC Mezzanine 설치 공사</t>
  </si>
  <si>
    <t>남후식</t>
  </si>
  <si>
    <t>전윤철</t>
  </si>
  <si>
    <t>010-2652-5861</t>
  </si>
  <si>
    <t>jyc123@nyhanger.co.kr</t>
  </si>
  <si>
    <t>ny6127@empas.com</t>
  </si>
  <si>
    <t>H0423</t>
  </si>
  <si>
    <t>천-228</t>
  </si>
  <si>
    <t>바른소방(주) CHA6 Ph2 소방설비 설치공사</t>
  </si>
  <si>
    <t>이준범</t>
  </si>
  <si>
    <t>박상욱</t>
  </si>
  <si>
    <t>010-3909-9967</t>
  </si>
  <si>
    <t>barun@barunsobang.com</t>
  </si>
  <si>
    <t>sobang4441@hanmail.net</t>
  </si>
  <si>
    <t>천-229</t>
  </si>
  <si>
    <t>92437185871</t>
  </si>
  <si>
    <t>H0429</t>
  </si>
  <si>
    <t>천-230</t>
  </si>
  <si>
    <t>강원</t>
  </si>
  <si>
    <t>성진종합건설(주) 강원대학교 농업생명과학대학 개축현장</t>
  </si>
  <si>
    <t>최영진</t>
  </si>
  <si>
    <t>강원특별자치도 춘천시 강원대학길 1 (효자동)</t>
  </si>
  <si>
    <t>010-6315-4438</t>
  </si>
  <si>
    <t>대-153</t>
  </si>
  <si>
    <t>31420440360</t>
  </si>
  <si>
    <t>대-154</t>
  </si>
  <si>
    <t>31881044730</t>
  </si>
  <si>
    <t>대-155</t>
  </si>
  <si>
    <t>62947008110</t>
  </si>
  <si>
    <t>대-156</t>
  </si>
  <si>
    <t>40112616490</t>
  </si>
  <si>
    <t>대-157</t>
  </si>
  <si>
    <t>82350003870</t>
  </si>
  <si>
    <t>대-158</t>
  </si>
  <si>
    <t>대-159</t>
  </si>
  <si>
    <t>30631709030</t>
  </si>
  <si>
    <t>대-160</t>
  </si>
  <si>
    <t>31486266360</t>
  </si>
  <si>
    <t>대-161</t>
  </si>
  <si>
    <t>31481343350</t>
  </si>
  <si>
    <t>대-162</t>
  </si>
  <si>
    <t>30629718550</t>
  </si>
  <si>
    <t>대-163</t>
  </si>
  <si>
    <t>30518995530</t>
  </si>
  <si>
    <t>대-164</t>
  </si>
  <si>
    <t>31801312260</t>
  </si>
  <si>
    <t>대-165</t>
  </si>
  <si>
    <t>주식회사현우모터스</t>
  </si>
  <si>
    <t>30581907070</t>
  </si>
  <si>
    <t>대-166</t>
  </si>
  <si>
    <t>30586220150</t>
  </si>
  <si>
    <t>대-167</t>
  </si>
  <si>
    <t>30530458020</t>
  </si>
  <si>
    <t>대-168</t>
  </si>
  <si>
    <t>30681317200</t>
  </si>
  <si>
    <t>ksjs1108@nate.com</t>
  </si>
  <si>
    <t>대-169</t>
  </si>
  <si>
    <t>31414208240</t>
  </si>
  <si>
    <t>대-170</t>
  </si>
  <si>
    <t>30603216180</t>
  </si>
  <si>
    <t>대-171</t>
  </si>
  <si>
    <t>31801505430</t>
  </si>
  <si>
    <t>대-172</t>
  </si>
  <si>
    <t>31424720920</t>
  </si>
  <si>
    <t>대-173</t>
  </si>
  <si>
    <t>30581379250</t>
  </si>
  <si>
    <t>대-174</t>
  </si>
  <si>
    <t>주식회사 관저자동차공업</t>
  </si>
  <si>
    <t>52487011510</t>
  </si>
  <si>
    <t>대-175</t>
  </si>
  <si>
    <t>주식회사 서대전공업사</t>
  </si>
  <si>
    <t>91405986771</t>
  </si>
  <si>
    <t>박성권</t>
  </si>
  <si>
    <t>대-176</t>
  </si>
  <si>
    <t>31412273710</t>
  </si>
  <si>
    <t>대-177</t>
  </si>
  <si>
    <t>30524814280</t>
  </si>
  <si>
    <t>이윤경</t>
  </si>
  <si>
    <t>010-9271-9308</t>
  </si>
  <si>
    <t>대-178</t>
  </si>
  <si>
    <t>30525990030</t>
  </si>
  <si>
    <t>대-179</t>
  </si>
  <si>
    <t>72188002550</t>
  </si>
  <si>
    <t>jim1811@hanmail.net</t>
  </si>
  <si>
    <t>대-180</t>
  </si>
  <si>
    <t>(주) 1급금호자동차정비</t>
  </si>
  <si>
    <t>30581659120</t>
  </si>
  <si>
    <t>대-181</t>
  </si>
  <si>
    <t>44019000590</t>
  </si>
  <si>
    <t>대-182</t>
  </si>
  <si>
    <t>17903025280</t>
  </si>
  <si>
    <t>byi1162@naver.com</t>
  </si>
  <si>
    <t>대-183</t>
  </si>
  <si>
    <t>31429018930</t>
  </si>
  <si>
    <t>대-184</t>
  </si>
  <si>
    <t>30532387750</t>
  </si>
  <si>
    <t>대-185</t>
  </si>
  <si>
    <t>30581897050</t>
  </si>
  <si>
    <t>H0062</t>
  </si>
  <si>
    <t>대-186</t>
  </si>
  <si>
    <t>남부자동차공업(주)</t>
  </si>
  <si>
    <t>30681206930</t>
  </si>
  <si>
    <t>양승희</t>
  </si>
  <si>
    <t>042-285-5200</t>
  </si>
  <si>
    <t>042-285-5203</t>
  </si>
  <si>
    <t>정주하</t>
  </si>
  <si>
    <t>010-9400-9292</t>
  </si>
  <si>
    <t>jh279321@naver.com</t>
  </si>
  <si>
    <t>대-187</t>
  </si>
  <si>
    <t>73825006750</t>
  </si>
  <si>
    <t>H1033</t>
  </si>
  <si>
    <t>대-188</t>
  </si>
  <si>
    <t>87546007560</t>
  </si>
  <si>
    <t>대-189</t>
  </si>
  <si>
    <t>31486540870</t>
  </si>
  <si>
    <t>대-190</t>
  </si>
  <si>
    <t>31486415780</t>
  </si>
  <si>
    <t>대-191</t>
  </si>
  <si>
    <t>41887021220</t>
  </si>
  <si>
    <t>대-192</t>
  </si>
  <si>
    <t>대-193</t>
  </si>
  <si>
    <t>31481869970</t>
  </si>
  <si>
    <t>대-194</t>
  </si>
  <si>
    <t>31412853520</t>
  </si>
  <si>
    <t>대-195</t>
  </si>
  <si>
    <t>30528624910</t>
  </si>
  <si>
    <t>대-196</t>
  </si>
  <si>
    <t>30532556620</t>
  </si>
  <si>
    <t>대-197</t>
  </si>
  <si>
    <t>92336241771</t>
  </si>
  <si>
    <t>대-198</t>
  </si>
  <si>
    <t>59031003750</t>
  </si>
  <si>
    <t>대-199</t>
  </si>
  <si>
    <t>31401695500</t>
  </si>
  <si>
    <t>대-200</t>
  </si>
  <si>
    <t>42741006250</t>
  </si>
  <si>
    <t>대-201</t>
  </si>
  <si>
    <t>31424519850</t>
  </si>
  <si>
    <t>대-202</t>
  </si>
  <si>
    <t>55544002560</t>
  </si>
  <si>
    <t>대-203</t>
  </si>
  <si>
    <t>30803332740</t>
  </si>
  <si>
    <t>대-204</t>
  </si>
  <si>
    <t>31422660150</t>
  </si>
  <si>
    <t>대-205</t>
  </si>
  <si>
    <t>74286019370</t>
  </si>
  <si>
    <t>대-206</t>
  </si>
  <si>
    <t>31486245120</t>
  </si>
  <si>
    <t>대-207</t>
  </si>
  <si>
    <t>65206013790</t>
  </si>
  <si>
    <t>대-208</t>
  </si>
  <si>
    <t>44541004480</t>
  </si>
  <si>
    <t>대-209</t>
  </si>
  <si>
    <t>대-210</t>
  </si>
  <si>
    <t>31481779210</t>
  </si>
  <si>
    <t>대-211</t>
  </si>
  <si>
    <t>73905019130</t>
  </si>
  <si>
    <t>대-212</t>
  </si>
  <si>
    <t>31486253210</t>
  </si>
  <si>
    <t>대-213</t>
  </si>
  <si>
    <t>92230124771</t>
  </si>
  <si>
    <t>대-214</t>
  </si>
  <si>
    <t>32104003940</t>
  </si>
  <si>
    <t>대-215</t>
  </si>
  <si>
    <t>31405225860</t>
  </si>
  <si>
    <t>대-216</t>
  </si>
  <si>
    <t>31486334230</t>
  </si>
  <si>
    <t>대-217</t>
  </si>
  <si>
    <t>49885002950</t>
  </si>
  <si>
    <t>대-218</t>
  </si>
  <si>
    <t>30585407340</t>
  </si>
  <si>
    <t>대-219</t>
  </si>
  <si>
    <t>24287015790</t>
  </si>
  <si>
    <t>대-220</t>
  </si>
  <si>
    <t>30586325840</t>
  </si>
  <si>
    <t>대-221</t>
  </si>
  <si>
    <t>53181019480</t>
  </si>
  <si>
    <t>대-222</t>
  </si>
  <si>
    <t>31426262150</t>
  </si>
  <si>
    <t>대-223</t>
  </si>
  <si>
    <t>86226006210</t>
  </si>
  <si>
    <t>대-224</t>
  </si>
  <si>
    <t>31481742060</t>
  </si>
  <si>
    <t>대-225</t>
  </si>
  <si>
    <t>62818016130</t>
  </si>
  <si>
    <t>대-226</t>
  </si>
  <si>
    <t>19221002120</t>
  </si>
  <si>
    <t>대-227</t>
  </si>
  <si>
    <t>34488000390</t>
  </si>
  <si>
    <t>대-228</t>
  </si>
  <si>
    <t>30581854320</t>
  </si>
  <si>
    <t>db8287@hanmail.net, dongbu1500@hanmail.net</t>
  </si>
  <si>
    <t>대-229</t>
  </si>
  <si>
    <t>30581939840</t>
  </si>
  <si>
    <t>대-230</t>
  </si>
  <si>
    <t>40586012700</t>
  </si>
  <si>
    <t>대-231</t>
  </si>
  <si>
    <t>30581644370</t>
  </si>
  <si>
    <t>대-232</t>
  </si>
  <si>
    <t>68681019470</t>
  </si>
  <si>
    <t>대-233</t>
  </si>
  <si>
    <t>68306022220</t>
  </si>
  <si>
    <t>대-234</t>
  </si>
  <si>
    <t>15481001360</t>
  </si>
  <si>
    <t>대-235</t>
  </si>
  <si>
    <t>31486575600</t>
  </si>
  <si>
    <t>대-236</t>
  </si>
  <si>
    <t>30531784640</t>
  </si>
  <si>
    <t>대-237</t>
  </si>
  <si>
    <t>27886007570</t>
  </si>
  <si>
    <t>대-238</t>
  </si>
  <si>
    <t>73287028390</t>
  </si>
  <si>
    <t>대-239</t>
  </si>
  <si>
    <t>21세기모터스검사장 주식회사</t>
  </si>
  <si>
    <t>47981009760</t>
  </si>
  <si>
    <t>대-240</t>
  </si>
  <si>
    <t>주식회사 서일모터스</t>
  </si>
  <si>
    <t>52488004260</t>
  </si>
  <si>
    <t>9/29일 이중입금, 9/30 환불</t>
  </si>
  <si>
    <t>대-241</t>
  </si>
  <si>
    <t>52637000940</t>
  </si>
  <si>
    <t>26년 상반기 측정료 12/16 입금 및 계산서 발행 완료</t>
  </si>
  <si>
    <t>대-242</t>
  </si>
  <si>
    <t>31481555340</t>
  </si>
  <si>
    <t>대-243</t>
  </si>
  <si>
    <t>30305248660</t>
  </si>
  <si>
    <t>대-244</t>
  </si>
  <si>
    <t>10226670060</t>
  </si>
  <si>
    <t>대-245</t>
  </si>
  <si>
    <t>30647767230</t>
  </si>
  <si>
    <t>대-246</t>
  </si>
  <si>
    <t>31481904910</t>
  </si>
  <si>
    <t>대-247</t>
  </si>
  <si>
    <t>47170000730</t>
  </si>
  <si>
    <t>대-248</t>
  </si>
  <si>
    <t>31403194090</t>
  </si>
  <si>
    <t>대-249</t>
  </si>
  <si>
    <t>김상근</t>
  </si>
  <si>
    <t>042-932-6679</t>
  </si>
  <si>
    <t>대-250</t>
  </si>
  <si>
    <t>30603227330</t>
  </si>
  <si>
    <t>대-251</t>
  </si>
  <si>
    <t>30581763500</t>
  </si>
  <si>
    <t>대-252</t>
  </si>
  <si>
    <t>30525874860</t>
  </si>
  <si>
    <t>대-253</t>
  </si>
  <si>
    <t>31410729830</t>
  </si>
  <si>
    <t>대-254</t>
  </si>
  <si>
    <t>30517653420</t>
  </si>
  <si>
    <t>대-255</t>
  </si>
  <si>
    <t>85572002370</t>
  </si>
  <si>
    <t>대-256</t>
  </si>
  <si>
    <t>77608001560</t>
  </si>
  <si>
    <t>대-257</t>
  </si>
  <si>
    <t>66886013800</t>
  </si>
  <si>
    <t>대-258</t>
  </si>
  <si>
    <t>30631741890</t>
  </si>
  <si>
    <t>대-259</t>
  </si>
  <si>
    <t>31486327060</t>
  </si>
  <si>
    <t>대-260</t>
  </si>
  <si>
    <t>91920267621</t>
  </si>
  <si>
    <t>대-261</t>
  </si>
  <si>
    <t>31486058490</t>
  </si>
  <si>
    <t>대-262</t>
  </si>
  <si>
    <t>31481001930</t>
  </si>
  <si>
    <t>ys0033@hometax.go.kr</t>
  </si>
  <si>
    <t>대-263</t>
  </si>
  <si>
    <t>31422221330</t>
  </si>
  <si>
    <t>대-264</t>
  </si>
  <si>
    <t>31881029990</t>
  </si>
  <si>
    <t>H0399</t>
  </si>
  <si>
    <t>대-265</t>
  </si>
  <si>
    <t>(주)조은자동차서비스</t>
  </si>
  <si>
    <t>이희철</t>
  </si>
  <si>
    <t>충청남도 금산군 금산읍 인삼로 216 (신대리, 조은자동차서비스)</t>
  </si>
  <si>
    <t>041-751-7600</t>
  </si>
  <si>
    <t>041-751-2494</t>
  </si>
  <si>
    <t>010-9286-6932</t>
  </si>
  <si>
    <t>yeynav@naver.com</t>
  </si>
  <si>
    <t>대-266</t>
  </si>
  <si>
    <t>H0402</t>
  </si>
  <si>
    <t>대-267</t>
  </si>
  <si>
    <t>주식회사 에이치원건설 (주)덕산테코피아 공주공장 증축공사</t>
  </si>
  <si>
    <t>조중구</t>
  </si>
  <si>
    <t>충청남도 공주시 남공주산단길 210 (검상동)</t>
  </si>
  <si>
    <t>대-268</t>
  </si>
  <si>
    <t>31486264460</t>
  </si>
  <si>
    <t>대-269</t>
  </si>
  <si>
    <t>63306016260</t>
  </si>
  <si>
    <t>대-270</t>
  </si>
  <si>
    <t>30521151550</t>
  </si>
  <si>
    <t>대-271</t>
  </si>
  <si>
    <t>대-272</t>
  </si>
  <si>
    <t>75850005170</t>
  </si>
  <si>
    <t>대-273</t>
  </si>
  <si>
    <t>30681223470</t>
  </si>
  <si>
    <t>대-274</t>
  </si>
  <si>
    <t>31801245930</t>
  </si>
  <si>
    <t>대-275</t>
  </si>
  <si>
    <t>11112695440</t>
  </si>
  <si>
    <t>대-276</t>
  </si>
  <si>
    <t>대-277</t>
  </si>
  <si>
    <t>31403930200</t>
  </si>
  <si>
    <t>대-278</t>
  </si>
  <si>
    <t>대-279</t>
  </si>
  <si>
    <t>대-280</t>
  </si>
  <si>
    <t>77739008470</t>
  </si>
  <si>
    <t>대-281</t>
  </si>
  <si>
    <t>42629002180</t>
  </si>
  <si>
    <t>대-282</t>
  </si>
  <si>
    <t>22119089930</t>
  </si>
  <si>
    <t>hs-motors6936@daum.net</t>
  </si>
  <si>
    <t>대-283</t>
  </si>
  <si>
    <t>31485521940</t>
  </si>
  <si>
    <t>대-284</t>
  </si>
  <si>
    <t>31781054310</t>
  </si>
  <si>
    <t>대-285</t>
  </si>
  <si>
    <t>대-286</t>
  </si>
  <si>
    <t>13881017736</t>
  </si>
  <si>
    <t>대-287</t>
  </si>
  <si>
    <t>대-288</t>
  </si>
  <si>
    <t>30681048780</t>
  </si>
  <si>
    <t>대-289</t>
  </si>
  <si>
    <t>30881378326</t>
  </si>
  <si>
    <t>김동혁</t>
  </si>
  <si>
    <t>대-290</t>
  </si>
  <si>
    <t>30782017170</t>
  </si>
  <si>
    <t>대-291</t>
  </si>
  <si>
    <t>23910018000</t>
  </si>
  <si>
    <t>대-292</t>
  </si>
  <si>
    <t>25209014850</t>
  </si>
  <si>
    <t>대-293</t>
  </si>
  <si>
    <t>H0421</t>
  </si>
  <si>
    <t>대-294</t>
  </si>
  <si>
    <t>남강종합건설 (주) 구석기 교육원 건립사업</t>
  </si>
  <si>
    <t>하영호</t>
  </si>
  <si>
    <t>충청남도 공주시 석장리길 87 (석장리동)</t>
  </si>
  <si>
    <t>송영준</t>
  </si>
  <si>
    <t>010-8339-9373</t>
  </si>
  <si>
    <t>yjoon0703@gmail.com</t>
  </si>
  <si>
    <t>대-295</t>
  </si>
  <si>
    <t>70582003390</t>
  </si>
  <si>
    <t>H0277</t>
  </si>
  <si>
    <t>대-296</t>
  </si>
  <si>
    <t>주식회사 선진수출포장</t>
  </si>
  <si>
    <t>백원채, 백창흠</t>
  </si>
  <si>
    <t>충청남도 금산군 복수면 다복로 491-30 (용진리, 선진수출포장)</t>
  </si>
  <si>
    <t>041-751-0212</t>
  </si>
  <si>
    <t>041-751-0215</t>
  </si>
  <si>
    <t>설규상</t>
  </si>
  <si>
    <t>010-3406-8736</t>
  </si>
  <si>
    <t>seol2334@naver.com</t>
  </si>
  <si>
    <t>sunjinsuchul@hometax.go.kr</t>
  </si>
  <si>
    <t>대-297</t>
  </si>
  <si>
    <t>31481641110</t>
  </si>
  <si>
    <t>H0426</t>
  </si>
  <si>
    <t>대-298</t>
  </si>
  <si>
    <t>현대무백스 주식회사 한국콜마 원료동 증축공사</t>
  </si>
  <si>
    <t>도익한</t>
  </si>
  <si>
    <t>세종특별자치시 전의면 산단길 22-17 (관정리)</t>
  </si>
  <si>
    <t>오봉규</t>
  </si>
  <si>
    <t>010-9976-6850</t>
  </si>
  <si>
    <t>bonggyu.oh@hyundaimovex.com</t>
  </si>
  <si>
    <t>H0428</t>
  </si>
  <si>
    <t>대-299</t>
  </si>
  <si>
    <t>삼정종합건설(주) 금강홍수통제소 청사 건립사업</t>
  </si>
  <si>
    <t>홍창성</t>
  </si>
  <si>
    <t>충청남도 공주시 금벽로 551(신관동)</t>
  </si>
  <si>
    <t>김미자</t>
  </si>
  <si>
    <t>010-3368-7363</t>
  </si>
  <si>
    <t>nyc7363k@naver.com</t>
  </si>
  <si>
    <t>평-011</t>
  </si>
  <si>
    <t>평-012</t>
  </si>
  <si>
    <t>H0227</t>
  </si>
  <si>
    <t>최초실시, 고시물질</t>
  </si>
  <si>
    <t>평-013</t>
  </si>
  <si>
    <t>건영포장(주) 안성물류센터</t>
  </si>
  <si>
    <t>경기도 안성시 양성면 이현배티길 42-12 (이현리)</t>
  </si>
  <si>
    <t>041-532-3211</t>
  </si>
  <si>
    <t>H0404</t>
  </si>
  <si>
    <t>평-014</t>
  </si>
  <si>
    <t>호산테크(주)</t>
  </si>
  <si>
    <t>이현종</t>
  </si>
  <si>
    <t>경기도 안성시 미양면 안성맞춤대로 571-66 (보체리)</t>
  </si>
  <si>
    <t>031-677-9601</t>
  </si>
  <si>
    <t>031-677-9602</t>
  </si>
  <si>
    <t>최규남</t>
  </si>
  <si>
    <t>010-5040-7080</t>
  </si>
  <si>
    <t>kn.choi@hosanco.com</t>
  </si>
  <si>
    <t>hosan01@nate.com</t>
  </si>
  <si>
    <t>평-015</t>
  </si>
  <si>
    <t>평-016</t>
  </si>
  <si>
    <t>한기문,배윤민,고유빈</t>
  </si>
  <si>
    <t>평-017</t>
  </si>
  <si>
    <t>김예나</t>
  </si>
  <si>
    <t>Yena.Kim@nylacast.com</t>
  </si>
  <si>
    <t>ava.lee@nylacast.com
Yena.Kim@nylacast.com</t>
  </si>
  <si>
    <t>평-018</t>
  </si>
  <si>
    <t>평-019</t>
  </si>
  <si>
    <t>H0427</t>
  </si>
  <si>
    <t>평-020</t>
  </si>
  <si>
    <t>(주)비에스비푸드</t>
  </si>
  <si>
    <t>경기도 안성시 원곡면 지문로 203-86 (지문리)</t>
  </si>
  <si>
    <t>1588-9109</t>
  </si>
  <si>
    <t>031-618-1238</t>
  </si>
  <si>
    <t>이태구</t>
  </si>
  <si>
    <t>010-4034-0430</t>
  </si>
  <si>
    <t>ympz1013@gmail.com</t>
  </si>
  <si>
    <t>경-001</t>
  </si>
  <si>
    <t>031-353-9570</t>
  </si>
  <si>
    <t>sty2355@hanmail.net</t>
  </si>
  <si>
    <t>경-002</t>
  </si>
  <si>
    <t>070-8220-0235</t>
  </si>
  <si>
    <t>경-003</t>
  </si>
  <si>
    <t>031-356-4597</t>
  </si>
  <si>
    <t>경-004</t>
  </si>
  <si>
    <t>031-357-3743</t>
  </si>
  <si>
    <t>경-005</t>
  </si>
  <si>
    <t>H0244</t>
  </si>
  <si>
    <t>경-006</t>
  </si>
  <si>
    <t>주식회사 승일금속</t>
  </si>
  <si>
    <t>유하선</t>
  </si>
  <si>
    <t>경기도 화성시 송산면 송산서로239번길 27-35, C동 (지화리)</t>
  </si>
  <si>
    <t>경-007</t>
  </si>
  <si>
    <t>031-353-7322</t>
  </si>
  <si>
    <t>경-008</t>
  </si>
  <si>
    <t>031-267-0407</t>
  </si>
  <si>
    <t>H0412</t>
  </si>
  <si>
    <t>경-009</t>
  </si>
  <si>
    <t>㈜비에스비로지스틱스</t>
  </si>
  <si>
    <t>정관영</t>
  </si>
  <si>
    <t>경기도 용인시 처인구 포곡읍 성산로 600 (전대리)</t>
  </si>
  <si>
    <t>070-4407-8500</t>
  </si>
  <si>
    <t>031-321-8149</t>
  </si>
  <si>
    <t>김진오</t>
  </si>
  <si>
    <t>010-6387-2594</t>
  </si>
  <si>
    <t>ympz2594@gmail.com</t>
  </si>
  <si>
    <t>경-010</t>
  </si>
  <si>
    <t>경-011</t>
  </si>
  <si>
    <t>이윤환</t>
  </si>
  <si>
    <t>031-8005-9324</t>
  </si>
  <si>
    <t>이정은</t>
  </si>
  <si>
    <t>010-5187-8225</t>
  </si>
  <si>
    <t>jeongeun.lee@mks.com</t>
  </si>
  <si>
    <t>경-012</t>
  </si>
  <si>
    <t>031-526-6698</t>
  </si>
  <si>
    <t>경-013</t>
  </si>
  <si>
    <t>031-378-6694</t>
  </si>
  <si>
    <t>010-8019-6180</t>
  </si>
  <si>
    <t>경-014</t>
  </si>
  <si>
    <t>여재우</t>
  </si>
  <si>
    <t>010-5183-0116</t>
  </si>
  <si>
    <t>yjwoo@solardin.com</t>
  </si>
  <si>
    <t>측정일지 업로드 양식 작성 가이드</t>
  </si>
  <si>
    <t/>
  </si>
  <si>
    <t>※ 필수 항목은 * 표시가 되어 있습니다.</t>
  </si>
  <si>
    <t>1. 기본 정보</t>
  </si>
  <si>
    <t xml:space="preserve">  - 코드*: 측정사업장 코드 (필수)</t>
  </si>
  <si>
    <t xml:space="preserve">  - 측정년도*: 측정년도 (예: 2024)</t>
  </si>
  <si>
    <t xml:space="preserve">  - 측정주기*: 상반기 또는 하반기 (필수)</t>
  </si>
  <si>
    <t xml:space="preserve">  - 지정한계_관할지청*: 대전지방고용노동청 천안지청, 대전지방고용노동청, 중부지방고용노동청 평택지청, 중부지방고용노동청 경기지청 중 하나</t>
  </si>
  <si>
    <t>2. 번호 정보</t>
  </si>
  <si>
    <t xml:space="preserve">  - 공문연번: 자동 부여되므로 비워두거나 기존 번호 입력</t>
  </si>
  <si>
    <t xml:space="preserve">  - 연번: 자동 부여되므로 비워두거나 기존 번호 입력</t>
  </si>
  <si>
    <t xml:space="preserve">  - 5인 이상 연번: 자동 부여되므로 비워두거나 기존 번호 입력</t>
  </si>
  <si>
    <t>3. 날짜 형식</t>
  </si>
  <si>
    <t xml:space="preserve">  - 모든 날짜는 YYYY-MM-DD 형식으로 입력 (예: 2024-01-15)</t>
  </si>
  <si>
    <t>4. 완료여부</t>
  </si>
  <si>
    <t xml:space="preserve">  - 완료 또는 미완료 중 하나 선택</t>
  </si>
  <si>
    <t>5. 국고지원여부</t>
  </si>
  <si>
    <t xml:space="preserve">  - 지원 또는 비대상 중 하나 선택</t>
  </si>
  <si>
    <t>6. 금액 형식</t>
  </si>
  <si>
    <t xml:space="preserve">  - 모든 금액은 숫자만 입력 (예: 1000000)</t>
  </si>
  <si>
    <t xml:space="preserve">  - 천단위 콤마는 입력하지 않습니다</t>
  </si>
  <si>
    <t>7. 주의사항</t>
  </si>
  <si>
    <t xml:space="preserve">  - 예시 행은 삭제하고 실제 데이터만 입력하세요</t>
  </si>
  <si>
    <t xml:space="preserve">  - 코드는 measurement_business 테이블에 존재해야 합니다</t>
  </si>
  <si>
    <t xml:space="preserve">  - 공문연번은 중복될 수 없습니다</t>
  </si>
  <si>
    <t xml:space="preserve">  - 완료된 측정일지는 수정할 수 없습니다</t>
  </si>
  <si>
    <t>대전</t>
    <phoneticPr fontId="6" type="noConversion"/>
  </si>
  <si>
    <t>*</t>
    <phoneticPr fontId="6" type="noConversion"/>
  </si>
  <si>
    <t>하반기</t>
    <phoneticPr fontId="6" type="noConversion"/>
  </si>
  <si>
    <t>평택</t>
    <phoneticPr fontId="6" type="noConversion"/>
  </si>
  <si>
    <t>평-020</t>
    <phoneticPr fontId="6" type="noConversion"/>
  </si>
  <si>
    <t>경기</t>
    <phoneticPr fontId="6" type="noConversion"/>
  </si>
  <si>
    <t>010-8019-6180</t>
    <phoneticPr fontId="6" type="noConversion"/>
  </si>
  <si>
    <t>H0395</t>
  </si>
  <si>
    <t>천안</t>
    <phoneticPr fontId="6" type="noConversion"/>
  </si>
  <si>
    <t>태인건설산업 주식회사 MG인재개발원 승강기 설치공사</t>
  </si>
  <si>
    <t>손찬우</t>
  </si>
  <si>
    <t>충청남도 천안시 동남구 목천읍 삼방로 346 (동리, MG인재개발원)</t>
  </si>
  <si>
    <t>박윤수</t>
  </si>
  <si>
    <t>010-3528-0816</t>
  </si>
  <si>
    <t>soo19421@hanmail.net</t>
  </si>
  <si>
    <t>sonsukgun@nate.com</t>
  </si>
  <si>
    <t>H0394</t>
  </si>
  <si>
    <t>케이케이엘 유한회사</t>
  </si>
  <si>
    <t>정주익, MICHAEL KEITH HIETBRINK</t>
  </si>
  <si>
    <t>경기도 화성시 장안면 장안공단2길 66-9 (수촌리)</t>
  </si>
  <si>
    <t>031-8055-2912</t>
  </si>
  <si>
    <t>031-8055-2990</t>
  </si>
  <si>
    <t>김진석</t>
  </si>
  <si>
    <t>010-8844-2349</t>
  </si>
  <si>
    <t>jinseok.kim1@kkl-kr.com</t>
  </si>
  <si>
    <t>H0200</t>
  </si>
  <si>
    <t>인주농협 미곡처리장</t>
  </si>
  <si>
    <t>81582000340</t>
  </si>
  <si>
    <t>김진권</t>
  </si>
  <si>
    <t>충청남도 아산시 인주면 걸매길 6-17 (걸매리, 인주농협조곡처리장)</t>
  </si>
  <si>
    <t>041-533-3289</t>
  </si>
  <si>
    <t>041-533-3290</t>
  </si>
  <si>
    <t>강은주</t>
  </si>
  <si>
    <t>과장대리</t>
  </si>
  <si>
    <t>010-5429-1637</t>
  </si>
  <si>
    <t>nh483089@nonghyup.com</t>
  </si>
  <si>
    <t>H0139</t>
  </si>
  <si>
    <t>현테크</t>
  </si>
  <si>
    <t>91610280151</t>
  </si>
  <si>
    <t>유지만</t>
  </si>
  <si>
    <t>충청남도 천안시 서북구 직산읍 신갈1길 53-15 (신갈리)</t>
  </si>
  <si>
    <t>041-583-1871</t>
  </si>
  <si>
    <t>041-583-1872</t>
  </si>
  <si>
    <t>010-6422-6702</t>
  </si>
  <si>
    <t>youjm33@naver.com</t>
  </si>
  <si>
    <t>041-522-7074</t>
  </si>
  <si>
    <t>sdmccv@naver.com</t>
  </si>
  <si>
    <t>H0117</t>
  </si>
  <si>
    <t>어썸치과기공소</t>
  </si>
  <si>
    <t>58693008790</t>
  </si>
  <si>
    <t>김성진</t>
  </si>
  <si>
    <t>충청남도 천안시 서북구 검은들3길 42, 602호 (불당동, C&amp;J타워빌딩)</t>
  </si>
  <si>
    <t>041-575-2857</t>
  </si>
  <si>
    <t>041-562-2806</t>
  </si>
  <si>
    <t>소장(대표)</t>
  </si>
  <si>
    <t>010-9030-0252</t>
  </si>
  <si>
    <t>why0205@hanmail.net</t>
  </si>
  <si>
    <t>H0396</t>
  </si>
  <si>
    <t>일신산업전기 (주)</t>
  </si>
  <si>
    <t>고수영</t>
  </si>
  <si>
    <t>경기도 광주시 광주대로 200-1(송정동)</t>
  </si>
  <si>
    <t>031-797-1631</t>
  </si>
  <si>
    <t>031-797-2178</t>
  </si>
  <si>
    <t>신민재</t>
  </si>
  <si>
    <t>010-2361-2820</t>
  </si>
  <si>
    <t>mjs7795@hanmail.net</t>
  </si>
  <si>
    <t>99isieco@daum.net</t>
  </si>
  <si>
    <t>H0398</t>
  </si>
  <si>
    <t>에이치디씨현대산업개발 주식회사 당진천안선 터널소방시설공사</t>
  </si>
  <si>
    <t>정경구, 조태제</t>
  </si>
  <si>
    <t>충청남도 아산시 영인면 토정로 148(역리)</t>
  </si>
  <si>
    <t>041-543-6998</t>
  </si>
  <si>
    <t>041-543-6997</t>
  </si>
  <si>
    <t>손인기</t>
  </si>
  <si>
    <t>010-2089-5262</t>
  </si>
  <si>
    <t>2807020@hdc-dvp.com</t>
  </si>
  <si>
    <t>R1053ctdi@hdc-dvp.com</t>
  </si>
  <si>
    <t>31281376370</t>
  </si>
  <si>
    <t>041-541-5715</t>
  </si>
  <si>
    <t>26619006020</t>
  </si>
  <si>
    <t>041-552-1026</t>
  </si>
  <si>
    <t>69121018530</t>
  </si>
  <si>
    <t>041-546-0999</t>
  </si>
  <si>
    <t>44886009240</t>
  </si>
  <si>
    <t>041-534-0022</t>
  </si>
  <si>
    <t>17987001180</t>
  </si>
  <si>
    <t>041-549-5505</t>
  </si>
  <si>
    <t>H0401</t>
  </si>
  <si>
    <t>안산</t>
  </si>
  <si>
    <t>(주) 두산금속</t>
  </si>
  <si>
    <t>김영이</t>
  </si>
  <si>
    <t>경기도 시흥시 마유로82번길 52 (정왕동)</t>
  </si>
  <si>
    <t>031-432-0783</t>
  </si>
  <si>
    <t>031-432-0785</t>
  </si>
  <si>
    <t>김원경</t>
  </si>
  <si>
    <t>010-9642-0201</t>
  </si>
  <si>
    <t>doosansm@hanmail.net</t>
  </si>
  <si>
    <t>H0400</t>
  </si>
  <si>
    <t>두산판금</t>
  </si>
  <si>
    <t>주명구</t>
  </si>
  <si>
    <t>경기도 시흥시 공단3대로 153 (정왕동)</t>
  </si>
  <si>
    <t>83487021160</t>
  </si>
  <si>
    <t>041-555-2878</t>
  </si>
  <si>
    <t>79414005860</t>
  </si>
  <si>
    <t>041-558-4001</t>
  </si>
  <si>
    <t>041-568-2859</t>
  </si>
  <si>
    <t>H0250</t>
  </si>
  <si>
    <t>건승티앤비</t>
  </si>
  <si>
    <t>31232716750</t>
  </si>
  <si>
    <t>김건남</t>
  </si>
  <si>
    <t>충청남도 천안시 동남구 성남면 성남로 230-21 (용원리)</t>
  </si>
  <si>
    <t>041-555-7260</t>
  </si>
  <si>
    <t>041-556-7261</t>
  </si>
  <si>
    <t>010-9925-7260</t>
  </si>
  <si>
    <t>sonata8715@hanmail.net</t>
  </si>
  <si>
    <t>31282183550</t>
  </si>
  <si>
    <t>041-566-3840</t>
  </si>
  <si>
    <t>ca5sandan3@nate.com</t>
  </si>
  <si>
    <t>31281688050</t>
  </si>
  <si>
    <t>041-547-3396</t>
  </si>
  <si>
    <t>이우용, 이호일</t>
  </si>
  <si>
    <t>031-797-3001</t>
  </si>
  <si>
    <t>한기문, 이주형, 강종구, 고유빈</t>
  </si>
  <si>
    <t>12483018180</t>
  </si>
  <si>
    <t>이상재</t>
  </si>
  <si>
    <t>063-238-3814</t>
  </si>
  <si>
    <t>H0406</t>
  </si>
  <si>
    <t>범일건설(주) 명인제약(주) 발안2공장 고형제동 증축공사</t>
  </si>
  <si>
    <t>경기도 화성시 향남읍 제약단지로 50 (하길리)</t>
  </si>
  <si>
    <t>손기호</t>
  </si>
  <si>
    <t>010-5237-7921</t>
  </si>
  <si>
    <t>H0405</t>
  </si>
  <si>
    <t>콜러벤처스인크 천안지점</t>
  </si>
  <si>
    <t>KASHYAP JAIRAJ KAPADIA(카쉬얍제이라즈카파디아)</t>
  </si>
  <si>
    <t>충청남도 천안시 서북구 직산읍 부송3길 61 (부송리, 노비타), B동 202호</t>
  </si>
  <si>
    <t>전우진</t>
  </si>
  <si>
    <t>010-5491-1412</t>
  </si>
  <si>
    <t>woojin.jeon@kohler.com</t>
  </si>
  <si>
    <t>kraccountspayable@kohlerventures.com, woojin.jeon@kohler.com</t>
  </si>
  <si>
    <t>이용준, 이원국</t>
    <phoneticPr fontId="6" type="noConversion"/>
  </si>
  <si>
    <t>010-8920-2263, 010-8928-0605</t>
    <phoneticPr fontId="6" type="noConversion"/>
  </si>
  <si>
    <t>10581296406</t>
  </si>
  <si>
    <t>041-674-0877</t>
  </si>
  <si>
    <t>14981018130</t>
  </si>
  <si>
    <t>041-555-0933</t>
  </si>
  <si>
    <t>kspark@lsglobal.co.kr</t>
  </si>
  <si>
    <t>92126827491</t>
  </si>
  <si>
    <t>041-354-1503</t>
  </si>
  <si>
    <t>한기문, 고유빈, 배윤민</t>
  </si>
  <si>
    <t>13782100480</t>
  </si>
  <si>
    <t>041-950-0682</t>
  </si>
  <si>
    <t>H0407</t>
  </si>
  <si>
    <t>(주) 광전사 천안 스마트그린산단 통합관제센터 스마트횡단보도 설치</t>
  </si>
  <si>
    <t>박현석</t>
  </si>
  <si>
    <t>충청남도 천안시 서북구 3공단6로 86-9 제3일반산업단지</t>
  </si>
  <si>
    <t>정동주</t>
  </si>
  <si>
    <t>010-8883-7115</t>
  </si>
  <si>
    <t>lwt3let3@naver.com</t>
  </si>
  <si>
    <t>kjs28855@hanmail.net</t>
  </si>
  <si>
    <t>H0267</t>
  </si>
  <si>
    <t>태안군농협쌀조합공동사업법인</t>
  </si>
  <si>
    <t>45886023080</t>
  </si>
  <si>
    <t>한영헌</t>
  </si>
  <si>
    <t>충청남도 태안군 태안읍 송암로 30-24 (남산리)</t>
  </si>
  <si>
    <t>041-675-8931</t>
  </si>
  <si>
    <t>041-675-8934</t>
  </si>
  <si>
    <t>이유진</t>
  </si>
  <si>
    <t>010-9095-6411</t>
  </si>
  <si>
    <t>nh481141-1@nonghyup.com</t>
  </si>
  <si>
    <t>H0172</t>
  </si>
  <si>
    <t>주식회사 소닉스비오엠</t>
  </si>
  <si>
    <t>10788095800</t>
  </si>
  <si>
    <t>류병일</t>
  </si>
  <si>
    <t>충청남도 천안시 서북구 2공단3로 59 (업성동)</t>
  </si>
  <si>
    <t>041-585-5701</t>
  </si>
  <si>
    <t>041-585-5703</t>
  </si>
  <si>
    <t>김성수</t>
  </si>
  <si>
    <t>010-5460-3453</t>
  </si>
  <si>
    <t>kss1014kr@naver.com</t>
  </si>
  <si>
    <t>한기문, 강종구, 배윤민</t>
  </si>
  <si>
    <t>12483017110</t>
  </si>
  <si>
    <t>063-238-7174</t>
  </si>
  <si>
    <t>H0403</t>
  </si>
  <si>
    <t>주식회사 알디솔루션 천안공장</t>
  </si>
  <si>
    <t>손일</t>
  </si>
  <si>
    <t>충청남도 천안시 서북구 입장면 망향로 1225 (독정리)</t>
  </si>
  <si>
    <t>1611-2837</t>
  </si>
  <si>
    <t>0503-8379-5588</t>
  </si>
  <si>
    <t>권유안</t>
  </si>
  <si>
    <t>010-5554-4922</t>
  </si>
  <si>
    <t>kya052@rdsglobal.net</t>
  </si>
  <si>
    <t>41701724130</t>
  </si>
  <si>
    <t>041-585-0087</t>
  </si>
  <si>
    <t>041-578-3767</t>
  </si>
  <si>
    <t>31082017510</t>
  </si>
  <si>
    <t>041-633-6119</t>
  </si>
  <si>
    <t>041-635-0605</t>
  </si>
  <si>
    <t>31224312990</t>
  </si>
  <si>
    <t>041-566-5506</t>
  </si>
  <si>
    <t>kspark</t>
  </si>
  <si>
    <t>H0409</t>
  </si>
  <si>
    <t>남영물류산업 (주) 쿠팡 CHA8 B2F Mezzanine 제작 및 설치공사</t>
  </si>
  <si>
    <t>충청남도 천안시 서북구 성환읍 대홍4길 15-5 (대홍리)</t>
  </si>
  <si>
    <t>김태선</t>
  </si>
  <si>
    <t>010-8314-8999</t>
  </si>
  <si>
    <t>xotjs16@nyhanger.co.kr</t>
  </si>
  <si>
    <t>H0411</t>
  </si>
  <si>
    <t>주식회사 동방방재 CHA8 Ph2 소방설비 설치공사</t>
  </si>
  <si>
    <t>민경인</t>
  </si>
  <si>
    <t>충청남도 천안시 서북구 입장면 용정도하길 495 (산정리)</t>
  </si>
  <si>
    <t>황선태</t>
  </si>
  <si>
    <t>010-9819-0308</t>
  </si>
  <si>
    <t>great-88@hanmail.net</t>
  </si>
  <si>
    <t>db5545@dongbangfp.com</t>
  </si>
  <si>
    <t>H0410</t>
  </si>
  <si>
    <t>주식회사 파르이앤씨(PAR E&amp;C Co., LTD) CHA 8FC Ph2 전기공사</t>
  </si>
  <si>
    <t>김종훈</t>
  </si>
  <si>
    <t>충청남도 천안시 서북구 성환읍 하리2길 64 (도하리)</t>
  </si>
  <si>
    <t>한남수</t>
  </si>
  <si>
    <t>010-4807-5087</t>
  </si>
  <si>
    <t>par8205@naver.com</t>
  </si>
  <si>
    <t>par8204@naver.com</t>
  </si>
  <si>
    <t>H0164</t>
  </si>
  <si>
    <t>미래금속</t>
  </si>
  <si>
    <t>31230242600</t>
  </si>
  <si>
    <t>유세란</t>
  </si>
  <si>
    <t>충청남도 천안시 동남구 성남면 신사대화로 387 (대화리)</t>
  </si>
  <si>
    <t>041-523-3332</t>
  </si>
  <si>
    <t>041-523-3331</t>
  </si>
  <si>
    <t>ysr8018@hanmail.net</t>
  </si>
  <si>
    <t>안성웅</t>
  </si>
  <si>
    <t>ahnsw@kesson.co.kr</t>
  </si>
  <si>
    <t>56088005150</t>
  </si>
  <si>
    <t>041-542-4517</t>
  </si>
  <si>
    <t>최미선</t>
  </si>
  <si>
    <t>010-9025-3963</t>
  </si>
  <si>
    <t>041-582-5205</t>
  </si>
  <si>
    <t>041-549-7581</t>
  </si>
  <si>
    <t>0101-7734-6601</t>
  </si>
  <si>
    <t>H0413</t>
  </si>
  <si>
    <t>남영물류산업 (주) SEN2 FC Fresh Mezzanine 설치 공사</t>
  </si>
  <si>
    <t>경기도 성남시 분당구 탄천로 257 (야탑동)</t>
  </si>
  <si>
    <t>표석원</t>
  </si>
  <si>
    <t>010-8794-8196</t>
  </si>
  <si>
    <t>sukwon@nyhanger.co.kr</t>
  </si>
  <si>
    <t>H0414</t>
  </si>
  <si>
    <t>주식회사 동방방재 SEN2FC 소방설비 설치공사</t>
  </si>
  <si>
    <t>노상일</t>
  </si>
  <si>
    <t>안전차장</t>
  </si>
  <si>
    <t>010-5564-3579</t>
  </si>
  <si>
    <t>sang1767@naver.com</t>
  </si>
  <si>
    <t>H0415</t>
  </si>
  <si>
    <t>주식회사 평산이엔지 SEN2 Fresh FC 전기공사</t>
  </si>
  <si>
    <t>최문옥</t>
  </si>
  <si>
    <t>010-4460-4029</t>
  </si>
  <si>
    <t>pyungsanchoi@naver.com</t>
  </si>
  <si>
    <t>031-632-6846</t>
  </si>
  <si>
    <t>H0416</t>
  </si>
  <si>
    <t>최초실시,공정의 수시변경</t>
  </si>
  <si>
    <t>정우종합건설(주) 천안 스마트그린산단 통합관제센터 수질오염측정기기 토목 기반</t>
  </si>
  <si>
    <t>한수희</t>
  </si>
  <si>
    <t>충청남도 천안시 서북구 3공단6로 101 (차암동)</t>
  </si>
  <si>
    <t>김태형</t>
  </si>
  <si>
    <t>전무이사</t>
  </si>
  <si>
    <t>010-9402-3007</t>
  </si>
  <si>
    <t>jwoo5769@naver.com</t>
  </si>
  <si>
    <t>21187130856</t>
  </si>
  <si>
    <t>H0417</t>
  </si>
  <si>
    <t>최초실시, 소음85이상</t>
  </si>
  <si>
    <t>금성철강 주식회사 천안지점</t>
  </si>
  <si>
    <t>최영식</t>
  </si>
  <si>
    <t>충청남도 천안시 동남구 성남면 석곡3길 77-36 (석곡리)</t>
  </si>
  <si>
    <t>041-553-9956</t>
  </si>
  <si>
    <t>041-553-9957</t>
  </si>
  <si>
    <t>이용흠</t>
  </si>
  <si>
    <t>010-5357-9203</t>
  </si>
  <si>
    <t>kss005300@hanmail.net</t>
  </si>
  <si>
    <t>KSSTEELS@hometax.go.kr</t>
  </si>
  <si>
    <t>H0221</t>
    <phoneticPr fontId="6" type="noConversion"/>
  </si>
  <si>
    <t>26년1월6일</t>
  </si>
  <si>
    <t>*</t>
    <phoneticPr fontId="3" type="noConversion"/>
  </si>
  <si>
    <t>완료</t>
    <phoneticPr fontId="3" type="noConversion"/>
  </si>
  <si>
    <t>미완료</t>
  </si>
  <si>
    <t>미완료</t>
    <phoneticPr fontId="3" type="noConversion"/>
  </si>
  <si>
    <t>지원</t>
    <phoneticPr fontId="3" type="noConversion"/>
  </si>
  <si>
    <t>비대상</t>
  </si>
  <si>
    <t>비대상</t>
    <phoneticPr fontId="3" type="noConversion"/>
  </si>
  <si>
    <t>10월 27일
10월 31일</t>
  </si>
  <si>
    <t>2025-10-27, 2025-10-31</t>
    <phoneticPr fontId="3" type="noConversion"/>
  </si>
  <si>
    <t>천-128</t>
  </si>
  <si>
    <t>천-129</t>
  </si>
  <si>
    <t>천-130</t>
  </si>
  <si>
    <t>천-131</t>
  </si>
  <si>
    <t>천-132</t>
  </si>
  <si>
    <t>천-133</t>
  </si>
  <si>
    <t>천-134</t>
  </si>
  <si>
    <t>천-135</t>
  </si>
  <si>
    <t>천-136</t>
  </si>
  <si>
    <t>천-137</t>
  </si>
  <si>
    <t>천-138</t>
  </si>
  <si>
    <t>천-139</t>
  </si>
  <si>
    <t>천-140</t>
  </si>
  <si>
    <t>천-141</t>
  </si>
  <si>
    <t>천-142</t>
  </si>
  <si>
    <t>천-143</t>
  </si>
  <si>
    <t>천-144</t>
  </si>
  <si>
    <t>천-145</t>
  </si>
  <si>
    <t>천-146</t>
  </si>
  <si>
    <t>천-147</t>
  </si>
  <si>
    <t>천-148</t>
  </si>
  <si>
    <t>천-149</t>
  </si>
  <si>
    <t>천-150</t>
  </si>
  <si>
    <t>천-151</t>
  </si>
  <si>
    <t>천-152</t>
  </si>
  <si>
    <t>천-153</t>
  </si>
  <si>
    <t>천-154</t>
  </si>
  <si>
    <t>천-155</t>
  </si>
  <si>
    <t>천-156</t>
  </si>
  <si>
    <t>천-157</t>
  </si>
  <si>
    <t>천-158</t>
  </si>
  <si>
    <t>천-159</t>
  </si>
  <si>
    <t>천-[[</t>
  </si>
  <si>
    <t>천-161</t>
  </si>
  <si>
    <t>천-162</t>
  </si>
  <si>
    <t>천-163</t>
  </si>
  <si>
    <t>천-164</t>
  </si>
  <si>
    <t>천-165</t>
  </si>
  <si>
    <t>천-166</t>
  </si>
  <si>
    <t>천-167</t>
  </si>
  <si>
    <t>천-168</t>
  </si>
  <si>
    <t>천-169</t>
  </si>
  <si>
    <t>천-170</t>
  </si>
  <si>
    <t>천-171</t>
  </si>
  <si>
    <t>천-172</t>
  </si>
  <si>
    <t>천-173</t>
  </si>
  <si>
    <t>천-174</t>
  </si>
  <si>
    <t>천-175</t>
  </si>
  <si>
    <t>천-176</t>
  </si>
  <si>
    <t>천-177</t>
  </si>
  <si>
    <t>천-178</t>
  </si>
  <si>
    <t>천-180</t>
  </si>
  <si>
    <t>천-181</t>
  </si>
  <si>
    <t>천-182</t>
  </si>
  <si>
    <t>천-183</t>
  </si>
  <si>
    <t>천-184</t>
  </si>
  <si>
    <t>천-185</t>
  </si>
  <si>
    <t>천-186</t>
  </si>
  <si>
    <t>천-187</t>
  </si>
  <si>
    <t>천-188</t>
  </si>
  <si>
    <t>천-189</t>
  </si>
  <si>
    <t>천-190</t>
  </si>
  <si>
    <t>천-191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</si>
</sst>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/mm/dd;@"/>
  </numFmts>
  <fonts count="12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b/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굴림"/>
      <family val="3"/>
      <charset val="129"/>
    </font>
    <font>
      <sz val="11"/>
      <name val="굴림"/>
      <family val="3"/>
      <charset val="129"/>
    </font>
    <font>
      <sz val="11"/>
      <color theme="1"/>
      <name val="굴림"/>
      <family val="3"/>
      <charset val="129"/>
    </font>
    <font>
      <b/>
      <sz val="9"/>
      <name val="굴림"/>
      <family val="3"/>
      <charset val="129"/>
    </font>
    <font>
      <sz val="9"/>
      <color theme="1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</cellStyleXfs>
  <cellXfs count="40">
    <xf numFmtId="0" fontId="0" fillId="0" borderId="0" xfId="0">
      <alignment vertical="center"/>
    </xf>
    <xf numFmtId="0" fontId="2" fillId="2" borderId="0" xfId="2" applyFont="1" applyFill="1"/>
    <xf numFmtId="0" fontId="2" fillId="2" borderId="0" xfId="2" applyFont="1" applyFill="1" applyAlignment="1">
      <alignment horizontal="center"/>
    </xf>
    <xf numFmtId="0" fontId="1" fillId="0" borderId="0" xfId="2"/>
    <xf numFmtId="0" fontId="4" fillId="3" borderId="0" xfId="2" applyFont="1" applyFill="1" applyAlignment="1">
      <alignment horizontal="center" vertical="center" wrapText="1"/>
    </xf>
    <xf numFmtId="0" fontId="5" fillId="0" borderId="0" xfId="2" applyFont="1"/>
    <xf numFmtId="0" fontId="5" fillId="3" borderId="0" xfId="2" applyFont="1" applyFill="1" applyAlignment="1">
      <alignment horizontal="center" vertical="center" wrapText="1"/>
    </xf>
    <xf numFmtId="0" fontId="5" fillId="0" borderId="0" xfId="2" applyFont="1" applyAlignment="1">
      <alignment horizontal="center"/>
    </xf>
    <xf numFmtId="14" fontId="5" fillId="0" borderId="0" xfId="2" applyNumberFormat="1" applyFont="1"/>
    <xf numFmtId="176" fontId="5" fillId="0" borderId="0" xfId="2" applyNumberFormat="1" applyFont="1"/>
    <xf numFmtId="0" fontId="5" fillId="4" borderId="0" xfId="2" applyFont="1" applyFill="1" applyAlignment="1">
      <alignment horizontal="center" vertical="center" wrapText="1"/>
    </xf>
    <xf numFmtId="41" fontId="5" fillId="0" borderId="0" xfId="1" applyFont="1" applyAlignment="1"/>
    <xf numFmtId="0" fontId="1" fillId="0" borderId="0" xfId="2" applyAlignment="1">
      <alignment horizontal="center"/>
    </xf>
    <xf numFmtId="0" fontId="7" fillId="2" borderId="0" xfId="2" applyFont="1" applyFill="1"/>
    <xf numFmtId="0" fontId="7" fillId="2" borderId="0" xfId="2" applyFont="1" applyFill="1" applyAlignment="1">
      <alignment horizontal="center"/>
    </xf>
    <xf numFmtId="0" fontId="7" fillId="5" borderId="0" xfId="2" applyFont="1" applyFill="1"/>
    <xf numFmtId="0" fontId="8" fillId="3" borderId="0" xfId="2" applyFont="1" applyFill="1" applyAlignment="1">
      <alignment horizontal="center" vertical="center" wrapText="1"/>
    </xf>
    <xf numFmtId="0" fontId="9" fillId="0" borderId="0" xfId="2" applyFont="1"/>
    <xf numFmtId="0" fontId="9" fillId="3" borderId="0" xfId="2" applyFont="1" applyFill="1" applyAlignment="1">
      <alignment horizontal="center" vertical="center" wrapText="1"/>
    </xf>
    <xf numFmtId="0" fontId="9" fillId="0" borderId="0" xfId="2" applyFont="1" applyAlignment="1">
      <alignment horizontal="center"/>
    </xf>
    <xf numFmtId="14" fontId="9" fillId="0" borderId="0" xfId="2" applyNumberFormat="1" applyFont="1"/>
    <xf numFmtId="176" fontId="9" fillId="0" borderId="0" xfId="2" applyNumberFormat="1" applyFont="1"/>
    <xf numFmtId="0" fontId="8" fillId="0" borderId="0" xfId="2" applyFont="1"/>
    <xf numFmtId="0" fontId="8" fillId="0" borderId="0" xfId="2" applyFont="1" applyAlignment="1">
      <alignment horizontal="center"/>
    </xf>
    <xf numFmtId="14" fontId="8" fillId="0" borderId="0" xfId="2" applyNumberFormat="1" applyFont="1"/>
    <xf numFmtId="0" fontId="1" fillId="0" borderId="0" xfId="2" applyAlignment="1">
      <alignment horizontal="center" vertical="center"/>
    </xf>
    <xf numFmtId="0" fontId="1" fillId="2" borderId="0" xfId="2" applyFill="1"/>
    <xf numFmtId="0" fontId="1" fillId="2" borderId="0" xfId="2" applyFill="1" applyAlignment="1">
      <alignment horizontal="center"/>
    </xf>
    <xf numFmtId="0" fontId="10" fillId="3" borderId="0" xfId="2" applyFont="1" applyFill="1" applyAlignment="1">
      <alignment horizontal="center" vertical="center" wrapText="1"/>
    </xf>
    <xf numFmtId="14" fontId="1" fillId="0" borderId="0" xfId="2" applyNumberFormat="1"/>
    <xf numFmtId="0" fontId="10" fillId="0" borderId="0" xfId="2" applyFont="1"/>
    <xf numFmtId="0" fontId="10" fillId="0" borderId="0" xfId="2" applyFont="1" applyAlignment="1">
      <alignment horizontal="center"/>
    </xf>
    <xf numFmtId="14" fontId="10" fillId="0" borderId="0" xfId="2" applyNumberFormat="1" applyFont="1"/>
    <xf numFmtId="0" fontId="1" fillId="5" borderId="0" xfId="2" applyFill="1"/>
    <xf numFmtId="14" fontId="11" fillId="3" borderId="0" xfId="2" applyNumberFormat="1" applyFont="1" applyFill="1" applyAlignment="1">
      <alignment horizontal="center" vertical="center" wrapText="1"/>
    </xf>
    <xf numFmtId="0" fontId="10" fillId="3" borderId="0" xfId="2" applyFont="1" applyFill="1" applyAlignment="1">
      <alignment horizontal="left" vertical="center" wrapText="1"/>
    </xf>
    <xf numFmtId="0" fontId="1" fillId="6" borderId="0" xfId="2" applyFill="1"/>
    <xf numFmtId="14" fontId="5" fillId="3" borderId="0" xfId="2" applyNumberFormat="1" applyFont="1" applyFill="1" applyAlignment="1">
      <alignment vertical="center"/>
    </xf>
    <xf numFmtId="0" fontId="11" fillId="3" borderId="0" xfId="2" applyFont="1" applyFill="1" applyAlignment="1">
      <alignment horizontal="center" vertical="center" wrapText="1"/>
    </xf>
    <xf numFmtId="176" fontId="1" fillId="0" borderId="0" xfId="2" applyNumberFormat="1"/>
  </cellXfs>
  <cellStyles count="3">
    <cellStyle name="쉼표 [0]" xfId="1" builtinId="6"/>
    <cellStyle name="표준" xfId="0" builtinId="0"/>
    <cellStyle name="표준 9" xfId="2" xr:uid="{2D2B639B-1ED3-4DB4-B568-A18A958B0E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cursor\&#52769;&#51221;&#51068;&#51648;_Html\2025&#45380;%20&#52769;&#51221;&#51068;&#51648;\&#54616;&#48152;&#44592;\&#50629;&#47196;&#46300;%20&#51089;&#50629;&#50857;_2025&#45380;%20&#54616;&#48152;&#44592;%20&#52769;&#51221;&#51068;&#51648;.xlsx" TargetMode="External"/><Relationship Id="rId1" Type="http://schemas.openxmlformats.org/officeDocument/2006/relationships/externalLinkPath" Target="&#54616;&#48152;&#44592;/&#50629;&#47196;&#46300;%20&#51089;&#50629;&#50857;_2025&#45380;%20&#54616;&#48152;&#44592;%20&#52769;&#51221;&#51068;&#516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측정일지_업로드(25하) 천안"/>
      <sheetName val="사업장정보"/>
      <sheetName val="사업장현황(25하)"/>
      <sheetName val="22상-대전300"/>
      <sheetName val="22상-수원20"/>
      <sheetName val="22상-보령160"/>
      <sheetName val="25하-천안140"/>
      <sheetName val="계산서(25하-천안)"/>
      <sheetName val="25하-대전160"/>
      <sheetName val="계산서(25하-대전)"/>
      <sheetName val="25하-평택20"/>
      <sheetName val="계산서(25하-평택)"/>
      <sheetName val="25하-경기40"/>
      <sheetName val="계산서(25하-경기)"/>
      <sheetName val="측정일지_업로드(25하)"/>
      <sheetName val="예비조사자"/>
      <sheetName val="25하-기타"/>
      <sheetName val="25하 총 측정비"/>
      <sheetName val="25하-실시예정사업장"/>
      <sheetName val="data"/>
      <sheetName val="22하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128</v>
          </cell>
        </row>
      </sheetData>
      <sheetData sheetId="7">
        <row r="3">
          <cell r="X3" t="str">
            <v>H0395</v>
          </cell>
        </row>
      </sheetData>
      <sheetData sheetId="8"/>
      <sheetData sheetId="9">
        <row r="4">
          <cell r="W4" t="str">
            <v>H0120</v>
          </cell>
          <cell r="X4" t="str">
            <v>kuk9029@hanmail.net</v>
          </cell>
          <cell r="Y4">
            <v>45860</v>
          </cell>
          <cell r="Z4">
            <v>200000</v>
          </cell>
          <cell r="AA4">
            <v>400000</v>
          </cell>
          <cell r="AC4">
            <v>600000</v>
          </cell>
          <cell r="AD4">
            <v>45902</v>
          </cell>
          <cell r="AE4">
            <v>200000</v>
          </cell>
          <cell r="AF4">
            <v>45919</v>
          </cell>
          <cell r="AG4">
            <v>400000</v>
          </cell>
          <cell r="AH4">
            <v>600000</v>
          </cell>
        </row>
        <row r="5">
          <cell r="W5" t="str">
            <v>H0119</v>
          </cell>
          <cell r="X5" t="str">
            <v>gkwk1770@naver.com</v>
          </cell>
          <cell r="Y5">
            <v>45860</v>
          </cell>
          <cell r="Z5">
            <v>200000</v>
          </cell>
          <cell r="AA5">
            <v>400000</v>
          </cell>
          <cell r="AC5">
            <v>600000</v>
          </cell>
          <cell r="AD5">
            <v>45883</v>
          </cell>
          <cell r="AE5">
            <v>200000</v>
          </cell>
          <cell r="AF5">
            <v>45919</v>
          </cell>
          <cell r="AG5">
            <v>400000</v>
          </cell>
          <cell r="AH5">
            <v>600000</v>
          </cell>
        </row>
        <row r="6">
          <cell r="W6" t="str">
            <v>H0196</v>
          </cell>
          <cell r="X6" t="str">
            <v>drmotors0277@naver.com</v>
          </cell>
          <cell r="Y6">
            <v>45860</v>
          </cell>
          <cell r="Z6">
            <v>200000</v>
          </cell>
          <cell r="AA6">
            <v>400000</v>
          </cell>
          <cell r="AC6">
            <v>600000</v>
          </cell>
          <cell r="AD6">
            <v>45930</v>
          </cell>
          <cell r="AE6">
            <v>200000</v>
          </cell>
          <cell r="AF6">
            <v>45919</v>
          </cell>
          <cell r="AG6">
            <v>400000</v>
          </cell>
          <cell r="AH6">
            <v>600000</v>
          </cell>
        </row>
        <row r="7">
          <cell r="W7" t="str">
            <v>H0041</v>
          </cell>
          <cell r="X7" t="str">
            <v>79kwohc@naver.com</v>
          </cell>
          <cell r="Y7">
            <v>45860</v>
          </cell>
          <cell r="Z7">
            <v>200000</v>
          </cell>
          <cell r="AA7">
            <v>400000</v>
          </cell>
          <cell r="AC7">
            <v>600000</v>
          </cell>
          <cell r="AD7">
            <v>45866</v>
          </cell>
          <cell r="AE7">
            <v>200000</v>
          </cell>
          <cell r="AF7">
            <v>45919</v>
          </cell>
          <cell r="AG7">
            <v>400000</v>
          </cell>
          <cell r="AH7">
            <v>600000</v>
          </cell>
        </row>
        <row r="8">
          <cell r="W8" t="str">
            <v>H0039</v>
          </cell>
          <cell r="X8" t="str">
            <v>korex2220@naver.com</v>
          </cell>
          <cell r="Y8">
            <v>45860</v>
          </cell>
          <cell r="Z8">
            <v>200000</v>
          </cell>
          <cell r="AA8">
            <v>400000</v>
          </cell>
          <cell r="AC8">
            <v>600000</v>
          </cell>
          <cell r="AD8">
            <v>46007</v>
          </cell>
          <cell r="AE8">
            <v>200000</v>
          </cell>
          <cell r="AF8">
            <v>45919</v>
          </cell>
          <cell r="AG8">
            <v>400000</v>
          </cell>
          <cell r="AH8">
            <v>600000</v>
          </cell>
        </row>
        <row r="9">
          <cell r="W9" t="str">
            <v>H0340</v>
          </cell>
          <cell r="X9" t="str">
            <v>jjong2347@hanmail.net</v>
          </cell>
          <cell r="Y9">
            <v>45860</v>
          </cell>
          <cell r="Z9">
            <v>200000</v>
          </cell>
          <cell r="AA9">
            <v>400000</v>
          </cell>
          <cell r="AC9">
            <v>600000</v>
          </cell>
          <cell r="AD9">
            <v>45897</v>
          </cell>
          <cell r="AE9">
            <v>200000</v>
          </cell>
          <cell r="AF9">
            <v>45919</v>
          </cell>
          <cell r="AG9">
            <v>400000</v>
          </cell>
          <cell r="AH9">
            <v>600000</v>
          </cell>
        </row>
        <row r="10">
          <cell r="W10" t="str">
            <v>H0135</v>
          </cell>
          <cell r="X10" t="str">
            <v>kanglimcar@hanmail.net</v>
          </cell>
          <cell r="Y10">
            <v>45861</v>
          </cell>
          <cell r="Z10">
            <v>200000</v>
          </cell>
          <cell r="AA10">
            <v>400000</v>
          </cell>
          <cell r="AC10">
            <v>600000</v>
          </cell>
          <cell r="AD10">
            <v>45861</v>
          </cell>
          <cell r="AE10">
            <v>200000</v>
          </cell>
          <cell r="AF10">
            <v>45919</v>
          </cell>
          <cell r="AG10">
            <v>400000</v>
          </cell>
          <cell r="AH10">
            <v>600000</v>
          </cell>
        </row>
        <row r="11">
          <cell r="W11" t="str">
            <v>H0027</v>
          </cell>
          <cell r="X11" t="str">
            <v>cyj1072@gmail.com</v>
          </cell>
          <cell r="Y11">
            <v>45861</v>
          </cell>
          <cell r="Z11">
            <v>200000</v>
          </cell>
          <cell r="AA11">
            <v>400000</v>
          </cell>
          <cell r="AC11">
            <v>600000</v>
          </cell>
          <cell r="AD11">
            <v>45869</v>
          </cell>
          <cell r="AE11">
            <v>200000</v>
          </cell>
          <cell r="AF11">
            <v>45919</v>
          </cell>
          <cell r="AG11">
            <v>400000</v>
          </cell>
          <cell r="AH11">
            <v>600000</v>
          </cell>
        </row>
        <row r="12">
          <cell r="W12" t="str">
            <v>H0191</v>
          </cell>
          <cell r="X12" t="str">
            <v>bsd0298@naver.com</v>
          </cell>
          <cell r="Y12">
            <v>45861</v>
          </cell>
          <cell r="Z12">
            <v>200000</v>
          </cell>
          <cell r="AA12">
            <v>400000</v>
          </cell>
          <cell r="AC12">
            <v>600000</v>
          </cell>
          <cell r="AD12">
            <v>45890</v>
          </cell>
          <cell r="AE12">
            <v>200000</v>
          </cell>
          <cell r="AF12">
            <v>45919</v>
          </cell>
          <cell r="AG12">
            <v>400000</v>
          </cell>
          <cell r="AH12">
            <v>600000</v>
          </cell>
        </row>
        <row r="13">
          <cell r="W13" t="str">
            <v>H0020</v>
          </cell>
          <cell r="X13" t="str">
            <v>ds6247771@naver.com</v>
          </cell>
          <cell r="Y13">
            <v>45861</v>
          </cell>
          <cell r="Z13">
            <v>200000</v>
          </cell>
          <cell r="AA13">
            <v>400000</v>
          </cell>
          <cell r="AC13">
            <v>600000</v>
          </cell>
          <cell r="AD13">
            <v>45912</v>
          </cell>
          <cell r="AE13">
            <v>200000</v>
          </cell>
          <cell r="AF13">
            <v>45919</v>
          </cell>
          <cell r="AG13">
            <v>400000</v>
          </cell>
          <cell r="AH13">
            <v>600000</v>
          </cell>
        </row>
        <row r="14">
          <cell r="W14" t="str">
            <v>H0021</v>
          </cell>
          <cell r="X14" t="str">
            <v>pppt0364@hanmail.net</v>
          </cell>
          <cell r="Y14">
            <v>45861</v>
          </cell>
          <cell r="Z14">
            <v>200000</v>
          </cell>
          <cell r="AA14">
            <v>400000</v>
          </cell>
          <cell r="AC14">
            <v>600000</v>
          </cell>
          <cell r="AD14">
            <v>45901</v>
          </cell>
          <cell r="AE14">
            <v>200000</v>
          </cell>
          <cell r="AF14">
            <v>45919</v>
          </cell>
          <cell r="AG14">
            <v>400000</v>
          </cell>
          <cell r="AH14">
            <v>600000</v>
          </cell>
        </row>
        <row r="15">
          <cell r="W15" t="str">
            <v>H0015</v>
          </cell>
          <cell r="X15" t="str">
            <v>ddd0225@naver.com</v>
          </cell>
          <cell r="Y15">
            <v>45861</v>
          </cell>
          <cell r="Z15">
            <v>200000</v>
          </cell>
          <cell r="AA15">
            <v>400000</v>
          </cell>
          <cell r="AC15">
            <v>600000</v>
          </cell>
          <cell r="AD15">
            <v>45862</v>
          </cell>
          <cell r="AE15">
            <v>200000</v>
          </cell>
          <cell r="AF15">
            <v>45919</v>
          </cell>
          <cell r="AG15">
            <v>400000</v>
          </cell>
          <cell r="AH15">
            <v>600000</v>
          </cell>
        </row>
        <row r="16">
          <cell r="W16" t="str">
            <v>H0053</v>
          </cell>
          <cell r="X16" t="str">
            <v>hyunwoo4210720@naver.com</v>
          </cell>
          <cell r="Y16">
            <v>45862</v>
          </cell>
          <cell r="Z16">
            <v>200000</v>
          </cell>
          <cell r="AA16">
            <v>400000</v>
          </cell>
          <cell r="AC16">
            <v>600000</v>
          </cell>
          <cell r="AD16">
            <v>45869</v>
          </cell>
          <cell r="AE16">
            <v>200000</v>
          </cell>
          <cell r="AF16">
            <v>45919</v>
          </cell>
          <cell r="AG16">
            <v>400000</v>
          </cell>
          <cell r="AH16">
            <v>600000</v>
          </cell>
        </row>
        <row r="17">
          <cell r="W17" t="str">
            <v>H0055</v>
          </cell>
          <cell r="X17" t="str">
            <v>jyu9839@hanmail.net</v>
          </cell>
          <cell r="Y17">
            <v>45862</v>
          </cell>
          <cell r="Z17">
            <v>200000</v>
          </cell>
          <cell r="AA17">
            <v>400000</v>
          </cell>
          <cell r="AC17">
            <v>600000</v>
          </cell>
          <cell r="AD17">
            <v>45888</v>
          </cell>
          <cell r="AE17">
            <v>200000</v>
          </cell>
          <cell r="AF17">
            <v>45919</v>
          </cell>
          <cell r="AG17">
            <v>400000</v>
          </cell>
          <cell r="AH17">
            <v>600000</v>
          </cell>
        </row>
        <row r="18">
          <cell r="W18" t="str">
            <v>H0054</v>
          </cell>
          <cell r="X18" t="str">
            <v>SE04394344@hometax.go.kr</v>
          </cell>
          <cell r="Y18">
            <v>45862</v>
          </cell>
          <cell r="Z18">
            <v>200000</v>
          </cell>
          <cell r="AA18">
            <v>400000</v>
          </cell>
          <cell r="AC18">
            <v>600000</v>
          </cell>
          <cell r="AD18">
            <v>46017</v>
          </cell>
          <cell r="AE18">
            <v>200000</v>
          </cell>
          <cell r="AF18">
            <v>45919</v>
          </cell>
          <cell r="AG18">
            <v>400000</v>
          </cell>
          <cell r="AH18">
            <v>600000</v>
          </cell>
        </row>
        <row r="19">
          <cell r="W19" t="str">
            <v>H0112</v>
          </cell>
          <cell r="X19" t="str">
            <v>cns5600@bill36524.com</v>
          </cell>
          <cell r="Y19">
            <v>45862</v>
          </cell>
          <cell r="Z19">
            <v>200000</v>
          </cell>
          <cell r="AA19">
            <v>400000</v>
          </cell>
          <cell r="AC19">
            <v>600000</v>
          </cell>
          <cell r="AD19">
            <v>45887</v>
          </cell>
          <cell r="AE19">
            <v>200000</v>
          </cell>
          <cell r="AF19">
            <v>45919</v>
          </cell>
          <cell r="AG19">
            <v>400000</v>
          </cell>
          <cell r="AH19">
            <v>600000</v>
          </cell>
        </row>
        <row r="20">
          <cell r="W20" t="str">
            <v>H0018</v>
          </cell>
          <cell r="X20" t="str">
            <v>jhg1128@hanmail.net</v>
          </cell>
          <cell r="Y20">
            <v>45862</v>
          </cell>
          <cell r="Z20">
            <v>200000</v>
          </cell>
          <cell r="AA20">
            <v>400000</v>
          </cell>
          <cell r="AC20">
            <v>600000</v>
          </cell>
          <cell r="AD20">
            <v>45894</v>
          </cell>
          <cell r="AE20">
            <v>200000</v>
          </cell>
          <cell r="AF20">
            <v>45919</v>
          </cell>
          <cell r="AG20">
            <v>400000</v>
          </cell>
          <cell r="AH20">
            <v>600000</v>
          </cell>
        </row>
        <row r="21">
          <cell r="W21" t="str">
            <v>H0016</v>
          </cell>
          <cell r="X21" t="str">
            <v>yhr2100@daum.net</v>
          </cell>
          <cell r="Y21">
            <v>45862</v>
          </cell>
          <cell r="Z21">
            <v>200000</v>
          </cell>
          <cell r="AA21">
            <v>400000</v>
          </cell>
          <cell r="AC21">
            <v>600000</v>
          </cell>
          <cell r="AD21">
            <v>45894</v>
          </cell>
          <cell r="AE21">
            <v>200000</v>
          </cell>
          <cell r="AF21">
            <v>45919</v>
          </cell>
          <cell r="AG21">
            <v>400000</v>
          </cell>
          <cell r="AH21">
            <v>600000</v>
          </cell>
        </row>
        <row r="22">
          <cell r="W22" t="str">
            <v>H0032</v>
          </cell>
          <cell r="X22" t="str">
            <v>load2772@hometax.go.kr</v>
          </cell>
          <cell r="Y22">
            <v>45863</v>
          </cell>
          <cell r="Z22">
            <v>200000</v>
          </cell>
          <cell r="AA22">
            <v>400000</v>
          </cell>
          <cell r="AC22">
            <v>600000</v>
          </cell>
          <cell r="AD22">
            <v>45873</v>
          </cell>
          <cell r="AE22">
            <v>200000</v>
          </cell>
          <cell r="AF22">
            <v>45919</v>
          </cell>
          <cell r="AG22">
            <v>400000</v>
          </cell>
          <cell r="AH22">
            <v>600000</v>
          </cell>
        </row>
        <row r="23">
          <cell r="W23" t="str">
            <v>H0031</v>
          </cell>
          <cell r="X23" t="str">
            <v>ds0014@bill36524.com</v>
          </cell>
          <cell r="Y23">
            <v>45863</v>
          </cell>
          <cell r="Z23">
            <v>200000</v>
          </cell>
          <cell r="AA23">
            <v>400000</v>
          </cell>
          <cell r="AC23">
            <v>600000</v>
          </cell>
          <cell r="AD23">
            <v>45868</v>
          </cell>
          <cell r="AE23">
            <v>200000</v>
          </cell>
          <cell r="AF23">
            <v>45919</v>
          </cell>
          <cell r="AG23">
            <v>400000</v>
          </cell>
          <cell r="AH23">
            <v>600000</v>
          </cell>
        </row>
        <row r="24">
          <cell r="W24" t="str">
            <v>H0030</v>
          </cell>
          <cell r="X24" t="str">
            <v>forkland@hanmail.net</v>
          </cell>
          <cell r="Y24">
            <v>45863</v>
          </cell>
          <cell r="Z24">
            <v>200000</v>
          </cell>
          <cell r="AA24">
            <v>400000</v>
          </cell>
          <cell r="AC24">
            <v>600000</v>
          </cell>
          <cell r="AD24">
            <v>45880</v>
          </cell>
          <cell r="AE24">
            <v>200000</v>
          </cell>
          <cell r="AF24">
            <v>45919</v>
          </cell>
          <cell r="AG24">
            <v>400000</v>
          </cell>
          <cell r="AH24">
            <v>600000</v>
          </cell>
        </row>
        <row r="25">
          <cell r="W25" t="str">
            <v>H0090</v>
          </cell>
          <cell r="X25" t="str">
            <v>8800sun@hometax.go.kr</v>
          </cell>
          <cell r="Y25">
            <v>45863</v>
          </cell>
          <cell r="Z25">
            <v>200000</v>
          </cell>
          <cell r="AA25">
            <v>400000</v>
          </cell>
          <cell r="AC25">
            <v>600000</v>
          </cell>
          <cell r="AD25">
            <v>45880</v>
          </cell>
          <cell r="AE25">
            <v>200000</v>
          </cell>
          <cell r="AF25">
            <v>45919</v>
          </cell>
          <cell r="AG25">
            <v>400000</v>
          </cell>
          <cell r="AH25">
            <v>600000</v>
          </cell>
        </row>
        <row r="26">
          <cell r="W26" t="str">
            <v>H0091</v>
          </cell>
          <cell r="X26" t="str">
            <v>sdj7184@hometax.go.kr</v>
          </cell>
          <cell r="Y26">
            <v>45863</v>
          </cell>
          <cell r="Z26">
            <v>200000</v>
          </cell>
          <cell r="AA26">
            <v>400000</v>
          </cell>
          <cell r="AC26">
            <v>600000</v>
          </cell>
          <cell r="AD26">
            <v>45988</v>
          </cell>
          <cell r="AE26">
            <v>200000</v>
          </cell>
          <cell r="AF26">
            <v>45919</v>
          </cell>
          <cell r="AG26">
            <v>400000</v>
          </cell>
          <cell r="AH26">
            <v>600000</v>
          </cell>
        </row>
        <row r="27">
          <cell r="W27" t="str">
            <v>H0089</v>
          </cell>
          <cell r="X27" t="str">
            <v>3141227371@bestbill.co.kr</v>
          </cell>
          <cell r="Y27">
            <v>45863</v>
          </cell>
          <cell r="Z27">
            <v>350000</v>
          </cell>
          <cell r="AA27">
            <v>400000</v>
          </cell>
          <cell r="AC27">
            <v>750000</v>
          </cell>
          <cell r="AD27">
            <v>45869</v>
          </cell>
          <cell r="AE27">
            <v>350000</v>
          </cell>
          <cell r="AF27">
            <v>45919</v>
          </cell>
          <cell r="AG27">
            <v>400000</v>
          </cell>
          <cell r="AH27">
            <v>750000</v>
          </cell>
        </row>
        <row r="28">
          <cell r="W28" t="str">
            <v>H0014</v>
          </cell>
          <cell r="X28" t="str">
            <v>khssi@daum.net</v>
          </cell>
          <cell r="Y28">
            <v>45866</v>
          </cell>
          <cell r="Z28">
            <v>200000</v>
          </cell>
          <cell r="AA28">
            <v>400000</v>
          </cell>
          <cell r="AC28">
            <v>600000</v>
          </cell>
          <cell r="AD28">
            <v>45867</v>
          </cell>
          <cell r="AE28">
            <v>200000</v>
          </cell>
          <cell r="AF28">
            <v>45919</v>
          </cell>
          <cell r="AG28">
            <v>400000</v>
          </cell>
          <cell r="AH28">
            <v>600000</v>
          </cell>
        </row>
        <row r="29">
          <cell r="W29" t="str">
            <v>H0012</v>
          </cell>
          <cell r="X29" t="str">
            <v>sjh353000@hanmail.net</v>
          </cell>
          <cell r="Y29">
            <v>45866</v>
          </cell>
          <cell r="Z29">
            <v>200000</v>
          </cell>
          <cell r="AA29">
            <v>400000</v>
          </cell>
          <cell r="AC29">
            <v>600000</v>
          </cell>
          <cell r="AD29">
            <v>45961</v>
          </cell>
          <cell r="AE29">
            <v>200000</v>
          </cell>
          <cell r="AF29">
            <v>45919</v>
          </cell>
          <cell r="AG29">
            <v>400000</v>
          </cell>
          <cell r="AH29">
            <v>600000</v>
          </cell>
        </row>
        <row r="30">
          <cell r="W30" t="str">
            <v>H0011</v>
          </cell>
          <cell r="X30" t="str">
            <v>jim1811@daum.net</v>
          </cell>
          <cell r="Y30">
            <v>45866</v>
          </cell>
          <cell r="Z30">
            <v>200000</v>
          </cell>
          <cell r="AA30">
            <v>400000</v>
          </cell>
          <cell r="AC30">
            <v>600000</v>
          </cell>
          <cell r="AD30">
            <v>45867</v>
          </cell>
          <cell r="AE30">
            <v>200000</v>
          </cell>
          <cell r="AF30">
            <v>45919</v>
          </cell>
          <cell r="AG30">
            <v>400000</v>
          </cell>
          <cell r="AH30">
            <v>600000</v>
          </cell>
        </row>
        <row r="31">
          <cell r="W31" t="str">
            <v>H0037</v>
          </cell>
          <cell r="X31" t="str">
            <v>kh0020@hanmail.net</v>
          </cell>
          <cell r="Y31">
            <v>45866</v>
          </cell>
          <cell r="Z31">
            <v>200000</v>
          </cell>
          <cell r="AA31">
            <v>400000</v>
          </cell>
          <cell r="AC31">
            <v>600000</v>
          </cell>
          <cell r="AD31">
            <v>45868</v>
          </cell>
          <cell r="AE31">
            <v>200000</v>
          </cell>
          <cell r="AF31">
            <v>45919</v>
          </cell>
          <cell r="AG31">
            <v>400000</v>
          </cell>
          <cell r="AH31">
            <v>600000</v>
          </cell>
        </row>
        <row r="32">
          <cell r="W32" t="str">
            <v>H0038</v>
          </cell>
          <cell r="X32" t="str">
            <v>bmwjuni73@naver.com</v>
          </cell>
          <cell r="Y32">
            <v>45866</v>
          </cell>
          <cell r="Z32">
            <v>200000</v>
          </cell>
          <cell r="AA32">
            <v>400000</v>
          </cell>
          <cell r="AC32">
            <v>600000</v>
          </cell>
          <cell r="AF32">
            <v>45919</v>
          </cell>
          <cell r="AG32">
            <v>400000</v>
          </cell>
          <cell r="AH32">
            <v>400000</v>
          </cell>
        </row>
        <row r="33">
          <cell r="W33" t="str">
            <v>H0257</v>
          </cell>
          <cell r="X33" t="str">
            <v>byi1162@naver.com</v>
          </cell>
          <cell r="Y33">
            <v>45866</v>
          </cell>
          <cell r="Z33">
            <v>200000</v>
          </cell>
          <cell r="AA33">
            <v>400000</v>
          </cell>
          <cell r="AC33">
            <v>600000</v>
          </cell>
          <cell r="AD33">
            <v>45895</v>
          </cell>
          <cell r="AE33">
            <v>200000</v>
          </cell>
          <cell r="AF33">
            <v>45919</v>
          </cell>
          <cell r="AG33">
            <v>400000</v>
          </cell>
          <cell r="AH33">
            <v>600000</v>
          </cell>
        </row>
        <row r="34">
          <cell r="W34" t="str">
            <v>H0095</v>
          </cell>
          <cell r="X34" t="str">
            <v>cardh@hanmail.net</v>
          </cell>
          <cell r="Y34">
            <v>45874</v>
          </cell>
          <cell r="Z34">
            <v>200000</v>
          </cell>
          <cell r="AA34">
            <v>400000</v>
          </cell>
          <cell r="AC34">
            <v>600000</v>
          </cell>
          <cell r="AD34">
            <v>45905</v>
          </cell>
          <cell r="AE34">
            <v>200000</v>
          </cell>
          <cell r="AF34">
            <v>45919</v>
          </cell>
          <cell r="AG34">
            <v>400000</v>
          </cell>
          <cell r="AH34">
            <v>600000</v>
          </cell>
        </row>
        <row r="35">
          <cell r="W35" t="str">
            <v>H0101</v>
          </cell>
          <cell r="X35" t="str">
            <v>ls4972@hanmail.net</v>
          </cell>
          <cell r="Y35">
            <v>45874</v>
          </cell>
          <cell r="Z35">
            <v>200000</v>
          </cell>
          <cell r="AA35">
            <v>400000</v>
          </cell>
          <cell r="AC35">
            <v>600000</v>
          </cell>
          <cell r="AD35">
            <v>45874</v>
          </cell>
          <cell r="AE35">
            <v>200000</v>
          </cell>
          <cell r="AF35">
            <v>45919</v>
          </cell>
          <cell r="AG35">
            <v>400000</v>
          </cell>
          <cell r="AH35">
            <v>600000</v>
          </cell>
        </row>
        <row r="36">
          <cell r="W36" t="str">
            <v>H0100</v>
          </cell>
          <cell r="X36" t="str">
            <v>lovesy480@naver.com</v>
          </cell>
          <cell r="Y36">
            <v>45874</v>
          </cell>
          <cell r="Z36">
            <v>200000</v>
          </cell>
          <cell r="AA36">
            <v>400000</v>
          </cell>
          <cell r="AC36">
            <v>600000</v>
          </cell>
          <cell r="AD36">
            <v>45874</v>
          </cell>
          <cell r="AE36">
            <v>200000</v>
          </cell>
          <cell r="AF36">
            <v>45919</v>
          </cell>
          <cell r="AG36">
            <v>400000</v>
          </cell>
          <cell r="AH36">
            <v>600000</v>
          </cell>
        </row>
        <row r="37">
          <cell r="W37" t="str">
            <v>H0062</v>
          </cell>
          <cell r="X37" t="str">
            <v>jh279321@naver.com</v>
          </cell>
          <cell r="Y37" t="str">
            <v>국고 전액</v>
          </cell>
          <cell r="Z37">
            <v>0</v>
          </cell>
          <cell r="AA37">
            <v>400000</v>
          </cell>
          <cell r="AC37">
            <v>400000</v>
          </cell>
          <cell r="AF37">
            <v>45919</v>
          </cell>
          <cell r="AG37">
            <v>400000</v>
          </cell>
          <cell r="AH37">
            <v>400000</v>
          </cell>
        </row>
        <row r="38">
          <cell r="W38" t="str">
            <v>H0061</v>
          </cell>
          <cell r="X38" t="str">
            <v>rcn27x@nate.com</v>
          </cell>
          <cell r="Y38">
            <v>45874</v>
          </cell>
          <cell r="Z38">
            <v>200000</v>
          </cell>
          <cell r="AA38">
            <v>400000</v>
          </cell>
          <cell r="AC38">
            <v>600000</v>
          </cell>
          <cell r="AD38">
            <v>46015</v>
          </cell>
          <cell r="AE38">
            <v>200000</v>
          </cell>
          <cell r="AF38">
            <v>45919</v>
          </cell>
          <cell r="AG38">
            <v>400000</v>
          </cell>
          <cell r="AH38">
            <v>600000</v>
          </cell>
        </row>
        <row r="39">
          <cell r="W39" t="str">
            <v>H1033</v>
          </cell>
          <cell r="X39" t="str">
            <v>pst4972@naver.com</v>
          </cell>
          <cell r="Y39">
            <v>45874</v>
          </cell>
          <cell r="Z39">
            <v>200000</v>
          </cell>
          <cell r="AA39">
            <v>400000</v>
          </cell>
          <cell r="AC39">
            <v>600000</v>
          </cell>
          <cell r="AD39">
            <v>46014</v>
          </cell>
          <cell r="AE39">
            <v>200000</v>
          </cell>
          <cell r="AF39">
            <v>45919</v>
          </cell>
          <cell r="AG39">
            <v>400000</v>
          </cell>
          <cell r="AH39">
            <v>600000</v>
          </cell>
        </row>
        <row r="40">
          <cell r="W40" t="str">
            <v>H0075</v>
          </cell>
          <cell r="X40" t="str">
            <v>wp5289503@hanmail.net</v>
          </cell>
          <cell r="Y40">
            <v>45875</v>
          </cell>
          <cell r="Z40">
            <v>200000</v>
          </cell>
          <cell r="AA40">
            <v>400000</v>
          </cell>
          <cell r="AC40">
            <v>600000</v>
          </cell>
          <cell r="AD40">
            <v>45906</v>
          </cell>
          <cell r="AE40">
            <v>200000</v>
          </cell>
          <cell r="AF40">
            <v>45919</v>
          </cell>
          <cell r="AG40">
            <v>400000</v>
          </cell>
          <cell r="AH40">
            <v>600000</v>
          </cell>
        </row>
        <row r="41">
          <cell r="W41" t="str">
            <v>H0076</v>
          </cell>
          <cell r="X41" t="str">
            <v>kmhydr1@nate.com</v>
          </cell>
          <cell r="Y41">
            <v>45875</v>
          </cell>
          <cell r="Z41">
            <v>200000</v>
          </cell>
          <cell r="AA41">
            <v>400000</v>
          </cell>
          <cell r="AC41">
            <v>600000</v>
          </cell>
          <cell r="AD41">
            <v>45908</v>
          </cell>
          <cell r="AE41">
            <v>200000</v>
          </cell>
          <cell r="AF41">
            <v>45919</v>
          </cell>
          <cell r="AG41">
            <v>400000</v>
          </cell>
          <cell r="AH41">
            <v>600000</v>
          </cell>
        </row>
        <row r="42">
          <cell r="W42" t="str">
            <v>H0071</v>
          </cell>
          <cell r="X42" t="str">
            <v xml:space="preserve">mone2689@naver.com </v>
          </cell>
          <cell r="Y42">
            <v>45875</v>
          </cell>
          <cell r="Z42">
            <v>200000</v>
          </cell>
          <cell r="AA42">
            <v>400000</v>
          </cell>
          <cell r="AC42">
            <v>600000</v>
          </cell>
          <cell r="AD42">
            <v>45924</v>
          </cell>
          <cell r="AE42">
            <v>200000</v>
          </cell>
          <cell r="AF42">
            <v>45919</v>
          </cell>
          <cell r="AG42">
            <v>400000</v>
          </cell>
          <cell r="AH42">
            <v>600000</v>
          </cell>
        </row>
        <row r="43">
          <cell r="W43" t="str">
            <v>H0079</v>
          </cell>
          <cell r="X43" t="str">
            <v>bm9226@hanmail.net</v>
          </cell>
          <cell r="Y43">
            <v>45875</v>
          </cell>
          <cell r="Z43">
            <v>200000</v>
          </cell>
          <cell r="AA43">
            <v>400000</v>
          </cell>
          <cell r="AC43">
            <v>600000</v>
          </cell>
          <cell r="AD43">
            <v>45950</v>
          </cell>
          <cell r="AE43">
            <v>200000</v>
          </cell>
          <cell r="AF43">
            <v>45919</v>
          </cell>
          <cell r="AG43">
            <v>400000</v>
          </cell>
          <cell r="AH43">
            <v>600000</v>
          </cell>
        </row>
        <row r="44">
          <cell r="W44" t="str">
            <v>H0080</v>
          </cell>
          <cell r="X44" t="str">
            <v>chung911900@hanmail.net</v>
          </cell>
          <cell r="Y44">
            <v>45875</v>
          </cell>
          <cell r="Z44">
            <v>200000</v>
          </cell>
          <cell r="AA44">
            <v>400000</v>
          </cell>
          <cell r="AC44">
            <v>600000</v>
          </cell>
          <cell r="AD44">
            <v>45897</v>
          </cell>
          <cell r="AE44">
            <v>200000</v>
          </cell>
          <cell r="AF44">
            <v>45919</v>
          </cell>
          <cell r="AG44">
            <v>400000</v>
          </cell>
          <cell r="AH44">
            <v>600000</v>
          </cell>
        </row>
        <row r="45">
          <cell r="W45" t="str">
            <v>H0077</v>
          </cell>
          <cell r="X45" t="str">
            <v>jm85352@naver.com</v>
          </cell>
          <cell r="Y45">
            <v>45875</v>
          </cell>
          <cell r="Z45">
            <v>200000</v>
          </cell>
          <cell r="AA45">
            <v>400000</v>
          </cell>
          <cell r="AC45">
            <v>600000</v>
          </cell>
          <cell r="AD45">
            <v>45880</v>
          </cell>
          <cell r="AE45">
            <v>200000</v>
          </cell>
          <cell r="AF45">
            <v>45919</v>
          </cell>
          <cell r="AG45">
            <v>400000</v>
          </cell>
          <cell r="AH45">
            <v>600000</v>
          </cell>
        </row>
        <row r="46">
          <cell r="W46" t="str">
            <v>H0175</v>
          </cell>
          <cell r="X46" t="str">
            <v>mp4971@naver.com</v>
          </cell>
          <cell r="Y46">
            <v>45876</v>
          </cell>
          <cell r="Z46">
            <v>200000</v>
          </cell>
          <cell r="AA46">
            <v>400000</v>
          </cell>
          <cell r="AC46">
            <v>600000</v>
          </cell>
          <cell r="AD46">
            <v>45995</v>
          </cell>
          <cell r="AE46">
            <v>200000</v>
          </cell>
          <cell r="AF46">
            <v>45919</v>
          </cell>
          <cell r="AG46">
            <v>400000</v>
          </cell>
          <cell r="AH46">
            <v>600000</v>
          </cell>
        </row>
        <row r="47">
          <cell r="W47" t="str">
            <v>H0017</v>
          </cell>
          <cell r="X47" t="str">
            <v>lsyjump@naver.com</v>
          </cell>
          <cell r="Y47">
            <v>45876</v>
          </cell>
          <cell r="Z47">
            <v>200000</v>
          </cell>
          <cell r="AA47">
            <v>400000</v>
          </cell>
          <cell r="AC47">
            <v>600000</v>
          </cell>
          <cell r="AD47">
            <v>45904</v>
          </cell>
          <cell r="AE47">
            <v>200000</v>
          </cell>
          <cell r="AF47">
            <v>45919</v>
          </cell>
          <cell r="AG47">
            <v>400000</v>
          </cell>
          <cell r="AH47">
            <v>600000</v>
          </cell>
        </row>
        <row r="48">
          <cell r="W48" t="str">
            <v>H0259</v>
          </cell>
          <cell r="X48" t="str">
            <v>ckwndyd2548@naver.com</v>
          </cell>
          <cell r="Y48">
            <v>45876</v>
          </cell>
          <cell r="Z48">
            <v>200000</v>
          </cell>
          <cell r="AA48">
            <v>400000</v>
          </cell>
          <cell r="AC48">
            <v>600000</v>
          </cell>
          <cell r="AF48">
            <v>45919</v>
          </cell>
          <cell r="AG48">
            <v>400000</v>
          </cell>
          <cell r="AH48">
            <v>400000</v>
          </cell>
        </row>
        <row r="49">
          <cell r="W49" t="str">
            <v>H0035</v>
          </cell>
          <cell r="X49" t="str">
            <v>rmaqlc1479@daum.net</v>
          </cell>
          <cell r="Y49">
            <v>45876</v>
          </cell>
          <cell r="Z49">
            <v>200000</v>
          </cell>
          <cell r="AA49">
            <v>400000</v>
          </cell>
          <cell r="AC49">
            <v>600000</v>
          </cell>
          <cell r="AD49">
            <v>45877</v>
          </cell>
          <cell r="AE49">
            <v>200000</v>
          </cell>
          <cell r="AF49">
            <v>45919</v>
          </cell>
          <cell r="AG49">
            <v>400000</v>
          </cell>
          <cell r="AH49">
            <v>600000</v>
          </cell>
        </row>
        <row r="50">
          <cell r="W50" t="str">
            <v>H0010</v>
          </cell>
          <cell r="X50" t="str">
            <v>liftcha@hanmail,net</v>
          </cell>
          <cell r="Y50">
            <v>45876</v>
          </cell>
          <cell r="Z50">
            <v>200000</v>
          </cell>
          <cell r="AA50">
            <v>400000</v>
          </cell>
          <cell r="AC50">
            <v>600000</v>
          </cell>
          <cell r="AD50">
            <v>45905</v>
          </cell>
          <cell r="AE50">
            <v>200000</v>
          </cell>
          <cell r="AF50">
            <v>45919</v>
          </cell>
          <cell r="AG50">
            <v>400000</v>
          </cell>
          <cell r="AH50">
            <v>600000</v>
          </cell>
        </row>
        <row r="51">
          <cell r="W51" t="str">
            <v>H0034</v>
          </cell>
          <cell r="X51" t="str">
            <v>kjs-motors@daum.net</v>
          </cell>
          <cell r="Y51">
            <v>45876</v>
          </cell>
          <cell r="Z51">
            <v>200000</v>
          </cell>
          <cell r="AA51">
            <v>400000</v>
          </cell>
          <cell r="AC51">
            <v>600000</v>
          </cell>
          <cell r="AD51">
            <v>45897</v>
          </cell>
          <cell r="AE51">
            <v>200000</v>
          </cell>
          <cell r="AF51">
            <v>45919</v>
          </cell>
          <cell r="AG51">
            <v>400000</v>
          </cell>
          <cell r="AH51">
            <v>600000</v>
          </cell>
        </row>
        <row r="52">
          <cell r="W52" t="str">
            <v>H0225</v>
          </cell>
          <cell r="X52" t="str">
            <v>dh20110714@daum.net</v>
          </cell>
          <cell r="Y52">
            <v>45877</v>
          </cell>
          <cell r="Z52">
            <v>200000</v>
          </cell>
          <cell r="AA52">
            <v>400000</v>
          </cell>
          <cell r="AC52">
            <v>600000</v>
          </cell>
          <cell r="AD52">
            <v>45877</v>
          </cell>
          <cell r="AE52">
            <v>200000</v>
          </cell>
          <cell r="AF52">
            <v>45919</v>
          </cell>
          <cell r="AG52">
            <v>400000</v>
          </cell>
          <cell r="AH52">
            <v>600000</v>
          </cell>
        </row>
        <row r="53">
          <cell r="W53" t="str">
            <v>H0072</v>
          </cell>
          <cell r="X53" t="str">
            <v>jgw7226@naver.com</v>
          </cell>
          <cell r="Y53">
            <v>45877</v>
          </cell>
          <cell r="Z53">
            <v>200000</v>
          </cell>
          <cell r="AA53">
            <v>400000</v>
          </cell>
          <cell r="AC53">
            <v>600000</v>
          </cell>
          <cell r="AD53">
            <v>46007</v>
          </cell>
          <cell r="AE53">
            <v>200000</v>
          </cell>
          <cell r="AF53">
            <v>45919</v>
          </cell>
          <cell r="AG53">
            <v>400000</v>
          </cell>
          <cell r="AH53">
            <v>600000</v>
          </cell>
        </row>
        <row r="54">
          <cell r="W54" t="str">
            <v>H0074</v>
          </cell>
          <cell r="X54" t="str">
            <v>sbtjsdn@naver.com</v>
          </cell>
          <cell r="Y54">
            <v>45877</v>
          </cell>
          <cell r="Z54">
            <v>200000</v>
          </cell>
          <cell r="AA54">
            <v>400000</v>
          </cell>
          <cell r="AC54">
            <v>600000</v>
          </cell>
          <cell r="AD54">
            <v>45877</v>
          </cell>
          <cell r="AE54">
            <v>200000</v>
          </cell>
          <cell r="AF54">
            <v>45919</v>
          </cell>
          <cell r="AG54">
            <v>400000</v>
          </cell>
          <cell r="AH54">
            <v>600000</v>
          </cell>
        </row>
        <row r="55">
          <cell r="W55" t="str">
            <v>H0195</v>
          </cell>
          <cell r="X55" t="str">
            <v>oho0322@naver.com</v>
          </cell>
          <cell r="Y55">
            <v>45877</v>
          </cell>
          <cell r="Z55">
            <v>200000</v>
          </cell>
          <cell r="AA55">
            <v>400000</v>
          </cell>
          <cell r="AC55">
            <v>600000</v>
          </cell>
          <cell r="AD55">
            <v>45916</v>
          </cell>
          <cell r="AE55">
            <v>200000</v>
          </cell>
          <cell r="AF55">
            <v>45919</v>
          </cell>
          <cell r="AG55">
            <v>400000</v>
          </cell>
          <cell r="AH55">
            <v>600000</v>
          </cell>
        </row>
        <row r="56">
          <cell r="W56" t="str">
            <v>H0204</v>
          </cell>
          <cell r="X56" t="str">
            <v>kcy4130@naver.com</v>
          </cell>
          <cell r="Y56">
            <v>45877</v>
          </cell>
          <cell r="Z56">
            <v>200000</v>
          </cell>
          <cell r="AA56">
            <v>400000</v>
          </cell>
          <cell r="AC56">
            <v>600000</v>
          </cell>
          <cell r="AD56">
            <v>45897</v>
          </cell>
          <cell r="AE56">
            <v>200000</v>
          </cell>
          <cell r="AF56">
            <v>45919</v>
          </cell>
          <cell r="AG56">
            <v>400000</v>
          </cell>
          <cell r="AH56">
            <v>600000</v>
          </cell>
        </row>
        <row r="57">
          <cell r="W57" t="str">
            <v>H0033</v>
          </cell>
          <cell r="X57" t="str">
            <v>daejin24512@hanmail.net</v>
          </cell>
          <cell r="Y57">
            <v>45877</v>
          </cell>
          <cell r="Z57">
            <v>200000</v>
          </cell>
          <cell r="AA57">
            <v>400000</v>
          </cell>
          <cell r="AC57">
            <v>600000</v>
          </cell>
          <cell r="AD57">
            <v>46006</v>
          </cell>
          <cell r="AE57">
            <v>200000</v>
          </cell>
          <cell r="AF57">
            <v>45919</v>
          </cell>
          <cell r="AG57">
            <v>400000</v>
          </cell>
          <cell r="AH57">
            <v>600000</v>
          </cell>
        </row>
        <row r="58">
          <cell r="W58" t="str">
            <v>H0066</v>
          </cell>
          <cell r="X58" t="str">
            <v>mimimi3281@hanmail.net</v>
          </cell>
          <cell r="Y58">
            <v>45880</v>
          </cell>
          <cell r="Z58">
            <v>200000</v>
          </cell>
          <cell r="AA58">
            <v>400000</v>
          </cell>
          <cell r="AC58">
            <v>600000</v>
          </cell>
          <cell r="AF58">
            <v>45919</v>
          </cell>
          <cell r="AG58">
            <v>400000</v>
          </cell>
          <cell r="AH58">
            <v>400000</v>
          </cell>
        </row>
        <row r="59">
          <cell r="W59" t="str">
            <v>H0063</v>
          </cell>
          <cell r="X59" t="str">
            <v>song9852@nate.com</v>
          </cell>
          <cell r="Y59">
            <v>45880</v>
          </cell>
          <cell r="Z59">
            <v>200000</v>
          </cell>
          <cell r="AA59">
            <v>400000</v>
          </cell>
          <cell r="AC59">
            <v>600000</v>
          </cell>
          <cell r="AD59">
            <v>45901</v>
          </cell>
          <cell r="AE59">
            <v>200000</v>
          </cell>
          <cell r="AF59">
            <v>45919</v>
          </cell>
          <cell r="AG59">
            <v>400000</v>
          </cell>
          <cell r="AH59">
            <v>600000</v>
          </cell>
        </row>
        <row r="60">
          <cell r="W60" t="str">
            <v>H0156</v>
          </cell>
          <cell r="X60" t="str">
            <v>jsmotorsdj@naver.com</v>
          </cell>
          <cell r="Y60">
            <v>45880</v>
          </cell>
          <cell r="Z60">
            <v>200000</v>
          </cell>
          <cell r="AA60">
            <v>400000</v>
          </cell>
          <cell r="AC60">
            <v>600000</v>
          </cell>
          <cell r="AF60">
            <v>45919</v>
          </cell>
          <cell r="AG60">
            <v>400000</v>
          </cell>
          <cell r="AH60">
            <v>400000</v>
          </cell>
        </row>
        <row r="61">
          <cell r="W61" t="str">
            <v>H0208</v>
          </cell>
          <cell r="X61" t="str">
            <v>jjs2627@hanmail.net</v>
          </cell>
          <cell r="Y61">
            <v>45880</v>
          </cell>
          <cell r="Z61">
            <v>350000</v>
          </cell>
          <cell r="AA61">
            <v>400000</v>
          </cell>
          <cell r="AC61">
            <v>750000</v>
          </cell>
          <cell r="AD61">
            <v>45902</v>
          </cell>
          <cell r="AE61">
            <v>350000</v>
          </cell>
          <cell r="AF61">
            <v>45919</v>
          </cell>
          <cell r="AG61">
            <v>400000</v>
          </cell>
          <cell r="AH61">
            <v>750000</v>
          </cell>
        </row>
        <row r="62">
          <cell r="W62" t="str">
            <v>H0083</v>
          </cell>
          <cell r="X62" t="str">
            <v>tltmm1212@naver.com</v>
          </cell>
          <cell r="Y62">
            <v>45880</v>
          </cell>
          <cell r="Z62">
            <v>200000</v>
          </cell>
          <cell r="AA62">
            <v>400000</v>
          </cell>
          <cell r="AC62">
            <v>600000</v>
          </cell>
          <cell r="AD62">
            <v>45901</v>
          </cell>
          <cell r="AE62">
            <v>200000</v>
          </cell>
          <cell r="AF62">
            <v>45919</v>
          </cell>
          <cell r="AG62">
            <v>400000</v>
          </cell>
          <cell r="AH62">
            <v>600000</v>
          </cell>
        </row>
        <row r="63">
          <cell r="W63" t="str">
            <v>H0092</v>
          </cell>
          <cell r="X63" t="str">
            <v>kjyim2000@hanmail.net</v>
          </cell>
          <cell r="Y63">
            <v>45880</v>
          </cell>
          <cell r="Z63">
            <v>350000</v>
          </cell>
          <cell r="AA63">
            <v>400000</v>
          </cell>
          <cell r="AC63">
            <v>750000</v>
          </cell>
          <cell r="AD63">
            <v>45905</v>
          </cell>
          <cell r="AE63">
            <v>350000</v>
          </cell>
          <cell r="AF63">
            <v>45919</v>
          </cell>
          <cell r="AG63">
            <v>400000</v>
          </cell>
          <cell r="AH63">
            <v>750000</v>
          </cell>
        </row>
        <row r="64">
          <cell r="W64" t="str">
            <v>H0045</v>
          </cell>
          <cell r="X64" t="str">
            <v>bdj3728@naver.com</v>
          </cell>
          <cell r="Y64">
            <v>45881</v>
          </cell>
          <cell r="Z64">
            <v>350000</v>
          </cell>
          <cell r="AA64">
            <v>400000</v>
          </cell>
          <cell r="AC64">
            <v>750000</v>
          </cell>
          <cell r="AD64">
            <v>45881</v>
          </cell>
          <cell r="AE64">
            <v>350000</v>
          </cell>
          <cell r="AF64">
            <v>45958</v>
          </cell>
          <cell r="AG64">
            <v>400000</v>
          </cell>
          <cell r="AH64">
            <v>750000</v>
          </cell>
        </row>
        <row r="65">
          <cell r="W65" t="str">
            <v>H0044</v>
          </cell>
          <cell r="X65" t="str">
            <v>tk0359@hanmail.net</v>
          </cell>
          <cell r="Y65">
            <v>45881</v>
          </cell>
          <cell r="Z65">
            <v>200000</v>
          </cell>
          <cell r="AA65">
            <v>400000</v>
          </cell>
          <cell r="AC65">
            <v>600000</v>
          </cell>
          <cell r="AD65">
            <v>45926</v>
          </cell>
          <cell r="AE65">
            <v>200000</v>
          </cell>
          <cell r="AF65">
            <v>45958</v>
          </cell>
          <cell r="AG65">
            <v>400000</v>
          </cell>
          <cell r="AH65">
            <v>600000</v>
          </cell>
        </row>
        <row r="66">
          <cell r="W66" t="str">
            <v>H0131</v>
          </cell>
          <cell r="X66" t="str">
            <v>duk6515@hanmail.net</v>
          </cell>
          <cell r="Y66">
            <v>45881</v>
          </cell>
          <cell r="Z66">
            <v>200000</v>
          </cell>
          <cell r="AA66">
            <v>400000</v>
          </cell>
          <cell r="AC66">
            <v>600000</v>
          </cell>
          <cell r="AD66">
            <v>46008</v>
          </cell>
          <cell r="AE66">
            <v>200000</v>
          </cell>
          <cell r="AF66">
            <v>45958</v>
          </cell>
          <cell r="AG66">
            <v>400000</v>
          </cell>
          <cell r="AH66">
            <v>600000</v>
          </cell>
        </row>
        <row r="67">
          <cell r="W67" t="str">
            <v>H0111</v>
          </cell>
          <cell r="X67" t="str">
            <v>yyh4477@hanmail.net</v>
          </cell>
          <cell r="Y67">
            <v>45881</v>
          </cell>
          <cell r="Z67">
            <v>200000</v>
          </cell>
          <cell r="AA67">
            <v>400000</v>
          </cell>
          <cell r="AC67">
            <v>600000</v>
          </cell>
          <cell r="AD67">
            <v>46009</v>
          </cell>
          <cell r="AE67">
            <v>200000</v>
          </cell>
          <cell r="AF67">
            <v>45958</v>
          </cell>
          <cell r="AG67">
            <v>400000</v>
          </cell>
          <cell r="AH67">
            <v>600000</v>
          </cell>
        </row>
        <row r="68">
          <cell r="W68" t="str">
            <v>H0067</v>
          </cell>
          <cell r="X68" t="str">
            <v>toyotajb1@hometax.go.kr</v>
          </cell>
          <cell r="Y68">
            <v>45881</v>
          </cell>
          <cell r="Z68">
            <v>750000</v>
          </cell>
          <cell r="AA68">
            <v>0</v>
          </cell>
          <cell r="AC68">
            <v>750000</v>
          </cell>
          <cell r="AD68">
            <v>45925</v>
          </cell>
          <cell r="AE68">
            <v>750000</v>
          </cell>
          <cell r="AF68" t="str">
            <v>국고 X</v>
          </cell>
          <cell r="AH68">
            <v>750000</v>
          </cell>
        </row>
        <row r="69">
          <cell r="W69" t="str">
            <v>H0068</v>
          </cell>
          <cell r="X69" t="str">
            <v>toyotajb1@hometax.go.kr</v>
          </cell>
          <cell r="Y69">
            <v>45881</v>
          </cell>
          <cell r="Z69">
            <v>750000</v>
          </cell>
          <cell r="AA69">
            <v>0</v>
          </cell>
          <cell r="AC69">
            <v>750000</v>
          </cell>
          <cell r="AD69">
            <v>45925</v>
          </cell>
          <cell r="AE69">
            <v>750000</v>
          </cell>
          <cell r="AF69" t="str">
            <v>국고 X</v>
          </cell>
          <cell r="AH69">
            <v>750000</v>
          </cell>
        </row>
        <row r="70">
          <cell r="W70" t="str">
            <v>H0151</v>
          </cell>
          <cell r="X70" t="str">
            <v>phj8858@daum.net</v>
          </cell>
          <cell r="Y70">
            <v>45882</v>
          </cell>
          <cell r="Z70">
            <v>350000</v>
          </cell>
          <cell r="AA70">
            <v>400000</v>
          </cell>
          <cell r="AC70">
            <v>750000</v>
          </cell>
          <cell r="AF70">
            <v>45958</v>
          </cell>
          <cell r="AG70">
            <v>400000</v>
          </cell>
          <cell r="AH70">
            <v>400000</v>
          </cell>
        </row>
        <row r="71">
          <cell r="W71" t="str">
            <v>H0065</v>
          </cell>
          <cell r="X71" t="str">
            <v>leere707@naver.com</v>
          </cell>
          <cell r="Y71">
            <v>45882</v>
          </cell>
          <cell r="Z71">
            <v>200000</v>
          </cell>
          <cell r="AA71">
            <v>400000</v>
          </cell>
          <cell r="AC71">
            <v>600000</v>
          </cell>
          <cell r="AF71">
            <v>45958</v>
          </cell>
          <cell r="AG71">
            <v>400000</v>
          </cell>
          <cell r="AH71">
            <v>400000</v>
          </cell>
        </row>
        <row r="72">
          <cell r="W72" t="str">
            <v>H0064</v>
          </cell>
          <cell r="X72" t="str">
            <v>leere707@naver.com</v>
          </cell>
          <cell r="Y72">
            <v>45882</v>
          </cell>
          <cell r="Z72">
            <v>200000</v>
          </cell>
          <cell r="AA72">
            <v>400000</v>
          </cell>
          <cell r="AC72">
            <v>600000</v>
          </cell>
          <cell r="AD72">
            <v>45910</v>
          </cell>
          <cell r="AE72">
            <v>200000</v>
          </cell>
          <cell r="AF72">
            <v>45958</v>
          </cell>
          <cell r="AG72">
            <v>400000</v>
          </cell>
          <cell r="AH72">
            <v>600000</v>
          </cell>
        </row>
        <row r="73">
          <cell r="W73" t="str">
            <v>H0238</v>
          </cell>
          <cell r="X73" t="str">
            <v>dw1535@bill36524.com</v>
          </cell>
          <cell r="Y73">
            <v>45882</v>
          </cell>
          <cell r="Z73">
            <v>200000</v>
          </cell>
          <cell r="AA73">
            <v>400000</v>
          </cell>
          <cell r="AC73">
            <v>600000</v>
          </cell>
          <cell r="AD73">
            <v>45897</v>
          </cell>
          <cell r="AE73">
            <v>200000</v>
          </cell>
          <cell r="AF73">
            <v>45958</v>
          </cell>
          <cell r="AG73">
            <v>400000</v>
          </cell>
          <cell r="AH73">
            <v>600000</v>
          </cell>
        </row>
        <row r="74">
          <cell r="W74" t="str">
            <v>H0070</v>
          </cell>
          <cell r="X74" t="str">
            <v>md5459@naver.com</v>
          </cell>
          <cell r="Y74">
            <v>45882</v>
          </cell>
          <cell r="Z74">
            <v>200000</v>
          </cell>
          <cell r="AA74">
            <v>400000</v>
          </cell>
          <cell r="AC74">
            <v>600000</v>
          </cell>
          <cell r="AD74">
            <v>45883</v>
          </cell>
          <cell r="AE74">
            <v>200000</v>
          </cell>
          <cell r="AF74">
            <v>45958</v>
          </cell>
          <cell r="AG74">
            <v>400000</v>
          </cell>
          <cell r="AH74">
            <v>600000</v>
          </cell>
        </row>
        <row r="75">
          <cell r="W75" t="str">
            <v>H0188</v>
          </cell>
          <cell r="X75" t="str">
            <v>bm5239301@bill36524.com</v>
          </cell>
          <cell r="Y75">
            <v>45882</v>
          </cell>
          <cell r="Z75">
            <v>350000</v>
          </cell>
          <cell r="AA75">
            <v>400000</v>
          </cell>
          <cell r="AC75">
            <v>750000</v>
          </cell>
          <cell r="AD75">
            <v>45898</v>
          </cell>
          <cell r="AE75">
            <v>350000</v>
          </cell>
          <cell r="AF75">
            <v>45958</v>
          </cell>
          <cell r="AG75">
            <v>400000</v>
          </cell>
          <cell r="AH75">
            <v>750000</v>
          </cell>
        </row>
        <row r="76">
          <cell r="W76" t="str">
            <v>H0107</v>
          </cell>
          <cell r="X76" t="str">
            <v>djpyd@naver.com
(계산서 발행 시 안내 문자 필수)</v>
          </cell>
          <cell r="Y76">
            <v>45883</v>
          </cell>
          <cell r="Z76">
            <v>200000</v>
          </cell>
          <cell r="AA76">
            <v>400000</v>
          </cell>
          <cell r="AC76">
            <v>600000</v>
          </cell>
          <cell r="AD76">
            <v>46007</v>
          </cell>
          <cell r="AE76">
            <v>200000</v>
          </cell>
          <cell r="AF76">
            <v>45958</v>
          </cell>
          <cell r="AG76">
            <v>400000</v>
          </cell>
          <cell r="AH76">
            <v>600000</v>
          </cell>
        </row>
        <row r="77">
          <cell r="W77" t="str">
            <v>H0115</v>
          </cell>
          <cell r="X77" t="str">
            <v>jahee0125@naver.com</v>
          </cell>
          <cell r="Y77">
            <v>45883</v>
          </cell>
          <cell r="Z77">
            <v>200000</v>
          </cell>
          <cell r="AA77">
            <v>400000</v>
          </cell>
          <cell r="AC77">
            <v>600000</v>
          </cell>
          <cell r="AD77">
            <v>45887</v>
          </cell>
          <cell r="AE77">
            <v>200000</v>
          </cell>
          <cell r="AF77">
            <v>45958</v>
          </cell>
          <cell r="AG77">
            <v>400000</v>
          </cell>
          <cell r="AH77">
            <v>600000</v>
          </cell>
        </row>
        <row r="78">
          <cell r="W78" t="str">
            <v>H0113</v>
          </cell>
          <cell r="X78" t="str">
            <v>dj7057@naver.com</v>
          </cell>
          <cell r="Y78">
            <v>45883</v>
          </cell>
          <cell r="Z78">
            <v>200000</v>
          </cell>
          <cell r="AA78">
            <v>400000</v>
          </cell>
          <cell r="AC78">
            <v>600000</v>
          </cell>
          <cell r="AD78">
            <v>45883</v>
          </cell>
          <cell r="AE78">
            <v>200000</v>
          </cell>
          <cell r="AF78">
            <v>45958</v>
          </cell>
          <cell r="AG78">
            <v>400000</v>
          </cell>
          <cell r="AH78">
            <v>600000</v>
          </cell>
        </row>
        <row r="79">
          <cell r="W79" t="str">
            <v>H0190</v>
          </cell>
          <cell r="X79" t="str">
            <v>db8287@hanmail.net, dongbu1500@hanmail.net</v>
          </cell>
          <cell r="Y79">
            <v>45883</v>
          </cell>
          <cell r="Z79">
            <v>200000</v>
          </cell>
          <cell r="AA79">
            <v>400000</v>
          </cell>
          <cell r="AC79">
            <v>600000</v>
          </cell>
          <cell r="AD79">
            <v>45887</v>
          </cell>
          <cell r="AE79">
            <v>200000</v>
          </cell>
          <cell r="AF79">
            <v>45958</v>
          </cell>
          <cell r="AG79">
            <v>400000</v>
          </cell>
          <cell r="AH79">
            <v>600000</v>
          </cell>
        </row>
        <row r="80">
          <cell r="W80" t="str">
            <v>H0057</v>
          </cell>
          <cell r="X80" t="str">
            <v>young444@nate.com</v>
          </cell>
          <cell r="Y80">
            <v>45883</v>
          </cell>
          <cell r="Z80">
            <v>200000</v>
          </cell>
          <cell r="AA80">
            <v>400000</v>
          </cell>
          <cell r="AC80">
            <v>600000</v>
          </cell>
          <cell r="AD80">
            <v>46010</v>
          </cell>
          <cell r="AE80">
            <v>200000</v>
          </cell>
          <cell r="AF80">
            <v>45958</v>
          </cell>
          <cell r="AG80">
            <v>400000</v>
          </cell>
          <cell r="AH80">
            <v>600000</v>
          </cell>
        </row>
        <row r="81">
          <cell r="W81" t="str">
            <v>H0121</v>
          </cell>
          <cell r="X81" t="str">
            <v>msy5582@naver.com</v>
          </cell>
          <cell r="Y81">
            <v>45883</v>
          </cell>
          <cell r="Z81">
            <v>200000</v>
          </cell>
          <cell r="AA81">
            <v>400000</v>
          </cell>
          <cell r="AC81">
            <v>600000</v>
          </cell>
          <cell r="AD81">
            <v>46009</v>
          </cell>
          <cell r="AE81">
            <v>200000</v>
          </cell>
          <cell r="AF81">
            <v>45958</v>
          </cell>
          <cell r="AG81">
            <v>400000</v>
          </cell>
          <cell r="AH81">
            <v>600000</v>
          </cell>
        </row>
        <row r="82">
          <cell r="W82" t="str">
            <v>H0050</v>
          </cell>
          <cell r="X82" t="str">
            <v>gs49722@naver.com</v>
          </cell>
          <cell r="Y82">
            <v>45887</v>
          </cell>
          <cell r="Z82">
            <v>200000</v>
          </cell>
          <cell r="AA82">
            <v>400000</v>
          </cell>
          <cell r="AC82">
            <v>600000</v>
          </cell>
          <cell r="AD82">
            <v>46007</v>
          </cell>
          <cell r="AE82">
            <v>200000</v>
          </cell>
          <cell r="AF82">
            <v>45958</v>
          </cell>
          <cell r="AG82">
            <v>400000</v>
          </cell>
          <cell r="AH82">
            <v>600000</v>
          </cell>
        </row>
        <row r="83">
          <cell r="W83" t="str">
            <v>H0189</v>
          </cell>
          <cell r="X83" t="str">
            <v>kwb9033@naver.com</v>
          </cell>
          <cell r="Y83">
            <v>45887</v>
          </cell>
          <cell r="Z83">
            <v>200000</v>
          </cell>
          <cell r="AA83">
            <v>400000</v>
          </cell>
          <cell r="AC83">
            <v>600000</v>
          </cell>
          <cell r="AD83">
            <v>45919</v>
          </cell>
          <cell r="AE83">
            <v>200000</v>
          </cell>
          <cell r="AF83">
            <v>45958</v>
          </cell>
          <cell r="AG83">
            <v>400000</v>
          </cell>
          <cell r="AH83">
            <v>600000</v>
          </cell>
        </row>
        <row r="84">
          <cell r="W84" t="str">
            <v>H0122</v>
          </cell>
          <cell r="X84" t="str">
            <v>pqpq1230@naver.com</v>
          </cell>
          <cell r="Y84">
            <v>45887</v>
          </cell>
          <cell r="Z84">
            <v>200000</v>
          </cell>
          <cell r="AA84">
            <v>400000</v>
          </cell>
          <cell r="AC84">
            <v>600000</v>
          </cell>
          <cell r="AD84">
            <v>46013</v>
          </cell>
          <cell r="AE84">
            <v>200000</v>
          </cell>
          <cell r="AF84">
            <v>45958</v>
          </cell>
          <cell r="AG84">
            <v>400000</v>
          </cell>
          <cell r="AH84">
            <v>600000</v>
          </cell>
        </row>
        <row r="85">
          <cell r="W85" t="str">
            <v>H0098</v>
          </cell>
          <cell r="X85" t="str">
            <v>kkukkuro@hanmail.net</v>
          </cell>
          <cell r="Y85">
            <v>45887</v>
          </cell>
          <cell r="Z85">
            <v>200000</v>
          </cell>
          <cell r="AA85">
            <v>400000</v>
          </cell>
          <cell r="AC85">
            <v>600000</v>
          </cell>
          <cell r="AD85">
            <v>45896</v>
          </cell>
          <cell r="AE85">
            <v>200000</v>
          </cell>
          <cell r="AF85">
            <v>45958</v>
          </cell>
          <cell r="AG85">
            <v>400000</v>
          </cell>
          <cell r="AH85">
            <v>600000</v>
          </cell>
        </row>
        <row r="86">
          <cell r="W86" t="str">
            <v>H0241</v>
          </cell>
          <cell r="X86" t="str">
            <v>bestcenter88@hanmail.net</v>
          </cell>
          <cell r="Y86">
            <v>45887</v>
          </cell>
          <cell r="Z86">
            <v>350000</v>
          </cell>
          <cell r="AA86">
            <v>400000</v>
          </cell>
          <cell r="AC86">
            <v>750000</v>
          </cell>
          <cell r="AD86">
            <v>45946</v>
          </cell>
          <cell r="AE86">
            <v>350000</v>
          </cell>
          <cell r="AF86">
            <v>45958</v>
          </cell>
          <cell r="AG86">
            <v>400000</v>
          </cell>
          <cell r="AH86">
            <v>750000</v>
          </cell>
        </row>
        <row r="87">
          <cell r="W87" t="str">
            <v>H0099</v>
          </cell>
          <cell r="X87" t="str">
            <v>khr4460@naver.com</v>
          </cell>
          <cell r="Y87">
            <v>45887</v>
          </cell>
          <cell r="Z87">
            <v>200000</v>
          </cell>
          <cell r="AA87">
            <v>400000</v>
          </cell>
          <cell r="AC87">
            <v>600000</v>
          </cell>
          <cell r="AD87">
            <v>45898</v>
          </cell>
          <cell r="AE87">
            <v>200000</v>
          </cell>
          <cell r="AF87">
            <v>45958</v>
          </cell>
          <cell r="AG87">
            <v>400000</v>
          </cell>
          <cell r="AH87">
            <v>600000</v>
          </cell>
        </row>
        <row r="88">
          <cell r="W88" t="str">
            <v>H0096</v>
          </cell>
          <cell r="X88" t="str">
            <v>ki5842929@naver.com</v>
          </cell>
          <cell r="Y88">
            <v>45888</v>
          </cell>
          <cell r="Z88">
            <v>200000</v>
          </cell>
          <cell r="AA88">
            <v>400000</v>
          </cell>
          <cell r="AC88">
            <v>600000</v>
          </cell>
          <cell r="AD88">
            <v>45919</v>
          </cell>
          <cell r="AE88">
            <v>200000</v>
          </cell>
          <cell r="AF88">
            <v>45958</v>
          </cell>
          <cell r="AG88">
            <v>400000</v>
          </cell>
          <cell r="AH88">
            <v>600000</v>
          </cell>
        </row>
        <row r="89">
          <cell r="W89" t="str">
            <v>H0216</v>
          </cell>
          <cell r="X89" t="str">
            <v>jks2513@naver.com</v>
          </cell>
          <cell r="Y89">
            <v>45888</v>
          </cell>
          <cell r="Z89">
            <v>200000</v>
          </cell>
          <cell r="AA89">
            <v>400000</v>
          </cell>
          <cell r="AC89">
            <v>600000</v>
          </cell>
          <cell r="AD89">
            <v>45891</v>
          </cell>
          <cell r="AE89">
            <v>200000</v>
          </cell>
          <cell r="AF89">
            <v>45958</v>
          </cell>
          <cell r="AG89">
            <v>400000</v>
          </cell>
          <cell r="AH89">
            <v>600000</v>
          </cell>
        </row>
        <row r="90">
          <cell r="W90" t="str">
            <v>H0069</v>
          </cell>
          <cell r="X90" t="str">
            <v>21cm0203@naver.com</v>
          </cell>
          <cell r="Y90">
            <v>45888</v>
          </cell>
          <cell r="Z90">
            <v>200000</v>
          </cell>
          <cell r="AA90">
            <v>400000</v>
          </cell>
          <cell r="AC90">
            <v>600000</v>
          </cell>
          <cell r="AD90">
            <v>45889</v>
          </cell>
          <cell r="AE90">
            <v>200000</v>
          </cell>
          <cell r="AF90">
            <v>45958</v>
          </cell>
          <cell r="AG90">
            <v>400000</v>
          </cell>
          <cell r="AH90">
            <v>600000</v>
          </cell>
        </row>
        <row r="91">
          <cell r="W91" t="str">
            <v>H0088</v>
          </cell>
          <cell r="X91" t="str">
            <v>love2772@hanmail.net</v>
          </cell>
          <cell r="Y91">
            <v>45888</v>
          </cell>
          <cell r="Z91">
            <v>200000</v>
          </cell>
          <cell r="AA91">
            <v>400000</v>
          </cell>
          <cell r="AC91">
            <v>600000</v>
          </cell>
          <cell r="AD91">
            <v>45888</v>
          </cell>
          <cell r="AE91">
            <v>200000</v>
          </cell>
          <cell r="AF91">
            <v>45958</v>
          </cell>
          <cell r="AG91">
            <v>400000</v>
          </cell>
          <cell r="AH91">
            <v>600000</v>
          </cell>
          <cell r="AI91" t="str">
            <v>9/29일 이중입금, 9/30 환불</v>
          </cell>
        </row>
        <row r="92">
          <cell r="W92" t="str">
            <v>H0087</v>
          </cell>
          <cell r="X92" t="str">
            <v>sunsuga1970@naver.com</v>
          </cell>
          <cell r="Y92">
            <v>45888</v>
          </cell>
          <cell r="Z92">
            <v>200000</v>
          </cell>
          <cell r="AA92">
            <v>400000</v>
          </cell>
          <cell r="AC92">
            <v>600000</v>
          </cell>
          <cell r="AD92">
            <v>45925</v>
          </cell>
          <cell r="AE92">
            <v>200000</v>
          </cell>
          <cell r="AF92">
            <v>45958</v>
          </cell>
          <cell r="AG92">
            <v>400000</v>
          </cell>
          <cell r="AH92">
            <v>600000</v>
          </cell>
          <cell r="AI92" t="str">
            <v>26년 상반기 측정료 12/16 입금 및 계산서 발행 완료</v>
          </cell>
        </row>
        <row r="93">
          <cell r="W93" t="str">
            <v>H0086</v>
          </cell>
          <cell r="X93" t="str">
            <v>sdg8297@hanmail.net</v>
          </cell>
          <cell r="Y93">
            <v>45888</v>
          </cell>
          <cell r="Z93">
            <v>200000</v>
          </cell>
          <cell r="AA93">
            <v>400000</v>
          </cell>
          <cell r="AC93">
            <v>600000</v>
          </cell>
          <cell r="AD93">
            <v>45895</v>
          </cell>
          <cell r="AE93">
            <v>200000</v>
          </cell>
          <cell r="AF93">
            <v>45958</v>
          </cell>
          <cell r="AG93">
            <v>400000</v>
          </cell>
          <cell r="AH93">
            <v>600000</v>
          </cell>
        </row>
        <row r="94">
          <cell r="W94" t="str">
            <v>H0028</v>
          </cell>
          <cell r="X94" t="str">
            <v>NS24866@daum.net</v>
          </cell>
          <cell r="Y94">
            <v>45889</v>
          </cell>
          <cell r="Z94">
            <v>200000</v>
          </cell>
          <cell r="AA94">
            <v>400000</v>
          </cell>
          <cell r="AC94">
            <v>600000</v>
          </cell>
          <cell r="AD94">
            <v>45965</v>
          </cell>
          <cell r="AE94">
            <v>200000</v>
          </cell>
          <cell r="AF94">
            <v>45958</v>
          </cell>
          <cell r="AG94">
            <v>400000</v>
          </cell>
          <cell r="AH94">
            <v>600000</v>
          </cell>
        </row>
        <row r="95">
          <cell r="W95" t="str">
            <v>H0029</v>
          </cell>
          <cell r="X95" t="str">
            <v>youngran4567@naver.com</v>
          </cell>
          <cell r="Y95">
            <v>45889</v>
          </cell>
          <cell r="Z95">
            <v>200000</v>
          </cell>
          <cell r="AA95">
            <v>400000</v>
          </cell>
          <cell r="AC95">
            <v>600000</v>
          </cell>
          <cell r="AD95">
            <v>46009</v>
          </cell>
          <cell r="AE95">
            <v>200000</v>
          </cell>
          <cell r="AF95">
            <v>45958</v>
          </cell>
          <cell r="AG95">
            <v>400000</v>
          </cell>
          <cell r="AH95">
            <v>600000</v>
          </cell>
        </row>
        <row r="96">
          <cell r="W96" t="str">
            <v>H0047</v>
          </cell>
          <cell r="X96" t="str">
            <v>sdj3254@hometax.go.kr</v>
          </cell>
          <cell r="Y96">
            <v>45889</v>
          </cell>
          <cell r="Z96">
            <v>200000</v>
          </cell>
          <cell r="AA96">
            <v>400000</v>
          </cell>
          <cell r="AC96">
            <v>600000</v>
          </cell>
          <cell r="AD96">
            <v>45915</v>
          </cell>
          <cell r="AE96">
            <v>200000</v>
          </cell>
          <cell r="AF96">
            <v>45958</v>
          </cell>
          <cell r="AG96">
            <v>400000</v>
          </cell>
          <cell r="AH96">
            <v>600000</v>
          </cell>
        </row>
        <row r="97">
          <cell r="W97" t="str">
            <v>H0078</v>
          </cell>
          <cell r="X97" t="str">
            <v>hans6279@naver.com</v>
          </cell>
          <cell r="Y97">
            <v>45889</v>
          </cell>
          <cell r="Z97">
            <v>200000</v>
          </cell>
          <cell r="AA97">
            <v>400000</v>
          </cell>
          <cell r="AC97">
            <v>600000</v>
          </cell>
          <cell r="AD97">
            <v>45915</v>
          </cell>
          <cell r="AE97">
            <v>200000</v>
          </cell>
          <cell r="AF97">
            <v>45958</v>
          </cell>
          <cell r="AG97">
            <v>400000</v>
          </cell>
          <cell r="AH97">
            <v>600000</v>
          </cell>
        </row>
        <row r="98">
          <cell r="W98" t="str">
            <v>H0106</v>
          </cell>
          <cell r="X98" t="str">
            <v>eogks5853381@naver.com</v>
          </cell>
          <cell r="Y98">
            <v>45889</v>
          </cell>
          <cell r="Z98">
            <v>200000</v>
          </cell>
          <cell r="AA98">
            <v>400000</v>
          </cell>
          <cell r="AC98">
            <v>600000</v>
          </cell>
          <cell r="AD98">
            <v>45919</v>
          </cell>
          <cell r="AE98">
            <v>200000</v>
          </cell>
          <cell r="AF98">
            <v>45958</v>
          </cell>
          <cell r="AG98">
            <v>400000</v>
          </cell>
          <cell r="AH98">
            <v>600000</v>
          </cell>
        </row>
        <row r="99">
          <cell r="W99" t="str">
            <v>H0182</v>
          </cell>
          <cell r="X99" t="str">
            <v>0114086004@hanmail.net</v>
          </cell>
          <cell r="Y99">
            <v>45890</v>
          </cell>
          <cell r="Z99">
            <v>200000</v>
          </cell>
          <cell r="AA99">
            <v>400000</v>
          </cell>
          <cell r="AC99">
            <v>600000</v>
          </cell>
          <cell r="AD99">
            <v>46007</v>
          </cell>
          <cell r="AE99">
            <v>200000</v>
          </cell>
          <cell r="AF99">
            <v>45958</v>
          </cell>
          <cell r="AG99">
            <v>400000</v>
          </cell>
          <cell r="AH99">
            <v>600000</v>
          </cell>
        </row>
        <row r="100">
          <cell r="W100" t="str">
            <v>H0273</v>
          </cell>
          <cell r="X100" t="str">
            <v>sanggun7746@naver.com</v>
          </cell>
          <cell r="Y100">
            <v>45890</v>
          </cell>
          <cell r="Z100">
            <v>200000</v>
          </cell>
          <cell r="AA100">
            <v>400000</v>
          </cell>
          <cell r="AC100">
            <v>600000</v>
          </cell>
          <cell r="AD100">
            <v>46010</v>
          </cell>
          <cell r="AE100">
            <v>200000</v>
          </cell>
          <cell r="AF100">
            <v>45958</v>
          </cell>
          <cell r="AG100">
            <v>400000</v>
          </cell>
          <cell r="AH100">
            <v>600000</v>
          </cell>
        </row>
        <row r="101">
          <cell r="W101" t="str">
            <v>H0049</v>
          </cell>
          <cell r="X101" t="str">
            <v>sunart100@naver.com</v>
          </cell>
          <cell r="Y101">
            <v>45890</v>
          </cell>
          <cell r="Z101">
            <v>200000</v>
          </cell>
          <cell r="AA101">
            <v>400000</v>
          </cell>
          <cell r="AC101">
            <v>600000</v>
          </cell>
          <cell r="AF101">
            <v>45958</v>
          </cell>
          <cell r="AG101">
            <v>400000</v>
          </cell>
          <cell r="AH101">
            <v>400000</v>
          </cell>
        </row>
        <row r="102">
          <cell r="W102" t="str">
            <v>H0048</v>
          </cell>
          <cell r="X102" t="str">
            <v>qhfka1401@naver.com</v>
          </cell>
          <cell r="Y102">
            <v>45890</v>
          </cell>
          <cell r="Z102">
            <v>200000</v>
          </cell>
          <cell r="AA102">
            <v>400000</v>
          </cell>
          <cell r="AC102">
            <v>600000</v>
          </cell>
          <cell r="AD102">
            <v>45891</v>
          </cell>
          <cell r="AE102">
            <v>200000</v>
          </cell>
          <cell r="AF102">
            <v>45958</v>
          </cell>
          <cell r="AG102">
            <v>400000</v>
          </cell>
          <cell r="AH102">
            <v>600000</v>
          </cell>
        </row>
        <row r="103">
          <cell r="W103" t="str">
            <v>H0043</v>
          </cell>
          <cell r="X103" t="str">
            <v>kbkim@hanmail.net</v>
          </cell>
          <cell r="Y103">
            <v>45890</v>
          </cell>
          <cell r="Z103">
            <v>200000</v>
          </cell>
          <cell r="AA103">
            <v>400000</v>
          </cell>
          <cell r="AC103">
            <v>600000</v>
          </cell>
          <cell r="AD103">
            <v>46009</v>
          </cell>
          <cell r="AE103">
            <v>200000</v>
          </cell>
          <cell r="AF103">
            <v>45958</v>
          </cell>
          <cell r="AG103">
            <v>400000</v>
          </cell>
          <cell r="AH103">
            <v>600000</v>
          </cell>
        </row>
        <row r="104">
          <cell r="W104" t="str">
            <v>H0042</v>
          </cell>
          <cell r="X104" t="str">
            <v>yyong1404@hanmail.net</v>
          </cell>
          <cell r="Y104">
            <v>45890</v>
          </cell>
          <cell r="Z104">
            <v>200000</v>
          </cell>
          <cell r="AA104">
            <v>400000</v>
          </cell>
          <cell r="AC104">
            <v>600000</v>
          </cell>
          <cell r="AD104">
            <v>46017</v>
          </cell>
          <cell r="AE104">
            <v>200000</v>
          </cell>
          <cell r="AF104">
            <v>45958</v>
          </cell>
          <cell r="AG104">
            <v>400000</v>
          </cell>
          <cell r="AH104">
            <v>600000</v>
          </cell>
        </row>
        <row r="105">
          <cell r="W105" t="str">
            <v>H0132</v>
          </cell>
          <cell r="X105" t="str">
            <v>samwoo0815@naver.com</v>
          </cell>
          <cell r="Y105">
            <v>45891</v>
          </cell>
          <cell r="Z105">
            <v>200000</v>
          </cell>
          <cell r="AA105">
            <v>400000</v>
          </cell>
          <cell r="AC105">
            <v>600000</v>
          </cell>
          <cell r="AD105">
            <v>45894</v>
          </cell>
          <cell r="AE105">
            <v>200000</v>
          </cell>
          <cell r="AF105">
            <v>45958</v>
          </cell>
          <cell r="AG105">
            <v>400000</v>
          </cell>
          <cell r="AH105">
            <v>600000</v>
          </cell>
        </row>
        <row r="106">
          <cell r="W106" t="str">
            <v>H0051</v>
          </cell>
          <cell r="X106" t="str">
            <v>gks3408@naver.com</v>
          </cell>
          <cell r="Y106">
            <v>45891</v>
          </cell>
          <cell r="Z106">
            <v>200000</v>
          </cell>
          <cell r="AA106">
            <v>400000</v>
          </cell>
          <cell r="AC106">
            <v>600000</v>
          </cell>
          <cell r="AD106">
            <v>45922</v>
          </cell>
          <cell r="AE106">
            <v>200000</v>
          </cell>
          <cell r="AF106">
            <v>45958</v>
          </cell>
          <cell r="AG106">
            <v>400000</v>
          </cell>
          <cell r="AH106">
            <v>600000</v>
          </cell>
        </row>
        <row r="107">
          <cell r="W107" t="str">
            <v>H0052</v>
          </cell>
          <cell r="X107" t="str">
            <v>pkb9727@hanmail.net</v>
          </cell>
          <cell r="Y107">
            <v>45891</v>
          </cell>
          <cell r="Z107">
            <v>200000</v>
          </cell>
          <cell r="AA107">
            <v>400000</v>
          </cell>
          <cell r="AC107">
            <v>600000</v>
          </cell>
          <cell r="AF107">
            <v>45958</v>
          </cell>
          <cell r="AG107">
            <v>400000</v>
          </cell>
          <cell r="AH107">
            <v>400000</v>
          </cell>
        </row>
        <row r="108">
          <cell r="W108" t="str">
            <v>H0280</v>
          </cell>
          <cell r="X108" t="str">
            <v>sttj1001@naver.com</v>
          </cell>
          <cell r="Y108">
            <v>45894</v>
          </cell>
          <cell r="Z108">
            <v>200000</v>
          </cell>
          <cell r="AA108">
            <v>400000</v>
          </cell>
          <cell r="AC108">
            <v>600000</v>
          </cell>
          <cell r="AD108">
            <v>45897</v>
          </cell>
          <cell r="AE108">
            <v>200000</v>
          </cell>
          <cell r="AF108">
            <v>45958</v>
          </cell>
          <cell r="AG108">
            <v>400000</v>
          </cell>
          <cell r="AH108">
            <v>600000</v>
          </cell>
        </row>
        <row r="109">
          <cell r="W109" t="str">
            <v>H0134</v>
          </cell>
          <cell r="X109" t="str">
            <v>khk4477@hanmail.net</v>
          </cell>
          <cell r="Y109">
            <v>45894</v>
          </cell>
          <cell r="Z109">
            <v>200000</v>
          </cell>
          <cell r="AA109">
            <v>400000</v>
          </cell>
          <cell r="AC109">
            <v>600000</v>
          </cell>
          <cell r="AD109">
            <v>46006</v>
          </cell>
          <cell r="AE109">
            <v>200000</v>
          </cell>
          <cell r="AF109">
            <v>45958</v>
          </cell>
          <cell r="AG109">
            <v>400000</v>
          </cell>
          <cell r="AH109">
            <v>600000</v>
          </cell>
        </row>
        <row r="110">
          <cell r="W110" t="str">
            <v>H0108</v>
          </cell>
          <cell r="X110" t="str">
            <v>HANDOL@hometax.go.kr</v>
          </cell>
          <cell r="Y110">
            <v>45894</v>
          </cell>
          <cell r="Z110">
            <v>200000</v>
          </cell>
          <cell r="AA110">
            <v>400000</v>
          </cell>
          <cell r="AC110">
            <v>600000</v>
          </cell>
          <cell r="AD110">
            <v>45930</v>
          </cell>
          <cell r="AE110">
            <v>200000</v>
          </cell>
          <cell r="AF110">
            <v>45958</v>
          </cell>
          <cell r="AG110">
            <v>400000</v>
          </cell>
          <cell r="AH110">
            <v>600000</v>
          </cell>
        </row>
        <row r="111">
          <cell r="W111" t="str">
            <v>H0152</v>
          </cell>
          <cell r="X111" t="str">
            <v>meng3249@naver.com</v>
          </cell>
          <cell r="Y111" t="str">
            <v>국고 전액</v>
          </cell>
          <cell r="Z111">
            <v>0</v>
          </cell>
          <cell r="AA111">
            <v>400000</v>
          </cell>
          <cell r="AC111">
            <v>400000</v>
          </cell>
          <cell r="AF111">
            <v>45958</v>
          </cell>
          <cell r="AG111">
            <v>400000</v>
          </cell>
          <cell r="AH111">
            <v>400000</v>
          </cell>
        </row>
        <row r="112">
          <cell r="W112" t="str">
            <v>H0073</v>
          </cell>
          <cell r="X112" t="str">
            <v>hsy05849@gmail.com</v>
          </cell>
          <cell r="Y112">
            <v>45895</v>
          </cell>
          <cell r="Z112">
            <v>200000</v>
          </cell>
          <cell r="AA112">
            <v>400000</v>
          </cell>
          <cell r="AC112">
            <v>600000</v>
          </cell>
          <cell r="AD112">
            <v>45926</v>
          </cell>
          <cell r="AE112">
            <v>200000</v>
          </cell>
          <cell r="AF112">
            <v>45958</v>
          </cell>
          <cell r="AG112">
            <v>400000</v>
          </cell>
          <cell r="AH112">
            <v>600000</v>
          </cell>
        </row>
        <row r="113">
          <cell r="W113" t="str">
            <v>H0138</v>
          </cell>
          <cell r="X113" t="str">
            <v>ys0033@hometax.go.kr</v>
          </cell>
          <cell r="Y113">
            <v>45895</v>
          </cell>
          <cell r="Z113">
            <v>350000</v>
          </cell>
          <cell r="AA113">
            <v>400000</v>
          </cell>
          <cell r="AC113">
            <v>750000</v>
          </cell>
          <cell r="AD113">
            <v>45929</v>
          </cell>
          <cell r="AE113">
            <v>350000</v>
          </cell>
          <cell r="AF113">
            <v>45958</v>
          </cell>
          <cell r="AG113">
            <v>400000</v>
          </cell>
          <cell r="AH113">
            <v>750000</v>
          </cell>
        </row>
        <row r="114">
          <cell r="W114" t="str">
            <v>H0094</v>
          </cell>
          <cell r="X114" t="str">
            <v>myungw2020@naver.vcom</v>
          </cell>
          <cell r="Y114">
            <v>45895</v>
          </cell>
          <cell r="Z114">
            <v>200000</v>
          </cell>
          <cell r="AA114">
            <v>400000</v>
          </cell>
          <cell r="AC114">
            <v>600000</v>
          </cell>
          <cell r="AF114">
            <v>45958</v>
          </cell>
          <cell r="AG114">
            <v>400000</v>
          </cell>
          <cell r="AH114">
            <v>400000</v>
          </cell>
        </row>
        <row r="115">
          <cell r="W115" t="str">
            <v>H0082</v>
          </cell>
          <cell r="X115" t="str">
            <v>dalo7400@hometax.go.kr</v>
          </cell>
          <cell r="Y115">
            <v>45895</v>
          </cell>
          <cell r="Z115">
            <v>200000</v>
          </cell>
          <cell r="AA115">
            <v>400000</v>
          </cell>
          <cell r="AC115">
            <v>600000</v>
          </cell>
          <cell r="AD115">
            <v>45926</v>
          </cell>
          <cell r="AE115">
            <v>200000</v>
          </cell>
          <cell r="AF115">
            <v>45958</v>
          </cell>
          <cell r="AG115">
            <v>400000</v>
          </cell>
          <cell r="AH115">
            <v>600000</v>
          </cell>
        </row>
        <row r="116">
          <cell r="W116" t="str">
            <v>H0399</v>
          </cell>
          <cell r="X116" t="str">
            <v>yeynav@naver.com</v>
          </cell>
          <cell r="Y116">
            <v>45896</v>
          </cell>
          <cell r="Z116">
            <v>250000</v>
          </cell>
          <cell r="AA116">
            <v>400000</v>
          </cell>
          <cell r="AC116">
            <v>650000</v>
          </cell>
          <cell r="AD116">
            <v>45908</v>
          </cell>
          <cell r="AE116">
            <v>250000</v>
          </cell>
          <cell r="AF116">
            <v>45958</v>
          </cell>
          <cell r="AG116">
            <v>400000</v>
          </cell>
          <cell r="AH116">
            <v>650000</v>
          </cell>
        </row>
        <row r="117">
          <cell r="W117" t="str">
            <v>H0281</v>
          </cell>
          <cell r="X117" t="str">
            <v>sbkim2@smlab.co.kr</v>
          </cell>
          <cell r="Y117">
            <v>45925</v>
          </cell>
          <cell r="Z117">
            <v>2150000</v>
          </cell>
          <cell r="AA117">
            <v>0</v>
          </cell>
          <cell r="AC117">
            <v>2150000</v>
          </cell>
          <cell r="AD117">
            <v>45961</v>
          </cell>
          <cell r="AE117">
            <v>2150000</v>
          </cell>
          <cell r="AF117" t="str">
            <v>국고 X</v>
          </cell>
          <cell r="AH117">
            <v>2150000</v>
          </cell>
        </row>
        <row r="118">
          <cell r="W118" t="str">
            <v>H0402</v>
          </cell>
          <cell r="X118">
            <v>0</v>
          </cell>
          <cell r="Y118" t="str">
            <v>국고 전액</v>
          </cell>
          <cell r="Z118">
            <v>0</v>
          </cell>
          <cell r="AA118">
            <v>784750</v>
          </cell>
          <cell r="AC118">
            <v>784750</v>
          </cell>
          <cell r="AF118">
            <v>45958</v>
          </cell>
          <cell r="AG118">
            <v>784750</v>
          </cell>
          <cell r="AH118">
            <v>784750</v>
          </cell>
        </row>
        <row r="119">
          <cell r="W119" t="str">
            <v>H0081</v>
          </cell>
          <cell r="X119" t="str">
            <v>ssh@jlrmotors.co.kr</v>
          </cell>
          <cell r="Y119">
            <v>45902</v>
          </cell>
          <cell r="Z119">
            <v>350000</v>
          </cell>
          <cell r="AA119">
            <v>400000</v>
          </cell>
          <cell r="AC119">
            <v>750000</v>
          </cell>
          <cell r="AD119">
            <v>45918</v>
          </cell>
          <cell r="AE119">
            <v>350000</v>
          </cell>
          <cell r="AF119">
            <v>45980</v>
          </cell>
          <cell r="AG119">
            <v>400000</v>
          </cell>
          <cell r="AH119">
            <v>750000</v>
          </cell>
        </row>
        <row r="120">
          <cell r="W120" t="str">
            <v>H0085</v>
          </cell>
          <cell r="X120" t="str">
            <v>rhkdfla7878@naver.com</v>
          </cell>
          <cell r="Y120">
            <v>45902</v>
          </cell>
          <cell r="Z120">
            <v>200000</v>
          </cell>
          <cell r="AA120">
            <v>400000</v>
          </cell>
          <cell r="AC120">
            <v>600000</v>
          </cell>
          <cell r="AD120">
            <v>45905</v>
          </cell>
          <cell r="AE120">
            <v>200000</v>
          </cell>
          <cell r="AF120">
            <v>45980</v>
          </cell>
          <cell r="AG120">
            <v>400000</v>
          </cell>
          <cell r="AH120">
            <v>600000</v>
          </cell>
        </row>
        <row r="121">
          <cell r="W121" t="str">
            <v>H0105</v>
          </cell>
          <cell r="X121" t="str">
            <v>gosi67@naver.com</v>
          </cell>
          <cell r="Y121">
            <v>45902</v>
          </cell>
          <cell r="Z121">
            <v>200000</v>
          </cell>
          <cell r="AA121">
            <v>400000</v>
          </cell>
          <cell r="AC121">
            <v>600000</v>
          </cell>
          <cell r="AF121">
            <v>45958</v>
          </cell>
          <cell r="AG121">
            <v>400000</v>
          </cell>
          <cell r="AH121">
            <v>400000</v>
          </cell>
        </row>
        <row r="122">
          <cell r="W122" t="str">
            <v>H0290</v>
          </cell>
          <cell r="X122" t="str">
            <v>dh15222@naver.com</v>
          </cell>
          <cell r="Y122">
            <v>45925</v>
          </cell>
          <cell r="Z122">
            <v>1500000</v>
          </cell>
          <cell r="AA122">
            <v>400000</v>
          </cell>
          <cell r="AC122">
            <v>1900000</v>
          </cell>
          <cell r="AD122">
            <v>45964</v>
          </cell>
          <cell r="AE122">
            <v>1500000</v>
          </cell>
          <cell r="AF122">
            <v>45958</v>
          </cell>
          <cell r="AG122">
            <v>400000</v>
          </cell>
          <cell r="AH122">
            <v>1900000</v>
          </cell>
        </row>
        <row r="123">
          <cell r="W123" t="str">
            <v>H0104</v>
          </cell>
          <cell r="X123" t="str">
            <v>ml3995@naver.com</v>
          </cell>
          <cell r="Y123">
            <v>45904</v>
          </cell>
          <cell r="Z123">
            <v>200000</v>
          </cell>
          <cell r="AA123">
            <v>400000</v>
          </cell>
          <cell r="AC123">
            <v>600000</v>
          </cell>
          <cell r="AF123">
            <v>45980</v>
          </cell>
          <cell r="AG123">
            <v>400000</v>
          </cell>
          <cell r="AH123">
            <v>400000</v>
          </cell>
        </row>
        <row r="124">
          <cell r="W124" t="str">
            <v>H0024</v>
          </cell>
          <cell r="X124" t="str">
            <v>yuyeu@hanmail.net</v>
          </cell>
          <cell r="Y124">
            <v>45904</v>
          </cell>
          <cell r="Z124">
            <v>200000</v>
          </cell>
          <cell r="AA124">
            <v>400000</v>
          </cell>
          <cell r="AC124">
            <v>600000</v>
          </cell>
          <cell r="AD124">
            <v>45932</v>
          </cell>
          <cell r="AE124">
            <v>200000</v>
          </cell>
          <cell r="AF124">
            <v>45980</v>
          </cell>
          <cell r="AG124">
            <v>400000</v>
          </cell>
          <cell r="AH124">
            <v>600000</v>
          </cell>
        </row>
        <row r="125">
          <cell r="W125" t="str">
            <v>H0026</v>
          </cell>
          <cell r="X125" t="str">
            <v>hanmaum5828@gmail.com</v>
          </cell>
          <cell r="Y125">
            <v>45904</v>
          </cell>
          <cell r="Z125">
            <v>200000</v>
          </cell>
          <cell r="AA125">
            <v>400000</v>
          </cell>
          <cell r="AC125">
            <v>600000</v>
          </cell>
          <cell r="AD125">
            <v>45904</v>
          </cell>
          <cell r="AE125">
            <v>200000</v>
          </cell>
          <cell r="AF125">
            <v>45980</v>
          </cell>
          <cell r="AG125">
            <v>400000</v>
          </cell>
          <cell r="AH125">
            <v>600000</v>
          </cell>
        </row>
        <row r="126">
          <cell r="W126" t="str">
            <v>H0202</v>
          </cell>
          <cell r="X126" t="str">
            <v>bum3175@hanmail.net</v>
          </cell>
          <cell r="Y126">
            <v>45905</v>
          </cell>
          <cell r="Z126">
            <v>200000</v>
          </cell>
          <cell r="AA126">
            <v>400000</v>
          </cell>
          <cell r="AC126">
            <v>600000</v>
          </cell>
          <cell r="AF126">
            <v>45980</v>
          </cell>
          <cell r="AG126">
            <v>400000</v>
          </cell>
          <cell r="AH126">
            <v>400000</v>
          </cell>
        </row>
        <row r="127">
          <cell r="W127" t="str">
            <v>H0361</v>
          </cell>
          <cell r="X127" t="str">
            <v>ghks9933@naver.com</v>
          </cell>
          <cell r="Y127">
            <v>45905</v>
          </cell>
          <cell r="Z127">
            <v>200000</v>
          </cell>
          <cell r="AA127">
            <v>400000</v>
          </cell>
          <cell r="AC127">
            <v>600000</v>
          </cell>
          <cell r="AF127">
            <v>45980</v>
          </cell>
          <cell r="AG127">
            <v>400000</v>
          </cell>
          <cell r="AH127">
            <v>400000</v>
          </cell>
        </row>
        <row r="128">
          <cell r="W128" t="str">
            <v>H0130</v>
          </cell>
          <cell r="X128" t="str">
            <v>ys6344100@hanmail.net</v>
          </cell>
          <cell r="Y128">
            <v>45905</v>
          </cell>
          <cell r="Z128">
            <v>200000</v>
          </cell>
          <cell r="AA128">
            <v>400000</v>
          </cell>
          <cell r="AC128">
            <v>600000</v>
          </cell>
          <cell r="AF128">
            <v>45980</v>
          </cell>
          <cell r="AG128">
            <v>400000</v>
          </cell>
          <cell r="AH128">
            <v>400000</v>
          </cell>
        </row>
        <row r="129">
          <cell r="W129" t="str">
            <v>H0347</v>
          </cell>
          <cell r="X129" t="str">
            <v>changhyun.moon@sfa.co.kr</v>
          </cell>
          <cell r="Y129">
            <v>45943</v>
          </cell>
          <cell r="Z129">
            <v>1300000</v>
          </cell>
          <cell r="AA129">
            <v>0</v>
          </cell>
          <cell r="AC129">
            <v>1300000</v>
          </cell>
          <cell r="AD129">
            <v>45951</v>
          </cell>
          <cell r="AE129">
            <v>1300000</v>
          </cell>
          <cell r="AF129" t="str">
            <v>국고 X</v>
          </cell>
          <cell r="AH129">
            <v>1300000</v>
          </cell>
        </row>
        <row r="130">
          <cell r="W130" t="str">
            <v>H0291</v>
          </cell>
          <cell r="X130" t="str">
            <v>jihyun-park@lotte.net</v>
          </cell>
          <cell r="Y130">
            <v>45946</v>
          </cell>
          <cell r="Z130">
            <v>1800000</v>
          </cell>
          <cell r="AA130">
            <v>0</v>
          </cell>
          <cell r="AC130">
            <v>1800000</v>
          </cell>
          <cell r="AD130">
            <v>45960</v>
          </cell>
          <cell r="AE130">
            <v>1800000</v>
          </cell>
          <cell r="AF130" t="str">
            <v>국고 X</v>
          </cell>
          <cell r="AH130">
            <v>1800000</v>
          </cell>
        </row>
        <row r="131">
          <cell r="W131" t="str">
            <v>H0056</v>
          </cell>
          <cell r="X131" t="str">
            <v>miye2430@naver.com</v>
          </cell>
          <cell r="Y131">
            <v>45911</v>
          </cell>
          <cell r="Z131">
            <v>200000</v>
          </cell>
          <cell r="AA131">
            <v>400000</v>
          </cell>
          <cell r="AC131">
            <v>600000</v>
          </cell>
          <cell r="AF131">
            <v>45980</v>
          </cell>
          <cell r="AG131">
            <v>400000</v>
          </cell>
          <cell r="AH131">
            <v>400000</v>
          </cell>
        </row>
        <row r="132">
          <cell r="W132" t="str">
            <v>H0058</v>
          </cell>
          <cell r="X132" t="str">
            <v>snmts5048@hanmail.net</v>
          </cell>
          <cell r="Y132">
            <v>45911</v>
          </cell>
          <cell r="Z132">
            <v>200000</v>
          </cell>
          <cell r="AA132">
            <v>400000</v>
          </cell>
          <cell r="AC132">
            <v>600000</v>
          </cell>
          <cell r="AD132">
            <v>46010</v>
          </cell>
          <cell r="AE132">
            <v>200000</v>
          </cell>
          <cell r="AF132">
            <v>45980</v>
          </cell>
          <cell r="AG132">
            <v>400000</v>
          </cell>
          <cell r="AH132">
            <v>600000</v>
          </cell>
        </row>
        <row r="133">
          <cell r="W133" t="str">
            <v>H0245</v>
          </cell>
          <cell r="X133" t="str">
            <v>hs-motors6936@daum.net</v>
          </cell>
          <cell r="Y133">
            <v>45911</v>
          </cell>
          <cell r="Z133">
            <v>200000</v>
          </cell>
          <cell r="AA133">
            <v>400000</v>
          </cell>
          <cell r="AC133">
            <v>600000</v>
          </cell>
          <cell r="AD133">
            <v>45961</v>
          </cell>
          <cell r="AE133">
            <v>200000</v>
          </cell>
          <cell r="AF133">
            <v>45980</v>
          </cell>
          <cell r="AG133">
            <v>400000</v>
          </cell>
          <cell r="AH133">
            <v>600000</v>
          </cell>
        </row>
        <row r="134">
          <cell r="W134" t="str">
            <v>H0084</v>
          </cell>
          <cell r="X134" t="str">
            <v>jnh5000@naver.com</v>
          </cell>
          <cell r="Y134">
            <v>45918</v>
          </cell>
          <cell r="Z134">
            <v>200000</v>
          </cell>
          <cell r="AA134">
            <v>400000</v>
          </cell>
          <cell r="AC134">
            <v>600000</v>
          </cell>
          <cell r="AD134">
            <v>45930</v>
          </cell>
          <cell r="AE134">
            <v>200000</v>
          </cell>
          <cell r="AF134">
            <v>46009</v>
          </cell>
          <cell r="AG134">
            <v>400000</v>
          </cell>
          <cell r="AH134">
            <v>600000</v>
          </cell>
        </row>
        <row r="135">
          <cell r="W135" t="str">
            <v>H0093</v>
          </cell>
          <cell r="X135" t="str">
            <v>dreamtns@daum.net</v>
          </cell>
          <cell r="Y135">
            <v>45965</v>
          </cell>
          <cell r="Z135">
            <v>1300000</v>
          </cell>
          <cell r="AA135">
            <v>400000</v>
          </cell>
          <cell r="AC135">
            <v>1700000</v>
          </cell>
          <cell r="AD135">
            <v>45971</v>
          </cell>
          <cell r="AE135">
            <v>1300000</v>
          </cell>
          <cell r="AF135">
            <v>46009</v>
          </cell>
          <cell r="AG135">
            <v>400000</v>
          </cell>
          <cell r="AH135">
            <v>1700000</v>
          </cell>
        </row>
        <row r="136">
          <cell r="W136" t="str">
            <v>H0390</v>
          </cell>
          <cell r="X136" t="str">
            <v>chi1966@nate.com</v>
          </cell>
          <cell r="Y136">
            <v>45954</v>
          </cell>
          <cell r="Z136">
            <v>200000</v>
          </cell>
          <cell r="AA136">
            <v>400000</v>
          </cell>
          <cell r="AC136">
            <v>600000</v>
          </cell>
          <cell r="AD136">
            <v>45979</v>
          </cell>
          <cell r="AE136">
            <v>200000</v>
          </cell>
          <cell r="AF136">
            <v>46009</v>
          </cell>
          <cell r="AG136">
            <v>400000</v>
          </cell>
          <cell r="AH136">
            <v>600000</v>
          </cell>
        </row>
        <row r="137">
          <cell r="W137" t="str">
            <v>H0272</v>
          </cell>
          <cell r="X137" t="str">
            <v>taeho.ahn@smlinescon.co.kr</v>
          </cell>
          <cell r="Y137">
            <v>45992</v>
          </cell>
          <cell r="Z137">
            <v>5100000</v>
          </cell>
          <cell r="AA137">
            <v>0</v>
          </cell>
          <cell r="AC137">
            <v>5100000</v>
          </cell>
          <cell r="AD137">
            <v>46021</v>
          </cell>
          <cell r="AE137">
            <v>5100000</v>
          </cell>
          <cell r="AF137" t="str">
            <v>국고 X</v>
          </cell>
          <cell r="AH137">
            <v>5100000</v>
          </cell>
        </row>
        <row r="138">
          <cell r="W138" t="str">
            <v>H0391</v>
          </cell>
          <cell r="X138" t="str">
            <v>yujk53@hanmail.net</v>
          </cell>
          <cell r="Y138">
            <v>45966</v>
          </cell>
          <cell r="Z138">
            <v>200000</v>
          </cell>
          <cell r="AA138">
            <v>400000</v>
          </cell>
          <cell r="AC138">
            <v>600000</v>
          </cell>
          <cell r="AD138">
            <v>45995</v>
          </cell>
          <cell r="AE138">
            <v>200000</v>
          </cell>
          <cell r="AH138">
            <v>200000</v>
          </cell>
        </row>
        <row r="139">
          <cell r="W139" t="str">
            <v>H0274</v>
          </cell>
          <cell r="X139" t="str">
            <v>hanmiacc4141@daum.net</v>
          </cell>
          <cell r="Y139">
            <v>45994</v>
          </cell>
          <cell r="Z139">
            <v>700000</v>
          </cell>
          <cell r="AA139">
            <v>0</v>
          </cell>
          <cell r="AC139">
            <v>700000</v>
          </cell>
          <cell r="AD139">
            <v>45999</v>
          </cell>
          <cell r="AE139">
            <v>700000</v>
          </cell>
          <cell r="AF139" t="str">
            <v>국고 X</v>
          </cell>
          <cell r="AH139">
            <v>700000</v>
          </cell>
        </row>
        <row r="140">
          <cell r="W140" t="str">
            <v>H0371</v>
          </cell>
          <cell r="X140" t="str">
            <v>LEOPLE@hometax.go.kr</v>
          </cell>
          <cell r="Y140">
            <v>45985</v>
          </cell>
          <cell r="Z140">
            <v>700000</v>
          </cell>
          <cell r="AA140">
            <v>0</v>
          </cell>
          <cell r="AC140">
            <v>700000</v>
          </cell>
          <cell r="AD140">
            <v>45999</v>
          </cell>
          <cell r="AE140">
            <v>700000</v>
          </cell>
          <cell r="AF140" t="str">
            <v>국고 X</v>
          </cell>
          <cell r="AH140">
            <v>700000</v>
          </cell>
        </row>
        <row r="141">
          <cell r="W141" t="str">
            <v>H0263</v>
          </cell>
          <cell r="X141" t="str">
            <v>gjmc1111@naver.com</v>
          </cell>
          <cell r="Y141">
            <v>46007</v>
          </cell>
          <cell r="Z141">
            <v>2000000</v>
          </cell>
          <cell r="AA141">
            <v>0</v>
          </cell>
          <cell r="AC141">
            <v>2000000</v>
          </cell>
          <cell r="AF141" t="str">
            <v>국고 X</v>
          </cell>
          <cell r="AH141">
            <v>0</v>
          </cell>
        </row>
        <row r="142">
          <cell r="W142" t="str">
            <v>H0136</v>
          </cell>
          <cell r="X142" t="str">
            <v>darkox0063@naver.com</v>
          </cell>
          <cell r="Y142">
            <v>45994</v>
          </cell>
          <cell r="Z142">
            <v>200000</v>
          </cell>
          <cell r="AA142">
            <v>400000</v>
          </cell>
          <cell r="AC142">
            <v>600000</v>
          </cell>
          <cell r="AH142">
            <v>0</v>
          </cell>
        </row>
        <row r="143">
          <cell r="W143" t="str">
            <v>H0114</v>
          </cell>
          <cell r="X143" t="str">
            <v>a39445236@gmail.com</v>
          </cell>
          <cell r="Y143">
            <v>45994</v>
          </cell>
          <cell r="Z143">
            <v>200000</v>
          </cell>
          <cell r="AA143">
            <v>400000</v>
          </cell>
          <cell r="AC143">
            <v>600000</v>
          </cell>
          <cell r="AH143">
            <v>0</v>
          </cell>
        </row>
        <row r="144">
          <cell r="W144" t="str">
            <v>H0319</v>
          </cell>
          <cell r="X144" t="str">
            <v>hs.kwon@hydroli.co.kr</v>
          </cell>
          <cell r="Y144">
            <v>46013</v>
          </cell>
          <cell r="Z144">
            <v>1700000</v>
          </cell>
          <cell r="AA144">
            <v>0</v>
          </cell>
          <cell r="AC144">
            <v>1700000</v>
          </cell>
          <cell r="AF144" t="str">
            <v>국고 X</v>
          </cell>
          <cell r="AH144">
            <v>0</v>
          </cell>
        </row>
        <row r="145">
          <cell r="W145" t="str">
            <v>H0421</v>
          </cell>
          <cell r="X145">
            <v>0</v>
          </cell>
          <cell r="Y145" t="str">
            <v>국고 전액</v>
          </cell>
          <cell r="Z145">
            <v>0</v>
          </cell>
          <cell r="AA145">
            <v>981880</v>
          </cell>
          <cell r="AC145">
            <v>981880</v>
          </cell>
          <cell r="AH145">
            <v>0</v>
          </cell>
        </row>
        <row r="146">
          <cell r="W146" t="str">
            <v>H0218</v>
          </cell>
          <cell r="X146" t="str">
            <v>kjhd00@gmail.com</v>
          </cell>
          <cell r="Z146">
            <v>700000</v>
          </cell>
          <cell r="AA146">
            <v>0</v>
          </cell>
          <cell r="AC146">
            <v>700000</v>
          </cell>
          <cell r="AF146" t="str">
            <v>국고 X</v>
          </cell>
          <cell r="AH146">
            <v>0</v>
          </cell>
        </row>
        <row r="147">
          <cell r="W147" t="str">
            <v>H0277</v>
          </cell>
          <cell r="X147" t="str">
            <v>sunjinsuchul@hometax.go.kr</v>
          </cell>
          <cell r="Y147">
            <v>46009</v>
          </cell>
          <cell r="Z147">
            <v>1650000</v>
          </cell>
          <cell r="AA147">
            <v>0</v>
          </cell>
          <cell r="AC147">
            <v>1650000</v>
          </cell>
          <cell r="AD147">
            <v>46020</v>
          </cell>
          <cell r="AE147">
            <v>1650000</v>
          </cell>
          <cell r="AF147" t="str">
            <v>국고 X</v>
          </cell>
          <cell r="AH147">
            <v>1650000</v>
          </cell>
        </row>
        <row r="148">
          <cell r="W148" t="str">
            <v>H0235</v>
          </cell>
          <cell r="X148" t="str">
            <v>syeng92@hanmail.net</v>
          </cell>
          <cell r="Y148">
            <v>46010</v>
          </cell>
          <cell r="Z148">
            <v>1000000</v>
          </cell>
          <cell r="AA148">
            <v>400000</v>
          </cell>
          <cell r="AC148">
            <v>1400000</v>
          </cell>
          <cell r="AH148">
            <v>0</v>
          </cell>
        </row>
        <row r="149">
          <cell r="W149" t="str">
            <v>H0426</v>
          </cell>
          <cell r="X149">
            <v>0</v>
          </cell>
          <cell r="Z149">
            <v>1350000</v>
          </cell>
          <cell r="AA149">
            <v>0</v>
          </cell>
          <cell r="AC149">
            <v>1350000</v>
          </cell>
          <cell r="AF149" t="str">
            <v>국고 X</v>
          </cell>
          <cell r="AH149">
            <v>0</v>
          </cell>
        </row>
        <row r="150">
          <cell r="W150" t="str">
            <v>H0428</v>
          </cell>
          <cell r="X150">
            <v>0</v>
          </cell>
          <cell r="Y150" t="str">
            <v>국고 전액</v>
          </cell>
          <cell r="Z150">
            <v>0</v>
          </cell>
          <cell r="AA150">
            <v>572090</v>
          </cell>
          <cell r="AC150">
            <v>572090</v>
          </cell>
          <cell r="AH150">
            <v>0</v>
          </cell>
        </row>
      </sheetData>
      <sheetData sheetId="10"/>
      <sheetData sheetId="11">
        <row r="3">
          <cell r="W3" t="str">
            <v>H0294</v>
          </cell>
          <cell r="X3" t="str">
            <v>willggg@naturalsolution.co.kr</v>
          </cell>
          <cell r="Y3">
            <v>45890</v>
          </cell>
          <cell r="Z3">
            <v>2500000</v>
          </cell>
          <cell r="AA3">
            <v>0</v>
          </cell>
          <cell r="AC3">
            <v>2500000</v>
          </cell>
          <cell r="AD3">
            <v>45898</v>
          </cell>
          <cell r="AE3">
            <v>2500000</v>
          </cell>
          <cell r="AF3" t="str">
            <v>국고 X</v>
          </cell>
          <cell r="AH3">
            <v>2500000</v>
          </cell>
        </row>
        <row r="4">
          <cell r="W4" t="str">
            <v>H0293</v>
          </cell>
          <cell r="X4" t="str">
            <v>willggg@naturalsolution.co.kr</v>
          </cell>
          <cell r="Y4">
            <v>45890</v>
          </cell>
          <cell r="Z4">
            <v>1400000</v>
          </cell>
          <cell r="AA4">
            <v>400000</v>
          </cell>
          <cell r="AC4">
            <v>1800000</v>
          </cell>
          <cell r="AD4">
            <v>45898</v>
          </cell>
          <cell r="AE4">
            <v>1400000</v>
          </cell>
          <cell r="AF4">
            <v>45944</v>
          </cell>
          <cell r="AG4">
            <v>400000</v>
          </cell>
          <cell r="AH4">
            <v>1800000</v>
          </cell>
        </row>
        <row r="5">
          <cell r="W5" t="str">
            <v>H0227</v>
          </cell>
          <cell r="X5" t="str">
            <v>gy5230@naver.com</v>
          </cell>
          <cell r="Y5">
            <v>45994</v>
          </cell>
          <cell r="Z5">
            <v>500000</v>
          </cell>
          <cell r="AA5">
            <v>0</v>
          </cell>
          <cell r="AC5">
            <v>500000</v>
          </cell>
          <cell r="AD5">
            <v>46017</v>
          </cell>
          <cell r="AE5">
            <v>500000</v>
          </cell>
          <cell r="AF5" t="str">
            <v>국고 X</v>
          </cell>
          <cell r="AH5">
            <v>500000</v>
          </cell>
        </row>
        <row r="6">
          <cell r="W6" t="str">
            <v>H0404</v>
          </cell>
          <cell r="X6" t="str">
            <v>hosan01@nate.com</v>
          </cell>
          <cell r="Y6">
            <v>45972</v>
          </cell>
          <cell r="Z6">
            <v>400000</v>
          </cell>
          <cell r="AA6">
            <v>1000000</v>
          </cell>
          <cell r="AC6">
            <v>1400000</v>
          </cell>
          <cell r="AD6">
            <v>45978</v>
          </cell>
          <cell r="AE6">
            <v>400000</v>
          </cell>
          <cell r="AF6">
            <v>46009</v>
          </cell>
          <cell r="AG6">
            <v>1000000</v>
          </cell>
          <cell r="AH6">
            <v>1400000</v>
          </cell>
        </row>
        <row r="7">
          <cell r="W7" t="str">
            <v>H0365</v>
          </cell>
          <cell r="X7" t="str">
            <v>ssw3147@nate.com</v>
          </cell>
          <cell r="Y7">
            <v>45989</v>
          </cell>
          <cell r="Z7">
            <v>600000</v>
          </cell>
          <cell r="AA7">
            <v>0</v>
          </cell>
          <cell r="AC7">
            <v>600000</v>
          </cell>
          <cell r="AD7">
            <v>45992</v>
          </cell>
          <cell r="AE7">
            <v>600000</v>
          </cell>
          <cell r="AF7" t="str">
            <v>국고 X</v>
          </cell>
          <cell r="AH7">
            <v>600000</v>
          </cell>
        </row>
        <row r="8">
          <cell r="W8" t="str">
            <v>H0254</v>
          </cell>
          <cell r="X8" t="str">
            <v>나라장터</v>
          </cell>
          <cell r="Y8">
            <v>46001</v>
          </cell>
          <cell r="Z8">
            <v>3400000</v>
          </cell>
          <cell r="AA8">
            <v>0</v>
          </cell>
          <cell r="AC8">
            <v>3400000</v>
          </cell>
          <cell r="AD8">
            <v>46007</v>
          </cell>
          <cell r="AE8">
            <v>3400000</v>
          </cell>
          <cell r="AF8" t="str">
            <v>국고 X</v>
          </cell>
          <cell r="AH8">
            <v>3400000</v>
          </cell>
        </row>
        <row r="9">
          <cell r="W9" t="str">
            <v>H0343</v>
          </cell>
          <cell r="X9" t="str">
            <v>ava.lee@nylacast.com
Yena.Kim@nylacast.com</v>
          </cell>
          <cell r="Y9">
            <v>46000</v>
          </cell>
          <cell r="Z9">
            <v>1300000</v>
          </cell>
          <cell r="AA9">
            <v>400000</v>
          </cell>
          <cell r="AC9">
            <v>1700000</v>
          </cell>
          <cell r="AD9">
            <v>46010</v>
          </cell>
          <cell r="AE9">
            <v>1300000</v>
          </cell>
          <cell r="AH9">
            <v>1300000</v>
          </cell>
        </row>
        <row r="10">
          <cell r="W10" t="str">
            <v>H0388</v>
          </cell>
          <cell r="X10" t="str">
            <v>sju04093@kdiwin.com</v>
          </cell>
          <cell r="Z10">
            <v>500000</v>
          </cell>
          <cell r="AA10">
            <v>0</v>
          </cell>
          <cell r="AC10">
            <v>500000</v>
          </cell>
          <cell r="AD10">
            <v>46013</v>
          </cell>
          <cell r="AF10" t="str">
            <v>국고 X</v>
          </cell>
          <cell r="AH10">
            <v>0</v>
          </cell>
        </row>
        <row r="11">
          <cell r="W11" t="str">
            <v>H0232</v>
          </cell>
          <cell r="X11" t="str">
            <v>tjryu@cau.ac.kr</v>
          </cell>
          <cell r="Z11">
            <v>3000000</v>
          </cell>
          <cell r="AA11">
            <v>0</v>
          </cell>
          <cell r="AC11">
            <v>3000000</v>
          </cell>
          <cell r="AF11" t="str">
            <v>국고 X</v>
          </cell>
          <cell r="AH11">
            <v>0</v>
          </cell>
        </row>
      </sheetData>
      <sheetData sheetId="12"/>
      <sheetData sheetId="13">
        <row r="3">
          <cell r="X3" t="str">
            <v>H0127</v>
          </cell>
          <cell r="Y3" t="str">
            <v>sty2355@daum.net</v>
          </cell>
          <cell r="Z3">
            <v>45974</v>
          </cell>
          <cell r="AA3">
            <v>700000</v>
          </cell>
          <cell r="AB3">
            <v>0</v>
          </cell>
          <cell r="AD3">
            <v>700000</v>
          </cell>
          <cell r="AE3">
            <v>45980</v>
          </cell>
          <cell r="AF3">
            <v>700000</v>
          </cell>
          <cell r="AG3" t="str">
            <v>국고 X</v>
          </cell>
          <cell r="AI3">
            <v>700000</v>
          </cell>
        </row>
        <row r="4">
          <cell r="X4" t="str">
            <v>H0356</v>
          </cell>
          <cell r="Y4" t="str">
            <v>tymc1012@tymc.kr</v>
          </cell>
          <cell r="Z4">
            <v>45974</v>
          </cell>
          <cell r="AA4">
            <v>300000</v>
          </cell>
          <cell r="AB4">
            <v>400000</v>
          </cell>
          <cell r="AD4">
            <v>700000</v>
          </cell>
          <cell r="AG4">
            <v>45975</v>
          </cell>
          <cell r="AH4">
            <v>400000</v>
          </cell>
          <cell r="AI4">
            <v>400000</v>
          </cell>
        </row>
        <row r="5">
          <cell r="X5" t="str">
            <v>H0253</v>
          </cell>
          <cell r="Y5" t="str">
            <v>odm8684@naver.com</v>
          </cell>
          <cell r="Z5">
            <v>45957</v>
          </cell>
          <cell r="AA5">
            <v>500000</v>
          </cell>
          <cell r="AB5">
            <v>400000</v>
          </cell>
          <cell r="AD5">
            <v>900000</v>
          </cell>
          <cell r="AG5">
            <v>45975</v>
          </cell>
          <cell r="AH5">
            <v>400000</v>
          </cell>
          <cell r="AI5">
            <v>400000</v>
          </cell>
        </row>
        <row r="6">
          <cell r="X6" t="str">
            <v>H0160</v>
          </cell>
          <cell r="Y6" t="str">
            <v>hshan@daeseung.me</v>
          </cell>
          <cell r="Z6">
            <v>45925</v>
          </cell>
          <cell r="AA6">
            <v>400000</v>
          </cell>
          <cell r="AB6">
            <v>400000</v>
          </cell>
          <cell r="AD6">
            <v>800000</v>
          </cell>
          <cell r="AE6">
            <v>45925</v>
          </cell>
          <cell r="AF6">
            <v>400000</v>
          </cell>
          <cell r="AG6">
            <v>45975</v>
          </cell>
          <cell r="AH6">
            <v>400000</v>
          </cell>
          <cell r="AI6">
            <v>800000</v>
          </cell>
        </row>
        <row r="7">
          <cell r="X7" t="str">
            <v>H0159</v>
          </cell>
          <cell r="Y7" t="str">
            <v>hshan@daeseung.me</v>
          </cell>
          <cell r="Z7">
            <v>45925</v>
          </cell>
          <cell r="AA7">
            <v>500000</v>
          </cell>
          <cell r="AB7">
            <v>400000</v>
          </cell>
          <cell r="AD7">
            <v>900000</v>
          </cell>
          <cell r="AE7">
            <v>45925</v>
          </cell>
          <cell r="AF7">
            <v>500000</v>
          </cell>
          <cell r="AG7">
            <v>45975</v>
          </cell>
          <cell r="AH7">
            <v>400000</v>
          </cell>
          <cell r="AI7">
            <v>900000</v>
          </cell>
        </row>
        <row r="8">
          <cell r="X8" t="str">
            <v>H0244</v>
          </cell>
          <cell r="Y8" t="str">
            <v>hshan@daeseung.me</v>
          </cell>
          <cell r="Z8">
            <v>45925</v>
          </cell>
          <cell r="AA8">
            <v>200000</v>
          </cell>
          <cell r="AB8">
            <v>400000</v>
          </cell>
          <cell r="AD8">
            <v>600000</v>
          </cell>
          <cell r="AE8">
            <v>45925</v>
          </cell>
          <cell r="AF8">
            <v>200000</v>
          </cell>
          <cell r="AG8">
            <v>45975</v>
          </cell>
          <cell r="AH8">
            <v>400000</v>
          </cell>
          <cell r="AI8">
            <v>600000</v>
          </cell>
        </row>
        <row r="9">
          <cell r="X9" t="str">
            <v>H0266</v>
          </cell>
          <cell r="Y9">
            <v>0</v>
          </cell>
          <cell r="Z9" t="str">
            <v>국고 전액</v>
          </cell>
          <cell r="AA9">
            <v>0</v>
          </cell>
          <cell r="AB9">
            <v>339430</v>
          </cell>
          <cell r="AD9">
            <v>339430</v>
          </cell>
          <cell r="AG9">
            <v>45953</v>
          </cell>
          <cell r="AH9">
            <v>339430</v>
          </cell>
          <cell r="AI9">
            <v>339430</v>
          </cell>
        </row>
        <row r="10">
          <cell r="X10" t="str">
            <v>H0300</v>
          </cell>
          <cell r="Y10" t="str">
            <v>knk3@knknara.co.kr</v>
          </cell>
          <cell r="Z10">
            <v>45957</v>
          </cell>
          <cell r="AA10">
            <v>1200000</v>
          </cell>
          <cell r="AB10">
            <v>0</v>
          </cell>
          <cell r="AD10">
            <v>1200000</v>
          </cell>
          <cell r="AE10">
            <v>45957</v>
          </cell>
          <cell r="AF10">
            <v>1200000</v>
          </cell>
          <cell r="AG10" t="str">
            <v>국고 X</v>
          </cell>
          <cell r="AI10">
            <v>1200000</v>
          </cell>
        </row>
        <row r="11">
          <cell r="X11" t="str">
            <v>H0412</v>
          </cell>
          <cell r="Y11">
            <v>0</v>
          </cell>
          <cell r="Z11" t="str">
            <v>국고 전액</v>
          </cell>
          <cell r="AA11">
            <v>0</v>
          </cell>
          <cell r="AB11">
            <v>458090</v>
          </cell>
          <cell r="AD11">
            <v>458090</v>
          </cell>
          <cell r="AG11">
            <v>45975</v>
          </cell>
          <cell r="AH11">
            <v>458090</v>
          </cell>
          <cell r="AI11">
            <v>458090</v>
          </cell>
        </row>
        <row r="12">
          <cell r="X12" t="str">
            <v>H0279</v>
          </cell>
          <cell r="Y12" t="str">
            <v>jonghpark@leehan.com</v>
          </cell>
          <cell r="Z12">
            <v>45995</v>
          </cell>
          <cell r="AA12">
            <v>1200000</v>
          </cell>
          <cell r="AB12">
            <v>0</v>
          </cell>
          <cell r="AD12">
            <v>1200000</v>
          </cell>
          <cell r="AE12">
            <v>46022</v>
          </cell>
          <cell r="AF12">
            <v>1200000</v>
          </cell>
          <cell r="AG12" t="str">
            <v>국고 X</v>
          </cell>
          <cell r="AI12">
            <v>1200000</v>
          </cell>
        </row>
        <row r="13">
          <cell r="X13" t="str">
            <v>H0392</v>
          </cell>
          <cell r="Y13" t="str">
            <v>jeongeun.lee@mks.com</v>
          </cell>
          <cell r="Z13">
            <v>46010</v>
          </cell>
          <cell r="AA13">
            <v>3850000</v>
          </cell>
          <cell r="AB13">
            <v>0</v>
          </cell>
          <cell r="AD13">
            <v>3850000</v>
          </cell>
          <cell r="AG13" t="str">
            <v>국고 X</v>
          </cell>
          <cell r="AI13">
            <v>0</v>
          </cell>
        </row>
        <row r="14">
          <cell r="X14" t="str">
            <v>H0383</v>
          </cell>
          <cell r="Y14" t="str">
            <v>jsmc526@daum.net</v>
          </cell>
          <cell r="Z14" t="str">
            <v>26년1월6일</v>
          </cell>
          <cell r="AA14">
            <v>800000</v>
          </cell>
          <cell r="AB14">
            <v>0</v>
          </cell>
          <cell r="AD14">
            <v>800000</v>
          </cell>
          <cell r="AE14">
            <v>46029</v>
          </cell>
          <cell r="AF14">
            <v>800000</v>
          </cell>
          <cell r="AG14" t="str">
            <v>국고 X</v>
          </cell>
          <cell r="AI14">
            <v>800000</v>
          </cell>
        </row>
        <row r="15">
          <cell r="X15" t="str">
            <v>H0381</v>
          </cell>
          <cell r="Y15" t="str">
            <v>ust@ust.co</v>
          </cell>
          <cell r="Z15">
            <v>46020</v>
          </cell>
          <cell r="AA15">
            <v>1000000</v>
          </cell>
          <cell r="AB15">
            <v>0</v>
          </cell>
          <cell r="AD15">
            <v>1000000</v>
          </cell>
          <cell r="AE15">
            <v>46020</v>
          </cell>
          <cell r="AF15">
            <v>1000000</v>
          </cell>
          <cell r="AG15" t="str">
            <v>국고 X</v>
          </cell>
          <cell r="AI15">
            <v>1000000</v>
          </cell>
        </row>
        <row r="16">
          <cell r="X16" t="str">
            <v>H0304</v>
          </cell>
          <cell r="Y16" t="str">
            <v>tax@solardin.com</v>
          </cell>
          <cell r="Z16">
            <v>46008</v>
          </cell>
          <cell r="AA16">
            <v>2500000</v>
          </cell>
          <cell r="AB16">
            <v>0</v>
          </cell>
          <cell r="AD16">
            <v>2500000</v>
          </cell>
          <cell r="AG16" t="str">
            <v>국고 X</v>
          </cell>
          <cell r="AI16">
            <v>0</v>
          </cell>
        </row>
        <row r="17">
          <cell r="X17" t="str">
            <v>H0427</v>
          </cell>
          <cell r="Y17" t="str">
            <v>ympz1013@gmail.com</v>
          </cell>
          <cell r="AA17">
            <v>900000</v>
          </cell>
          <cell r="AB17">
            <v>0</v>
          </cell>
          <cell r="AD17">
            <v>900000</v>
          </cell>
          <cell r="AG17" t="str">
            <v>국고 X</v>
          </cell>
          <cell r="AI17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4BEC-A7E0-4B6D-A6C9-8C4F9A98897A}">
  <sheetPr>
    <tabColor theme="5" tint="-0.249977111117893"/>
  </sheetPr>
  <dimension ref="A1:AM291"/>
  <sheetViews>
    <sheetView tabSelected="1" zoomScale="85" zoomScaleNormal="85" workbookViewId="0">
      <pane ySplit="2" topLeftCell="A266" activePane="bottomLeft" state="frozen"/>
      <selection activeCell="C290" sqref="C290"/>
      <selection pane="bottomLeft" activeCell="D287" sqref="D287"/>
    </sheetView>
  </sheetViews>
  <sheetFormatPr defaultRowHeight="17.25" x14ac:dyDescent="0.3"/>
  <cols>
    <col min="1" max="3" width="12.125" style="3" customWidth="1"/>
    <col min="4" max="4" width="37.875" style="3" bestFit="1" customWidth="1"/>
    <col min="5" max="5" width="7" style="3" customWidth="1"/>
    <col min="6" max="6" width="14.375" style="3" customWidth="1"/>
    <col min="7" max="7" width="9.75" style="12" bestFit="1" customWidth="1"/>
    <col min="8" max="8" width="16.625" style="12" bestFit="1" customWidth="1"/>
    <col min="9" max="10" width="14.375" style="3" customWidth="1"/>
    <col min="11" max="11" width="12.125" style="3" customWidth="1"/>
    <col min="12" max="12" width="17.75" style="3" customWidth="1"/>
    <col min="13" max="13" width="16.75" style="3" bestFit="1" customWidth="1"/>
    <col min="14" max="14" width="29" style="3" customWidth="1"/>
    <col min="15" max="15" width="12.125" style="3" customWidth="1"/>
    <col min="16" max="18" width="17.75" style="3" customWidth="1"/>
    <col min="19" max="19" width="14.375" style="3" customWidth="1"/>
    <col min="20" max="20" width="88.625" style="3" bestFit="1" customWidth="1"/>
    <col min="21" max="23" width="17.75" style="3" customWidth="1"/>
    <col min="24" max="24" width="14.375" style="3" customWidth="1"/>
    <col min="25" max="25" width="17.75" style="3" customWidth="1"/>
    <col min="26" max="26" width="29" style="3" customWidth="1"/>
    <col min="27" max="27" width="14.375" style="3" customWidth="1"/>
    <col min="28" max="28" width="17.75" style="3" customWidth="1"/>
    <col min="29" max="29" width="29" style="3" customWidth="1"/>
    <col min="30" max="34" width="17.75" style="3" customWidth="1"/>
    <col min="35" max="35" width="14.375" style="3" customWidth="1"/>
    <col min="36" max="36" width="17.75" style="3" customWidth="1"/>
    <col min="37" max="37" width="14.375" style="3" customWidth="1"/>
    <col min="38" max="38" width="17.75" style="3" customWidth="1"/>
    <col min="39" max="39" width="34.625" style="3" customWidth="1"/>
    <col min="40" max="16384" width="9" style="3"/>
  </cols>
  <sheetData>
    <row r="1" spans="1:39" x14ac:dyDescent="0.3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  <c r="V1" s="3">
        <v>22</v>
      </c>
      <c r="W1" s="3">
        <v>23</v>
      </c>
      <c r="X1" s="3">
        <v>24</v>
      </c>
      <c r="Y1" s="3">
        <v>25</v>
      </c>
      <c r="Z1" s="3">
        <v>26</v>
      </c>
      <c r="AA1" s="3">
        <v>27</v>
      </c>
      <c r="AB1" s="3">
        <v>28</v>
      </c>
      <c r="AC1" s="3">
        <v>29</v>
      </c>
      <c r="AD1" s="3">
        <v>30</v>
      </c>
      <c r="AE1" s="3">
        <v>31</v>
      </c>
      <c r="AF1" s="3">
        <v>32</v>
      </c>
      <c r="AG1" s="3">
        <v>33</v>
      </c>
      <c r="AH1" s="3">
        <v>34</v>
      </c>
      <c r="AI1" s="3">
        <v>35</v>
      </c>
      <c r="AJ1" s="3">
        <v>36</v>
      </c>
      <c r="AK1" s="3">
        <v>37</v>
      </c>
      <c r="AL1" s="3">
        <v>38</v>
      </c>
      <c r="AM1" s="3">
        <v>39</v>
      </c>
    </row>
    <row r="2" spans="1:3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</row>
    <row r="3" spans="1:39" x14ac:dyDescent="0.3">
      <c r="A3" s="4" t="s">
        <v>39</v>
      </c>
      <c r="B3" s="5">
        <v>2025</v>
      </c>
      <c r="C3" s="5" t="s">
        <v>40</v>
      </c>
      <c r="D3" s="5" t="s">
        <v>41</v>
      </c>
      <c r="E3" s="5" t="s">
        <v>42</v>
      </c>
      <c r="F3" s="6" t="s">
        <v>43</v>
      </c>
      <c r="G3" s="7">
        <v>1</v>
      </c>
      <c r="H3" s="7" t="s">
        <v>44</v>
      </c>
      <c r="I3" s="8">
        <v>45671</v>
      </c>
      <c r="J3" s="8">
        <v>45671</v>
      </c>
      <c r="K3" s="5" t="s">
        <v>45</v>
      </c>
      <c r="L3" s="5" t="s">
        <v>46</v>
      </c>
      <c r="M3" s="5" t="s">
        <v>42</v>
      </c>
      <c r="N3" s="5" t="s">
        <v>47</v>
      </c>
      <c r="O3" s="5">
        <v>622</v>
      </c>
      <c r="P3" s="5">
        <v>1208156184</v>
      </c>
      <c r="Q3" s="5">
        <v>12081561846</v>
      </c>
      <c r="R3" s="5" t="s">
        <v>48</v>
      </c>
      <c r="S3" s="5" t="s">
        <v>49</v>
      </c>
      <c r="T3" s="5" t="s">
        <v>50</v>
      </c>
      <c r="U3" s="5"/>
      <c r="V3" s="5"/>
      <c r="W3" s="5" t="s">
        <v>51</v>
      </c>
      <c r="X3" s="5" t="s">
        <v>52</v>
      </c>
      <c r="Y3" s="5" t="s">
        <v>53</v>
      </c>
      <c r="Z3" s="5" t="s">
        <v>54</v>
      </c>
      <c r="AA3" s="8">
        <v>45700</v>
      </c>
      <c r="AB3" s="5" t="s">
        <v>46</v>
      </c>
      <c r="AC3" s="5" t="s">
        <v>55</v>
      </c>
      <c r="AD3" s="8">
        <v>45700</v>
      </c>
      <c r="AE3" s="5">
        <v>800000</v>
      </c>
      <c r="AF3" s="5">
        <v>800000</v>
      </c>
      <c r="AG3" s="5">
        <v>0</v>
      </c>
      <c r="AH3" s="5">
        <v>800000</v>
      </c>
      <c r="AI3" s="8">
        <v>45713</v>
      </c>
      <c r="AJ3" s="5">
        <v>800000</v>
      </c>
      <c r="AK3" s="9" t="s">
        <v>56</v>
      </c>
      <c r="AL3" s="5">
        <v>0</v>
      </c>
      <c r="AM3" s="5"/>
    </row>
    <row r="4" spans="1:39" x14ac:dyDescent="0.3">
      <c r="A4" s="4" t="s">
        <v>57</v>
      </c>
      <c r="B4" s="5">
        <v>2025</v>
      </c>
      <c r="C4" s="5" t="s">
        <v>40</v>
      </c>
      <c r="D4" s="5" t="s">
        <v>58</v>
      </c>
      <c r="E4" s="5" t="s">
        <v>42</v>
      </c>
      <c r="F4" s="6" t="s">
        <v>59</v>
      </c>
      <c r="G4" s="7">
        <v>2</v>
      </c>
      <c r="H4" s="7" t="s">
        <v>60</v>
      </c>
      <c r="I4" s="8">
        <v>45680</v>
      </c>
      <c r="J4" s="8">
        <v>45680</v>
      </c>
      <c r="K4" s="5"/>
      <c r="L4" s="5" t="s">
        <v>61</v>
      </c>
      <c r="M4" s="5" t="s">
        <v>42</v>
      </c>
      <c r="N4" s="5" t="s">
        <v>62</v>
      </c>
      <c r="O4" s="5">
        <v>17</v>
      </c>
      <c r="P4" s="5">
        <v>7358600094</v>
      </c>
      <c r="Q4" s="5">
        <v>73586000946</v>
      </c>
      <c r="R4" s="5" t="s">
        <v>63</v>
      </c>
      <c r="S4" s="5"/>
      <c r="T4" s="5" t="s">
        <v>64</v>
      </c>
      <c r="U4" s="5"/>
      <c r="V4" s="5"/>
      <c r="W4" s="5" t="s">
        <v>65</v>
      </c>
      <c r="X4" s="5" t="s">
        <v>66</v>
      </c>
      <c r="Y4" s="5" t="s">
        <v>67</v>
      </c>
      <c r="Z4" s="5" t="s">
        <v>68</v>
      </c>
      <c r="AA4" s="8">
        <v>45701</v>
      </c>
      <c r="AB4" s="5" t="s">
        <v>61</v>
      </c>
      <c r="AC4" s="5" t="s">
        <v>68</v>
      </c>
      <c r="AD4" s="8" t="s">
        <v>69</v>
      </c>
      <c r="AE4" s="5">
        <v>991350</v>
      </c>
      <c r="AF4" s="5">
        <v>0</v>
      </c>
      <c r="AG4" s="5">
        <v>991350</v>
      </c>
      <c r="AH4" s="5">
        <v>991350</v>
      </c>
      <c r="AI4" s="8" t="s">
        <v>69</v>
      </c>
      <c r="AJ4" s="5">
        <v>0</v>
      </c>
      <c r="AK4" s="9">
        <v>45727</v>
      </c>
      <c r="AL4" s="5">
        <v>991350</v>
      </c>
      <c r="AM4" s="5"/>
    </row>
    <row r="5" spans="1:39" x14ac:dyDescent="0.3">
      <c r="A5" s="4" t="s">
        <v>70</v>
      </c>
      <c r="B5" s="5">
        <v>2025</v>
      </c>
      <c r="C5" s="5" t="s">
        <v>40</v>
      </c>
      <c r="D5" s="5" t="s">
        <v>71</v>
      </c>
      <c r="E5" s="5" t="s">
        <v>42</v>
      </c>
      <c r="F5" s="6" t="s">
        <v>72</v>
      </c>
      <c r="G5" s="7">
        <v>3</v>
      </c>
      <c r="H5" s="7" t="s">
        <v>60</v>
      </c>
      <c r="I5" s="8">
        <v>45692</v>
      </c>
      <c r="J5" s="8">
        <v>45692</v>
      </c>
      <c r="K5" s="5"/>
      <c r="L5" s="5" t="s">
        <v>73</v>
      </c>
      <c r="M5" s="5" t="s">
        <v>42</v>
      </c>
      <c r="N5" s="5" t="s">
        <v>74</v>
      </c>
      <c r="O5" s="5">
        <v>3</v>
      </c>
      <c r="P5" s="5">
        <v>3128609757</v>
      </c>
      <c r="Q5" s="5">
        <v>31286097570</v>
      </c>
      <c r="R5" s="5" t="s">
        <v>75</v>
      </c>
      <c r="S5" s="5"/>
      <c r="T5" s="5" t="s">
        <v>76</v>
      </c>
      <c r="U5" s="5" t="s">
        <v>77</v>
      </c>
      <c r="V5" s="5" t="s">
        <v>77</v>
      </c>
      <c r="W5" s="5" t="s">
        <v>75</v>
      </c>
      <c r="X5" s="5" t="s">
        <v>78</v>
      </c>
      <c r="Y5" s="5" t="s">
        <v>79</v>
      </c>
      <c r="Z5" s="5" t="s">
        <v>80</v>
      </c>
      <c r="AA5" s="8">
        <v>45715</v>
      </c>
      <c r="AB5" s="5" t="s">
        <v>73</v>
      </c>
      <c r="AC5" s="5" t="s">
        <v>80</v>
      </c>
      <c r="AD5" s="8" t="s">
        <v>69</v>
      </c>
      <c r="AE5" s="5">
        <v>400000</v>
      </c>
      <c r="AF5" s="5">
        <v>0</v>
      </c>
      <c r="AG5" s="5">
        <v>400000</v>
      </c>
      <c r="AH5" s="5">
        <v>400000</v>
      </c>
      <c r="AI5" s="8" t="s">
        <v>69</v>
      </c>
      <c r="AJ5" s="5">
        <v>0</v>
      </c>
      <c r="AK5" s="9">
        <v>45727</v>
      </c>
      <c r="AL5" s="5">
        <v>400000</v>
      </c>
      <c r="AM5" s="5"/>
    </row>
    <row r="6" spans="1:39" x14ac:dyDescent="0.3">
      <c r="A6" s="4" t="s">
        <v>81</v>
      </c>
      <c r="B6" s="5">
        <v>2025</v>
      </c>
      <c r="C6" s="5" t="s">
        <v>40</v>
      </c>
      <c r="D6" s="5" t="s">
        <v>58</v>
      </c>
      <c r="E6" s="5" t="s">
        <v>42</v>
      </c>
      <c r="F6" s="6" t="s">
        <v>82</v>
      </c>
      <c r="G6" s="7">
        <v>4</v>
      </c>
      <c r="H6" s="7" t="s">
        <v>83</v>
      </c>
      <c r="I6" s="8">
        <v>45694</v>
      </c>
      <c r="J6" s="8">
        <v>45694</v>
      </c>
      <c r="K6" s="5"/>
      <c r="L6" s="5" t="s">
        <v>46</v>
      </c>
      <c r="M6" s="5" t="s">
        <v>84</v>
      </c>
      <c r="N6" s="5" t="s">
        <v>85</v>
      </c>
      <c r="O6" s="5">
        <v>90</v>
      </c>
      <c r="P6" s="5">
        <v>6678803166</v>
      </c>
      <c r="Q6" s="5">
        <v>66788031666</v>
      </c>
      <c r="R6" s="5" t="s">
        <v>86</v>
      </c>
      <c r="S6" s="5"/>
      <c r="T6" s="5" t="s">
        <v>87</v>
      </c>
      <c r="U6" s="5"/>
      <c r="V6" s="5"/>
      <c r="W6" s="5" t="s">
        <v>88</v>
      </c>
      <c r="X6" s="5" t="s">
        <v>89</v>
      </c>
      <c r="Y6" s="5" t="s">
        <v>90</v>
      </c>
      <c r="Z6" s="5" t="s">
        <v>91</v>
      </c>
      <c r="AA6" s="8">
        <v>45712</v>
      </c>
      <c r="AB6" s="5" t="s">
        <v>46</v>
      </c>
      <c r="AC6" s="5" t="s">
        <v>91</v>
      </c>
      <c r="AD6" s="8">
        <v>45708</v>
      </c>
      <c r="AE6" s="5">
        <v>2400000</v>
      </c>
      <c r="AF6" s="5">
        <v>2400000</v>
      </c>
      <c r="AG6" s="5">
        <v>0</v>
      </c>
      <c r="AH6" s="5">
        <v>2400000</v>
      </c>
      <c r="AI6" s="8">
        <v>45722</v>
      </c>
      <c r="AJ6" s="5">
        <v>2400000</v>
      </c>
      <c r="AK6" s="9" t="s">
        <v>56</v>
      </c>
      <c r="AL6" s="5">
        <v>0</v>
      </c>
      <c r="AM6" s="5" t="s">
        <v>92</v>
      </c>
    </row>
    <row r="7" spans="1:39" x14ac:dyDescent="0.3">
      <c r="A7" s="4" t="s">
        <v>93</v>
      </c>
      <c r="B7" s="5">
        <v>2025</v>
      </c>
      <c r="C7" s="5" t="s">
        <v>40</v>
      </c>
      <c r="D7" s="5" t="s">
        <v>94</v>
      </c>
      <c r="E7" s="5" t="s">
        <v>42</v>
      </c>
      <c r="F7" s="6" t="s">
        <v>95</v>
      </c>
      <c r="G7" s="7">
        <v>5</v>
      </c>
      <c r="H7" s="7" t="s">
        <v>96</v>
      </c>
      <c r="I7" s="8">
        <v>45701</v>
      </c>
      <c r="J7" s="8">
        <v>45701</v>
      </c>
      <c r="K7" s="5"/>
      <c r="L7" s="5" t="s">
        <v>97</v>
      </c>
      <c r="M7" s="5" t="s">
        <v>42</v>
      </c>
      <c r="N7" s="5" t="s">
        <v>98</v>
      </c>
      <c r="O7" s="5">
        <v>6</v>
      </c>
      <c r="P7" s="5">
        <v>6912101853</v>
      </c>
      <c r="Q7" s="5">
        <v>69121018530</v>
      </c>
      <c r="R7" s="5" t="s">
        <v>99</v>
      </c>
      <c r="S7" s="5"/>
      <c r="T7" s="5" t="s">
        <v>100</v>
      </c>
      <c r="U7" s="5" t="s">
        <v>101</v>
      </c>
      <c r="V7" s="5" t="s">
        <v>101</v>
      </c>
      <c r="W7" s="5" t="s">
        <v>99</v>
      </c>
      <c r="X7" s="5" t="s">
        <v>78</v>
      </c>
      <c r="Y7" s="5" t="s">
        <v>102</v>
      </c>
      <c r="Z7" s="5" t="s">
        <v>103</v>
      </c>
      <c r="AA7" s="8">
        <v>45721</v>
      </c>
      <c r="AB7" s="5" t="s">
        <v>61</v>
      </c>
      <c r="AC7" s="5" t="s">
        <v>103</v>
      </c>
      <c r="AD7" s="8">
        <v>45723</v>
      </c>
      <c r="AE7" s="5">
        <v>750000</v>
      </c>
      <c r="AF7" s="5">
        <v>350000</v>
      </c>
      <c r="AG7" s="5">
        <v>400000</v>
      </c>
      <c r="AH7" s="5">
        <v>750000</v>
      </c>
      <c r="AI7" s="8">
        <v>45733</v>
      </c>
      <c r="AJ7" s="5">
        <v>350000</v>
      </c>
      <c r="AK7" s="9">
        <v>45727</v>
      </c>
      <c r="AL7" s="5">
        <v>400000</v>
      </c>
      <c r="AM7" s="5"/>
    </row>
    <row r="8" spans="1:39" x14ac:dyDescent="0.3">
      <c r="A8" s="4" t="s">
        <v>104</v>
      </c>
      <c r="B8" s="5">
        <v>2025</v>
      </c>
      <c r="C8" s="5" t="s">
        <v>40</v>
      </c>
      <c r="D8" s="5" t="s">
        <v>94</v>
      </c>
      <c r="E8" s="5" t="s">
        <v>42</v>
      </c>
      <c r="F8" s="6" t="s">
        <v>105</v>
      </c>
      <c r="G8" s="7">
        <v>6</v>
      </c>
      <c r="H8" s="7" t="s">
        <v>106</v>
      </c>
      <c r="I8" s="8">
        <v>45701</v>
      </c>
      <c r="J8" s="8">
        <v>45701</v>
      </c>
      <c r="K8" s="5"/>
      <c r="L8" s="5" t="s">
        <v>61</v>
      </c>
      <c r="M8" s="5" t="s">
        <v>42</v>
      </c>
      <c r="N8" s="5" t="s">
        <v>107</v>
      </c>
      <c r="O8" s="5">
        <v>27</v>
      </c>
      <c r="P8" s="5">
        <v>4488600924</v>
      </c>
      <c r="Q8" s="5">
        <v>44886009240</v>
      </c>
      <c r="R8" s="5" t="s">
        <v>108</v>
      </c>
      <c r="S8" s="5"/>
      <c r="T8" s="5" t="s">
        <v>109</v>
      </c>
      <c r="U8" s="5" t="s">
        <v>110</v>
      </c>
      <c r="V8" s="5" t="s">
        <v>110</v>
      </c>
      <c r="W8" s="5" t="s">
        <v>111</v>
      </c>
      <c r="X8" s="5" t="s">
        <v>112</v>
      </c>
      <c r="Y8" s="5" t="s">
        <v>113</v>
      </c>
      <c r="Z8" s="5" t="s">
        <v>114</v>
      </c>
      <c r="AA8" s="8">
        <v>45721</v>
      </c>
      <c r="AB8" s="5" t="s">
        <v>61</v>
      </c>
      <c r="AC8" s="5" t="s">
        <v>114</v>
      </c>
      <c r="AD8" s="8">
        <v>45723</v>
      </c>
      <c r="AE8" s="5">
        <v>850000</v>
      </c>
      <c r="AF8" s="5">
        <v>450000</v>
      </c>
      <c r="AG8" s="5">
        <v>400000</v>
      </c>
      <c r="AH8" s="5">
        <v>850000</v>
      </c>
      <c r="AI8" s="8">
        <v>45727</v>
      </c>
      <c r="AJ8" s="5">
        <v>450000</v>
      </c>
      <c r="AK8" s="9">
        <v>45727</v>
      </c>
      <c r="AL8" s="5">
        <v>400000</v>
      </c>
      <c r="AM8" s="5"/>
    </row>
    <row r="9" spans="1:39" x14ac:dyDescent="0.3">
      <c r="A9" s="4" t="s">
        <v>115</v>
      </c>
      <c r="B9" s="5">
        <v>2025</v>
      </c>
      <c r="C9" s="5" t="s">
        <v>40</v>
      </c>
      <c r="D9" s="5" t="s">
        <v>94</v>
      </c>
      <c r="E9" s="5" t="s">
        <v>42</v>
      </c>
      <c r="F9" s="6" t="s">
        <v>116</v>
      </c>
      <c r="G9" s="7">
        <v>7</v>
      </c>
      <c r="H9" s="7" t="s">
        <v>117</v>
      </c>
      <c r="I9" s="8">
        <v>45701</v>
      </c>
      <c r="J9" s="8">
        <v>45701</v>
      </c>
      <c r="K9" s="5"/>
      <c r="L9" s="5" t="s">
        <v>46</v>
      </c>
      <c r="M9" s="5" t="s">
        <v>42</v>
      </c>
      <c r="N9" s="5" t="s">
        <v>118</v>
      </c>
      <c r="O9" s="5">
        <v>14</v>
      </c>
      <c r="P9" s="5">
        <v>1798700118</v>
      </c>
      <c r="Q9" s="5">
        <v>17987001180</v>
      </c>
      <c r="R9" s="5" t="s">
        <v>119</v>
      </c>
      <c r="S9" s="5"/>
      <c r="T9" s="5" t="s">
        <v>120</v>
      </c>
      <c r="U9" s="5" t="s">
        <v>121</v>
      </c>
      <c r="V9" s="5" t="s">
        <v>121</v>
      </c>
      <c r="W9" s="5" t="s">
        <v>122</v>
      </c>
      <c r="X9" s="5" t="s">
        <v>123</v>
      </c>
      <c r="Y9" s="5" t="s">
        <v>124</v>
      </c>
      <c r="Z9" s="5" t="s">
        <v>125</v>
      </c>
      <c r="AA9" s="8">
        <v>45721</v>
      </c>
      <c r="AB9" s="5" t="s">
        <v>61</v>
      </c>
      <c r="AC9" s="5" t="s">
        <v>125</v>
      </c>
      <c r="AD9" s="8">
        <v>45723</v>
      </c>
      <c r="AE9" s="5">
        <v>750000</v>
      </c>
      <c r="AF9" s="5">
        <v>350000</v>
      </c>
      <c r="AG9" s="5">
        <v>400000</v>
      </c>
      <c r="AH9" s="5">
        <v>750000</v>
      </c>
      <c r="AI9" s="8">
        <v>45728</v>
      </c>
      <c r="AJ9" s="5">
        <v>350000</v>
      </c>
      <c r="AK9" s="9">
        <v>45727</v>
      </c>
      <c r="AL9" s="5">
        <v>400000</v>
      </c>
      <c r="AM9" s="5"/>
    </row>
    <row r="10" spans="1:39" x14ac:dyDescent="0.3">
      <c r="A10" s="4" t="s">
        <v>126</v>
      </c>
      <c r="B10" s="5">
        <v>2025</v>
      </c>
      <c r="C10" s="5" t="s">
        <v>40</v>
      </c>
      <c r="D10" s="5" t="s">
        <v>58</v>
      </c>
      <c r="E10" s="5" t="s">
        <v>42</v>
      </c>
      <c r="F10" s="6" t="s">
        <v>127</v>
      </c>
      <c r="G10" s="7">
        <v>8</v>
      </c>
      <c r="H10" s="7" t="s">
        <v>128</v>
      </c>
      <c r="I10" s="8">
        <v>45708</v>
      </c>
      <c r="J10" s="8">
        <v>45708</v>
      </c>
      <c r="K10" s="5"/>
      <c r="L10" s="5" t="s">
        <v>46</v>
      </c>
      <c r="M10" s="5" t="s">
        <v>129</v>
      </c>
      <c r="N10" s="5" t="s">
        <v>130</v>
      </c>
      <c r="O10" s="5">
        <v>10</v>
      </c>
      <c r="P10" s="5">
        <v>1738600428</v>
      </c>
      <c r="Q10" s="5">
        <v>17386004286</v>
      </c>
      <c r="R10" s="5" t="s">
        <v>131</v>
      </c>
      <c r="S10" s="5"/>
      <c r="T10" s="5" t="s">
        <v>132</v>
      </c>
      <c r="U10" s="5"/>
      <c r="V10" s="5"/>
      <c r="W10" s="5" t="s">
        <v>133</v>
      </c>
      <c r="X10" s="5" t="s">
        <v>134</v>
      </c>
      <c r="Y10" s="5" t="s">
        <v>135</v>
      </c>
      <c r="Z10" s="5" t="s">
        <v>136</v>
      </c>
      <c r="AA10" s="8">
        <v>45734</v>
      </c>
      <c r="AB10" s="5" t="s">
        <v>46</v>
      </c>
      <c r="AC10" s="5" t="s">
        <v>136</v>
      </c>
      <c r="AD10" s="8">
        <v>45747</v>
      </c>
      <c r="AE10" s="5">
        <v>1100000</v>
      </c>
      <c r="AF10" s="5">
        <v>1100000</v>
      </c>
      <c r="AG10" s="5">
        <v>0</v>
      </c>
      <c r="AH10" s="5">
        <v>1100000</v>
      </c>
      <c r="AI10" s="8">
        <v>45777</v>
      </c>
      <c r="AJ10" s="5">
        <v>1100000</v>
      </c>
      <c r="AK10" s="9" t="s">
        <v>56</v>
      </c>
      <c r="AL10" s="5">
        <v>0</v>
      </c>
      <c r="AM10" s="5"/>
    </row>
    <row r="11" spans="1:39" x14ac:dyDescent="0.3">
      <c r="A11" s="4" t="s">
        <v>137</v>
      </c>
      <c r="B11" s="5">
        <v>2025</v>
      </c>
      <c r="C11" s="5" t="s">
        <v>40</v>
      </c>
      <c r="D11" s="5"/>
      <c r="E11" s="5" t="s">
        <v>42</v>
      </c>
      <c r="F11" s="6" t="s">
        <v>138</v>
      </c>
      <c r="G11" s="7">
        <v>9</v>
      </c>
      <c r="H11" s="7" t="s">
        <v>139</v>
      </c>
      <c r="I11" s="8">
        <v>45708</v>
      </c>
      <c r="J11" s="8">
        <v>45708</v>
      </c>
      <c r="K11" s="5"/>
      <c r="L11" s="5" t="s">
        <v>61</v>
      </c>
      <c r="M11" s="5" t="s">
        <v>42</v>
      </c>
      <c r="N11" s="5" t="s">
        <v>140</v>
      </c>
      <c r="O11" s="5">
        <v>6</v>
      </c>
      <c r="P11" s="5">
        <v>3122784384</v>
      </c>
      <c r="Q11" s="5">
        <v>31227843840</v>
      </c>
      <c r="R11" s="5" t="s">
        <v>141</v>
      </c>
      <c r="S11" s="5"/>
      <c r="T11" s="5" t="s">
        <v>142</v>
      </c>
      <c r="U11" s="5" t="s">
        <v>143</v>
      </c>
      <c r="V11" s="5" t="s">
        <v>143</v>
      </c>
      <c r="W11" s="5" t="s">
        <v>141</v>
      </c>
      <c r="X11" s="5" t="s">
        <v>78</v>
      </c>
      <c r="Y11" s="5" t="s">
        <v>144</v>
      </c>
      <c r="Z11" s="5" t="s">
        <v>145</v>
      </c>
      <c r="AA11" s="8">
        <v>45734</v>
      </c>
      <c r="AB11" s="5" t="s">
        <v>61</v>
      </c>
      <c r="AC11" s="5" t="s">
        <v>145</v>
      </c>
      <c r="AD11" s="8" t="s">
        <v>69</v>
      </c>
      <c r="AE11" s="5">
        <v>400000</v>
      </c>
      <c r="AF11" s="5">
        <v>0</v>
      </c>
      <c r="AG11" s="5">
        <v>400000</v>
      </c>
      <c r="AH11" s="5">
        <v>400000</v>
      </c>
      <c r="AI11" s="8" t="s">
        <v>69</v>
      </c>
      <c r="AJ11" s="5">
        <v>0</v>
      </c>
      <c r="AK11" s="9">
        <v>45748</v>
      </c>
      <c r="AL11" s="5">
        <v>400000</v>
      </c>
      <c r="AM11" s="5"/>
    </row>
    <row r="12" spans="1:39" x14ac:dyDescent="0.3">
      <c r="A12" s="4" t="s">
        <v>146</v>
      </c>
      <c r="B12" s="5">
        <v>2025</v>
      </c>
      <c r="C12" s="5" t="s">
        <v>40</v>
      </c>
      <c r="D12" s="5" t="s">
        <v>94</v>
      </c>
      <c r="E12" s="5" t="s">
        <v>42</v>
      </c>
      <c r="F12" s="6" t="s">
        <v>147</v>
      </c>
      <c r="G12" s="7">
        <v>10</v>
      </c>
      <c r="H12" s="7" t="s">
        <v>148</v>
      </c>
      <c r="I12" s="8">
        <v>45712</v>
      </c>
      <c r="J12" s="8">
        <v>45712</v>
      </c>
      <c r="K12" s="5"/>
      <c r="L12" s="5" t="s">
        <v>97</v>
      </c>
      <c r="M12" s="5" t="s">
        <v>84</v>
      </c>
      <c r="N12" s="5" t="s">
        <v>149</v>
      </c>
      <c r="O12" s="5">
        <v>17</v>
      </c>
      <c r="P12" s="5">
        <v>1058129640</v>
      </c>
      <c r="Q12" s="5">
        <v>10581296406</v>
      </c>
      <c r="R12" s="5" t="s">
        <v>150</v>
      </c>
      <c r="S12" s="5"/>
      <c r="T12" s="5" t="s">
        <v>151</v>
      </c>
      <c r="U12" s="5" t="s">
        <v>152</v>
      </c>
      <c r="V12" s="5" t="s">
        <v>152</v>
      </c>
      <c r="W12" s="5" t="s">
        <v>153</v>
      </c>
      <c r="X12" s="5" t="s">
        <v>89</v>
      </c>
      <c r="Y12" s="5" t="s">
        <v>154</v>
      </c>
      <c r="Z12" s="5" t="s">
        <v>155</v>
      </c>
      <c r="AA12" s="8">
        <v>45737</v>
      </c>
      <c r="AB12" s="5" t="s">
        <v>61</v>
      </c>
      <c r="AC12" s="5" t="s">
        <v>155</v>
      </c>
      <c r="AD12" s="8">
        <v>45741</v>
      </c>
      <c r="AE12" s="5">
        <v>1400000</v>
      </c>
      <c r="AF12" s="5">
        <v>1400000</v>
      </c>
      <c r="AG12" s="5">
        <v>0</v>
      </c>
      <c r="AH12" s="5">
        <v>1400000</v>
      </c>
      <c r="AI12" s="8">
        <v>45807</v>
      </c>
      <c r="AJ12" s="5">
        <v>1400000</v>
      </c>
      <c r="AK12" s="9" t="s">
        <v>56</v>
      </c>
      <c r="AL12" s="5">
        <v>0</v>
      </c>
      <c r="AM12" s="5"/>
    </row>
    <row r="13" spans="1:39" x14ac:dyDescent="0.3">
      <c r="A13" s="4" t="s">
        <v>156</v>
      </c>
      <c r="B13" s="5">
        <v>2025</v>
      </c>
      <c r="C13" s="5" t="s">
        <v>40</v>
      </c>
      <c r="D13" s="5" t="s">
        <v>58</v>
      </c>
      <c r="E13" s="5" t="s">
        <v>42</v>
      </c>
      <c r="F13" s="6" t="s">
        <v>157</v>
      </c>
      <c r="G13" s="7">
        <v>11</v>
      </c>
      <c r="H13" s="7" t="s">
        <v>158</v>
      </c>
      <c r="I13" s="8">
        <v>45712</v>
      </c>
      <c r="J13" s="8">
        <v>45712</v>
      </c>
      <c r="K13" s="5"/>
      <c r="L13" s="5" t="s">
        <v>61</v>
      </c>
      <c r="M13" s="5" t="s">
        <v>84</v>
      </c>
      <c r="N13" s="5" t="s">
        <v>159</v>
      </c>
      <c r="O13" s="5">
        <v>6</v>
      </c>
      <c r="P13" s="5">
        <v>1058129640</v>
      </c>
      <c r="Q13" s="5">
        <v>10581296406</v>
      </c>
      <c r="R13" s="5" t="s">
        <v>150</v>
      </c>
      <c r="S13" s="5"/>
      <c r="T13" s="5" t="s">
        <v>151</v>
      </c>
      <c r="U13" s="5" t="s">
        <v>152</v>
      </c>
      <c r="V13" s="5" t="s">
        <v>152</v>
      </c>
      <c r="W13" s="5" t="s">
        <v>153</v>
      </c>
      <c r="X13" s="5" t="s">
        <v>89</v>
      </c>
      <c r="Y13" s="5" t="s">
        <v>154</v>
      </c>
      <c r="Z13" s="5" t="s">
        <v>155</v>
      </c>
      <c r="AA13" s="8">
        <v>45737</v>
      </c>
      <c r="AB13" s="5" t="s">
        <v>61</v>
      </c>
      <c r="AC13" s="5" t="s">
        <v>155</v>
      </c>
      <c r="AD13" s="8">
        <v>45741</v>
      </c>
      <c r="AE13" s="5">
        <v>800000</v>
      </c>
      <c r="AF13" s="5">
        <v>800000</v>
      </c>
      <c r="AG13" s="5">
        <v>0</v>
      </c>
      <c r="AH13" s="5">
        <v>800000</v>
      </c>
      <c r="AI13" s="8">
        <v>45807</v>
      </c>
      <c r="AJ13" s="5">
        <v>800000</v>
      </c>
      <c r="AK13" s="9" t="s">
        <v>56</v>
      </c>
      <c r="AL13" s="5">
        <v>0</v>
      </c>
      <c r="AM13" s="5"/>
    </row>
    <row r="14" spans="1:39" x14ac:dyDescent="0.3">
      <c r="A14" s="4" t="s">
        <v>160</v>
      </c>
      <c r="B14" s="5">
        <v>2025</v>
      </c>
      <c r="C14" s="5" t="s">
        <v>40</v>
      </c>
      <c r="D14" s="5" t="s">
        <v>94</v>
      </c>
      <c r="E14" s="5" t="s">
        <v>42</v>
      </c>
      <c r="F14" s="6" t="s">
        <v>161</v>
      </c>
      <c r="G14" s="7">
        <v>12</v>
      </c>
      <c r="H14" s="7" t="s">
        <v>162</v>
      </c>
      <c r="I14" s="8">
        <v>45721</v>
      </c>
      <c r="J14" s="8">
        <v>45721</v>
      </c>
      <c r="K14" s="5"/>
      <c r="L14" s="5" t="s">
        <v>73</v>
      </c>
      <c r="M14" s="5" t="s">
        <v>163</v>
      </c>
      <c r="N14" s="5" t="s">
        <v>164</v>
      </c>
      <c r="O14" s="5">
        <v>71</v>
      </c>
      <c r="P14" s="5">
        <v>4178111835</v>
      </c>
      <c r="Q14" s="5">
        <v>41781118356</v>
      </c>
      <c r="R14" s="5" t="s">
        <v>165</v>
      </c>
      <c r="S14" s="5"/>
      <c r="T14" s="5" t="s">
        <v>166</v>
      </c>
      <c r="U14" s="5"/>
      <c r="V14" s="5"/>
      <c r="W14" s="5" t="s">
        <v>167</v>
      </c>
      <c r="X14" s="5" t="s">
        <v>168</v>
      </c>
      <c r="Y14" s="5" t="s">
        <v>169</v>
      </c>
      <c r="Z14" s="5" t="s">
        <v>170</v>
      </c>
      <c r="AA14" s="8">
        <v>45750</v>
      </c>
      <c r="AB14" s="5" t="s">
        <v>73</v>
      </c>
      <c r="AC14" s="5" t="s">
        <v>170</v>
      </c>
      <c r="AD14" s="8">
        <v>45747</v>
      </c>
      <c r="AE14" s="5">
        <v>1200000</v>
      </c>
      <c r="AF14" s="5">
        <v>1200000</v>
      </c>
      <c r="AG14" s="5">
        <v>0</v>
      </c>
      <c r="AH14" s="5">
        <v>1200000</v>
      </c>
      <c r="AI14" s="8">
        <v>45777</v>
      </c>
      <c r="AJ14" s="5">
        <v>1200000</v>
      </c>
      <c r="AK14" s="9" t="s">
        <v>56</v>
      </c>
      <c r="AL14" s="5">
        <v>0</v>
      </c>
      <c r="AM14" s="5"/>
    </row>
    <row r="15" spans="1:39" x14ac:dyDescent="0.3">
      <c r="A15" s="4" t="s">
        <v>171</v>
      </c>
      <c r="B15" s="5">
        <v>2025</v>
      </c>
      <c r="C15" s="5" t="s">
        <v>40</v>
      </c>
      <c r="D15" s="5"/>
      <c r="E15" s="5" t="s">
        <v>42</v>
      </c>
      <c r="F15" s="6" t="s">
        <v>172</v>
      </c>
      <c r="G15" s="7">
        <v>13</v>
      </c>
      <c r="H15" s="7" t="s">
        <v>162</v>
      </c>
      <c r="I15" s="8">
        <v>45721</v>
      </c>
      <c r="J15" s="8">
        <v>45721</v>
      </c>
      <c r="K15" s="5"/>
      <c r="L15" s="5" t="s">
        <v>46</v>
      </c>
      <c r="M15" s="5" t="s">
        <v>42</v>
      </c>
      <c r="N15" s="5" t="s">
        <v>173</v>
      </c>
      <c r="O15" s="5">
        <v>2</v>
      </c>
      <c r="P15" s="5">
        <v>3121041602</v>
      </c>
      <c r="Q15" s="5">
        <v>91101177631</v>
      </c>
      <c r="R15" s="5" t="s">
        <v>174</v>
      </c>
      <c r="S15" s="5"/>
      <c r="T15" s="5" t="s">
        <v>175</v>
      </c>
      <c r="U15" s="5" t="s">
        <v>176</v>
      </c>
      <c r="V15" s="5" t="s">
        <v>176</v>
      </c>
      <c r="W15" s="5" t="s">
        <v>177</v>
      </c>
      <c r="X15" s="5" t="s">
        <v>178</v>
      </c>
      <c r="Y15" s="5" t="s">
        <v>179</v>
      </c>
      <c r="Z15" s="5" t="s">
        <v>180</v>
      </c>
      <c r="AA15" s="8">
        <v>45749</v>
      </c>
      <c r="AB15" s="5" t="s">
        <v>181</v>
      </c>
      <c r="AC15" s="5" t="s">
        <v>182</v>
      </c>
      <c r="AD15" s="8">
        <v>45750</v>
      </c>
      <c r="AE15" s="5">
        <v>650000</v>
      </c>
      <c r="AF15" s="5">
        <v>250000</v>
      </c>
      <c r="AG15" s="5">
        <v>400000</v>
      </c>
      <c r="AH15" s="5">
        <v>650000</v>
      </c>
      <c r="AI15" s="8">
        <v>45880</v>
      </c>
      <c r="AJ15" s="5">
        <v>250000</v>
      </c>
      <c r="AK15" s="9">
        <v>45770</v>
      </c>
      <c r="AL15" s="5">
        <v>400000</v>
      </c>
      <c r="AM15" s="5" t="s">
        <v>183</v>
      </c>
    </row>
    <row r="16" spans="1:39" x14ac:dyDescent="0.3">
      <c r="A16" s="4" t="s">
        <v>184</v>
      </c>
      <c r="B16" s="5">
        <v>2025</v>
      </c>
      <c r="C16" s="5" t="s">
        <v>40</v>
      </c>
      <c r="D16" s="5"/>
      <c r="E16" s="5" t="s">
        <v>42</v>
      </c>
      <c r="F16" s="6" t="s">
        <v>185</v>
      </c>
      <c r="G16" s="7">
        <v>14</v>
      </c>
      <c r="H16" s="7" t="s">
        <v>186</v>
      </c>
      <c r="I16" s="8">
        <v>45721</v>
      </c>
      <c r="J16" s="8">
        <v>45721</v>
      </c>
      <c r="K16" s="5"/>
      <c r="L16" s="5" t="s">
        <v>181</v>
      </c>
      <c r="M16" s="5" t="s">
        <v>42</v>
      </c>
      <c r="N16" s="5" t="s">
        <v>187</v>
      </c>
      <c r="O16" s="5">
        <v>10</v>
      </c>
      <c r="P16" s="5">
        <v>3128657244</v>
      </c>
      <c r="Q16" s="5">
        <v>31286572440</v>
      </c>
      <c r="R16" s="5" t="s">
        <v>188</v>
      </c>
      <c r="S16" s="5"/>
      <c r="T16" s="5" t="s">
        <v>175</v>
      </c>
      <c r="U16" s="5" t="s">
        <v>176</v>
      </c>
      <c r="V16" s="5" t="s">
        <v>176</v>
      </c>
      <c r="W16" s="5" t="s">
        <v>177</v>
      </c>
      <c r="X16" s="5" t="s">
        <v>178</v>
      </c>
      <c r="Y16" s="5" t="s">
        <v>179</v>
      </c>
      <c r="Z16" s="5" t="s">
        <v>180</v>
      </c>
      <c r="AA16" s="8">
        <v>45750</v>
      </c>
      <c r="AB16" s="5" t="s">
        <v>181</v>
      </c>
      <c r="AC16" s="5" t="s">
        <v>189</v>
      </c>
      <c r="AD16" s="8">
        <v>45750</v>
      </c>
      <c r="AE16" s="5">
        <v>650000</v>
      </c>
      <c r="AF16" s="5">
        <v>250000</v>
      </c>
      <c r="AG16" s="5">
        <v>400000</v>
      </c>
      <c r="AH16" s="5">
        <v>650000</v>
      </c>
      <c r="AI16" s="8">
        <v>45880</v>
      </c>
      <c r="AJ16" s="5">
        <v>250000</v>
      </c>
      <c r="AK16" s="9">
        <v>45770</v>
      </c>
      <c r="AL16" s="5">
        <v>400000</v>
      </c>
      <c r="AM16" s="5" t="s">
        <v>183</v>
      </c>
    </row>
    <row r="17" spans="1:39" x14ac:dyDescent="0.3">
      <c r="A17" s="4" t="s">
        <v>190</v>
      </c>
      <c r="B17" s="5">
        <v>2025</v>
      </c>
      <c r="C17" s="5" t="s">
        <v>40</v>
      </c>
      <c r="D17" s="5" t="s">
        <v>191</v>
      </c>
      <c r="E17" s="5" t="s">
        <v>42</v>
      </c>
      <c r="F17" s="6" t="s">
        <v>192</v>
      </c>
      <c r="G17" s="7">
        <v>15</v>
      </c>
      <c r="H17" s="7" t="s">
        <v>193</v>
      </c>
      <c r="I17" s="8">
        <v>45722</v>
      </c>
      <c r="J17" s="8">
        <v>45722</v>
      </c>
      <c r="K17" s="5"/>
      <c r="L17" s="5" t="s">
        <v>73</v>
      </c>
      <c r="M17" s="5" t="s">
        <v>42</v>
      </c>
      <c r="N17" s="5" t="s">
        <v>194</v>
      </c>
      <c r="O17" s="5">
        <v>48</v>
      </c>
      <c r="P17" s="5">
        <v>1268663320</v>
      </c>
      <c r="Q17" s="5">
        <v>91303758101</v>
      </c>
      <c r="R17" s="5" t="s">
        <v>195</v>
      </c>
      <c r="S17" s="5"/>
      <c r="T17" s="5" t="s">
        <v>196</v>
      </c>
      <c r="U17" s="5" t="s">
        <v>197</v>
      </c>
      <c r="V17" s="5" t="s">
        <v>197</v>
      </c>
      <c r="W17" s="5" t="s">
        <v>198</v>
      </c>
      <c r="X17" s="5"/>
      <c r="Y17" s="5" t="s">
        <v>199</v>
      </c>
      <c r="Z17" s="5" t="s">
        <v>200</v>
      </c>
      <c r="AA17" s="8">
        <v>45752</v>
      </c>
      <c r="AB17" s="5" t="s">
        <v>73</v>
      </c>
      <c r="AC17" s="5" t="s">
        <v>201</v>
      </c>
      <c r="AD17" s="8" t="s">
        <v>69</v>
      </c>
      <c r="AE17" s="5">
        <v>1000000</v>
      </c>
      <c r="AF17" s="5">
        <v>0</v>
      </c>
      <c r="AG17" s="5">
        <v>1000000</v>
      </c>
      <c r="AH17" s="5">
        <v>1000000</v>
      </c>
      <c r="AI17" s="8" t="s">
        <v>69</v>
      </c>
      <c r="AJ17" s="5">
        <v>0</v>
      </c>
      <c r="AK17" s="9">
        <v>45770</v>
      </c>
      <c r="AL17" s="5">
        <v>1000000</v>
      </c>
      <c r="AM17" s="5"/>
    </row>
    <row r="18" spans="1:39" x14ac:dyDescent="0.3">
      <c r="A18" s="4" t="s">
        <v>202</v>
      </c>
      <c r="B18" s="5">
        <v>2025</v>
      </c>
      <c r="C18" s="5" t="s">
        <v>40</v>
      </c>
      <c r="D18" s="5" t="s">
        <v>203</v>
      </c>
      <c r="E18" s="5" t="s">
        <v>42</v>
      </c>
      <c r="F18" s="6" t="s">
        <v>204</v>
      </c>
      <c r="G18" s="7">
        <v>16</v>
      </c>
      <c r="H18" s="7" t="s">
        <v>205</v>
      </c>
      <c r="I18" s="8">
        <v>45722</v>
      </c>
      <c r="J18" s="8">
        <v>45722</v>
      </c>
      <c r="K18" s="5"/>
      <c r="L18" s="5" t="s">
        <v>61</v>
      </c>
      <c r="M18" s="5" t="s">
        <v>42</v>
      </c>
      <c r="N18" s="5" t="s">
        <v>206</v>
      </c>
      <c r="O18" s="5">
        <v>23</v>
      </c>
      <c r="P18" s="5">
        <v>1268639422</v>
      </c>
      <c r="Q18" s="5">
        <v>92231854931</v>
      </c>
      <c r="R18" s="5" t="s">
        <v>207</v>
      </c>
      <c r="S18" s="5"/>
      <c r="T18" s="5" t="s">
        <v>208</v>
      </c>
      <c r="U18" s="5" t="s">
        <v>209</v>
      </c>
      <c r="V18" s="5" t="s">
        <v>209</v>
      </c>
      <c r="W18" s="5" t="s">
        <v>210</v>
      </c>
      <c r="X18" s="5" t="s">
        <v>211</v>
      </c>
      <c r="Y18" s="5" t="s">
        <v>212</v>
      </c>
      <c r="Z18" s="5" t="s">
        <v>213</v>
      </c>
      <c r="AA18" s="8">
        <v>45748</v>
      </c>
      <c r="AB18" s="5" t="s">
        <v>61</v>
      </c>
      <c r="AC18" s="5" t="s">
        <v>214</v>
      </c>
      <c r="AD18" s="8">
        <v>45747</v>
      </c>
      <c r="AE18" s="5">
        <v>900000</v>
      </c>
      <c r="AF18" s="5">
        <v>500000</v>
      </c>
      <c r="AG18" s="5">
        <v>400000</v>
      </c>
      <c r="AH18" s="5">
        <v>900000</v>
      </c>
      <c r="AI18" s="8">
        <v>45777</v>
      </c>
      <c r="AJ18" s="5">
        <v>500000</v>
      </c>
      <c r="AK18" s="9">
        <v>45770</v>
      </c>
      <c r="AL18" s="5">
        <v>400000</v>
      </c>
      <c r="AM18" s="5"/>
    </row>
    <row r="19" spans="1:39" x14ac:dyDescent="0.3">
      <c r="A19" s="4" t="s">
        <v>215</v>
      </c>
      <c r="B19" s="5">
        <v>2025</v>
      </c>
      <c r="C19" s="5" t="s">
        <v>40</v>
      </c>
      <c r="D19" s="5"/>
      <c r="E19" s="5" t="s">
        <v>42</v>
      </c>
      <c r="F19" s="6" t="s">
        <v>216</v>
      </c>
      <c r="G19" s="7">
        <v>17</v>
      </c>
      <c r="H19" s="7" t="s">
        <v>217</v>
      </c>
      <c r="I19" s="8">
        <v>45722</v>
      </c>
      <c r="J19" s="8">
        <v>45722</v>
      </c>
      <c r="K19" s="5"/>
      <c r="L19" s="5" t="s">
        <v>218</v>
      </c>
      <c r="M19" s="5" t="s">
        <v>42</v>
      </c>
      <c r="N19" s="5" t="s">
        <v>219</v>
      </c>
      <c r="O19" s="5">
        <v>44</v>
      </c>
      <c r="P19" s="5">
        <v>3128675484</v>
      </c>
      <c r="Q19" s="5">
        <v>31286754840</v>
      </c>
      <c r="R19" s="5" t="s">
        <v>220</v>
      </c>
      <c r="S19" s="5"/>
      <c r="T19" s="5" t="s">
        <v>221</v>
      </c>
      <c r="U19" s="5" t="s">
        <v>222</v>
      </c>
      <c r="V19" s="5" t="s">
        <v>222</v>
      </c>
      <c r="W19" s="5" t="s">
        <v>223</v>
      </c>
      <c r="X19" s="5" t="s">
        <v>224</v>
      </c>
      <c r="Y19" s="5" t="s">
        <v>225</v>
      </c>
      <c r="Z19" s="5" t="s">
        <v>226</v>
      </c>
      <c r="AA19" s="8">
        <v>45750</v>
      </c>
      <c r="AB19" s="5" t="s">
        <v>218</v>
      </c>
      <c r="AC19" s="5" t="s">
        <v>226</v>
      </c>
      <c r="AD19" s="8">
        <v>45750</v>
      </c>
      <c r="AE19" s="5">
        <v>1100000</v>
      </c>
      <c r="AF19" s="5">
        <v>700000</v>
      </c>
      <c r="AG19" s="5">
        <v>400000</v>
      </c>
      <c r="AH19" s="5">
        <v>1100000</v>
      </c>
      <c r="AI19" s="8">
        <v>45777</v>
      </c>
      <c r="AJ19" s="5">
        <v>700000</v>
      </c>
      <c r="AK19" s="9">
        <v>45770</v>
      </c>
      <c r="AL19" s="5">
        <v>400000</v>
      </c>
      <c r="AM19" s="5"/>
    </row>
    <row r="20" spans="1:39" x14ac:dyDescent="0.3">
      <c r="A20" s="4" t="s">
        <v>227</v>
      </c>
      <c r="B20" s="5">
        <v>2025</v>
      </c>
      <c r="C20" s="5" t="s">
        <v>40</v>
      </c>
      <c r="D20" s="5" t="s">
        <v>228</v>
      </c>
      <c r="E20" s="5" t="s">
        <v>42</v>
      </c>
      <c r="F20" s="6" t="s">
        <v>229</v>
      </c>
      <c r="G20" s="7">
        <v>18</v>
      </c>
      <c r="H20" s="7" t="s">
        <v>230</v>
      </c>
      <c r="I20" s="8">
        <v>45723</v>
      </c>
      <c r="J20" s="8">
        <v>45723</v>
      </c>
      <c r="K20" s="5"/>
      <c r="L20" s="5" t="s">
        <v>46</v>
      </c>
      <c r="M20" s="5" t="s">
        <v>231</v>
      </c>
      <c r="N20" s="5" t="s">
        <v>232</v>
      </c>
      <c r="O20" s="5">
        <v>16</v>
      </c>
      <c r="P20" s="5">
        <v>1268639422</v>
      </c>
      <c r="Q20" s="5">
        <v>12686394220</v>
      </c>
      <c r="R20" s="5" t="s">
        <v>207</v>
      </c>
      <c r="S20" s="5"/>
      <c r="T20" s="5" t="s">
        <v>233</v>
      </c>
      <c r="U20" s="5" t="s">
        <v>209</v>
      </c>
      <c r="V20" s="5" t="s">
        <v>209</v>
      </c>
      <c r="W20" s="5" t="s">
        <v>234</v>
      </c>
      <c r="X20" s="5" t="s">
        <v>123</v>
      </c>
      <c r="Y20" s="5" t="s">
        <v>235</v>
      </c>
      <c r="Z20" s="5" t="s">
        <v>236</v>
      </c>
      <c r="AA20" s="8">
        <v>45750</v>
      </c>
      <c r="AB20" s="5" t="s">
        <v>46</v>
      </c>
      <c r="AC20" s="5" t="s">
        <v>236</v>
      </c>
      <c r="AD20" s="8">
        <v>45747</v>
      </c>
      <c r="AE20" s="5">
        <v>700000</v>
      </c>
      <c r="AF20" s="5">
        <v>300000</v>
      </c>
      <c r="AG20" s="5">
        <v>400000</v>
      </c>
      <c r="AH20" s="5">
        <v>700000</v>
      </c>
      <c r="AI20" s="8">
        <v>45777</v>
      </c>
      <c r="AJ20" s="5">
        <v>300000</v>
      </c>
      <c r="AK20" s="9">
        <v>45777</v>
      </c>
      <c r="AL20" s="5">
        <v>400000</v>
      </c>
      <c r="AM20" s="5"/>
    </row>
    <row r="21" spans="1:39" x14ac:dyDescent="0.3">
      <c r="A21" s="4" t="s">
        <v>237</v>
      </c>
      <c r="B21" s="5">
        <v>2025</v>
      </c>
      <c r="C21" s="5" t="s">
        <v>40</v>
      </c>
      <c r="D21" s="5" t="s">
        <v>238</v>
      </c>
      <c r="E21" s="5" t="s">
        <v>42</v>
      </c>
      <c r="F21" s="6" t="s">
        <v>239</v>
      </c>
      <c r="G21" s="7">
        <v>19</v>
      </c>
      <c r="H21" s="7" t="s">
        <v>240</v>
      </c>
      <c r="I21" s="8">
        <v>45726</v>
      </c>
      <c r="J21" s="8">
        <v>45726</v>
      </c>
      <c r="K21" s="5"/>
      <c r="L21" s="5" t="s">
        <v>181</v>
      </c>
      <c r="M21" s="5" t="s">
        <v>241</v>
      </c>
      <c r="N21" s="5" t="s">
        <v>242</v>
      </c>
      <c r="O21" s="5">
        <v>23</v>
      </c>
      <c r="P21" s="5">
        <v>7328701183</v>
      </c>
      <c r="Q21" s="5">
        <v>73287011830</v>
      </c>
      <c r="R21" s="5" t="s">
        <v>243</v>
      </c>
      <c r="S21" s="5"/>
      <c r="T21" s="5" t="s">
        <v>244</v>
      </c>
      <c r="U21" s="5" t="s">
        <v>245</v>
      </c>
      <c r="V21" s="5" t="s">
        <v>245</v>
      </c>
      <c r="W21" s="5" t="s">
        <v>246</v>
      </c>
      <c r="X21" s="5"/>
      <c r="Y21" s="5" t="s">
        <v>247</v>
      </c>
      <c r="Z21" s="5" t="s">
        <v>248</v>
      </c>
      <c r="AA21" s="8">
        <v>45750</v>
      </c>
      <c r="AB21" s="5" t="s">
        <v>181</v>
      </c>
      <c r="AC21" s="5" t="s">
        <v>248</v>
      </c>
      <c r="AD21" s="8">
        <v>45750</v>
      </c>
      <c r="AE21" s="5">
        <v>750000</v>
      </c>
      <c r="AF21" s="5">
        <v>350000</v>
      </c>
      <c r="AG21" s="5">
        <v>400000</v>
      </c>
      <c r="AH21" s="5">
        <v>750000</v>
      </c>
      <c r="AI21" s="8">
        <v>45863</v>
      </c>
      <c r="AJ21" s="5">
        <v>350000</v>
      </c>
      <c r="AK21" s="9">
        <v>45762</v>
      </c>
      <c r="AL21" s="5">
        <v>400000</v>
      </c>
      <c r="AM21" s="5"/>
    </row>
    <row r="22" spans="1:39" x14ac:dyDescent="0.3">
      <c r="A22" s="4" t="s">
        <v>249</v>
      </c>
      <c r="B22" s="5">
        <v>2025</v>
      </c>
      <c r="C22" s="5" t="s">
        <v>40</v>
      </c>
      <c r="D22" s="5" t="s">
        <v>203</v>
      </c>
      <c r="E22" s="5" t="s">
        <v>42</v>
      </c>
      <c r="F22" s="6" t="s">
        <v>250</v>
      </c>
      <c r="G22" s="7">
        <v>20</v>
      </c>
      <c r="H22" s="7" t="s">
        <v>240</v>
      </c>
      <c r="I22" s="8">
        <v>45726</v>
      </c>
      <c r="J22" s="8">
        <v>45726</v>
      </c>
      <c r="K22" s="5"/>
      <c r="L22" s="5" t="s">
        <v>97</v>
      </c>
      <c r="M22" s="5" t="s">
        <v>241</v>
      </c>
      <c r="N22" s="5" t="s">
        <v>251</v>
      </c>
      <c r="O22" s="5">
        <v>3</v>
      </c>
      <c r="P22" s="5">
        <v>1310866049</v>
      </c>
      <c r="Q22" s="5">
        <v>13108660490</v>
      </c>
      <c r="R22" s="5" t="s">
        <v>252</v>
      </c>
      <c r="S22" s="5"/>
      <c r="T22" s="5" t="s">
        <v>253</v>
      </c>
      <c r="U22" s="5" t="s">
        <v>254</v>
      </c>
      <c r="V22" s="5" t="s">
        <v>254</v>
      </c>
      <c r="W22" s="5" t="s">
        <v>255</v>
      </c>
      <c r="X22" s="5" t="s">
        <v>123</v>
      </c>
      <c r="Y22" s="5" t="s">
        <v>256</v>
      </c>
      <c r="Z22" s="5" t="s">
        <v>257</v>
      </c>
      <c r="AA22" s="8">
        <v>45748</v>
      </c>
      <c r="AB22" s="5" t="s">
        <v>61</v>
      </c>
      <c r="AC22" s="5" t="s">
        <v>257</v>
      </c>
      <c r="AD22" s="8">
        <v>45726</v>
      </c>
      <c r="AE22" s="5">
        <v>700000</v>
      </c>
      <c r="AF22" s="5">
        <v>300000</v>
      </c>
      <c r="AG22" s="5">
        <v>400000</v>
      </c>
      <c r="AH22" s="5">
        <v>700000</v>
      </c>
      <c r="AI22" s="8">
        <v>45721</v>
      </c>
      <c r="AJ22" s="5">
        <v>300000</v>
      </c>
      <c r="AK22" s="9">
        <v>45762</v>
      </c>
      <c r="AL22" s="5">
        <v>400000</v>
      </c>
      <c r="AM22" s="5"/>
    </row>
    <row r="23" spans="1:39" x14ac:dyDescent="0.3">
      <c r="A23" s="4" t="s">
        <v>258</v>
      </c>
      <c r="B23" s="5">
        <v>2025</v>
      </c>
      <c r="C23" s="5" t="s">
        <v>40</v>
      </c>
      <c r="D23" s="5" t="s">
        <v>203</v>
      </c>
      <c r="E23" s="5" t="s">
        <v>42</v>
      </c>
      <c r="F23" s="6" t="s">
        <v>259</v>
      </c>
      <c r="G23" s="7">
        <v>21</v>
      </c>
      <c r="H23" s="7" t="s">
        <v>260</v>
      </c>
      <c r="I23" s="8">
        <v>45726</v>
      </c>
      <c r="J23" s="8">
        <v>45726</v>
      </c>
      <c r="K23" s="5"/>
      <c r="L23" s="5" t="s">
        <v>61</v>
      </c>
      <c r="M23" s="5" t="s">
        <v>241</v>
      </c>
      <c r="N23" s="5" t="s">
        <v>261</v>
      </c>
      <c r="O23" s="5">
        <v>22</v>
      </c>
      <c r="P23" s="5">
        <v>1408166823</v>
      </c>
      <c r="Q23" s="5">
        <v>14081668230</v>
      </c>
      <c r="R23" s="5" t="s">
        <v>252</v>
      </c>
      <c r="S23" s="5"/>
      <c r="T23" s="5" t="s">
        <v>253</v>
      </c>
      <c r="U23" s="5" t="s">
        <v>254</v>
      </c>
      <c r="V23" s="5" t="s">
        <v>254</v>
      </c>
      <c r="W23" s="5" t="s">
        <v>255</v>
      </c>
      <c r="X23" s="5" t="s">
        <v>123</v>
      </c>
      <c r="Y23" s="5" t="s">
        <v>256</v>
      </c>
      <c r="Z23" s="5" t="s">
        <v>257</v>
      </c>
      <c r="AA23" s="8">
        <v>45748</v>
      </c>
      <c r="AB23" s="5" t="s">
        <v>61</v>
      </c>
      <c r="AC23" s="5" t="s">
        <v>257</v>
      </c>
      <c r="AD23" s="8">
        <v>45726</v>
      </c>
      <c r="AE23" s="5">
        <v>750000</v>
      </c>
      <c r="AF23" s="5">
        <v>350000</v>
      </c>
      <c r="AG23" s="5">
        <v>400000</v>
      </c>
      <c r="AH23" s="5">
        <v>750000</v>
      </c>
      <c r="AI23" s="8">
        <v>45721</v>
      </c>
      <c r="AJ23" s="5">
        <v>350000</v>
      </c>
      <c r="AK23" s="9">
        <v>45762</v>
      </c>
      <c r="AL23" s="5">
        <v>400000</v>
      </c>
      <c r="AM23" s="5"/>
    </row>
    <row r="24" spans="1:39" x14ac:dyDescent="0.3">
      <c r="A24" s="4" t="s">
        <v>262</v>
      </c>
      <c r="B24" s="5">
        <v>2025</v>
      </c>
      <c r="C24" s="5" t="s">
        <v>40</v>
      </c>
      <c r="D24" s="5"/>
      <c r="E24" s="5" t="s">
        <v>42</v>
      </c>
      <c r="F24" s="6" t="s">
        <v>263</v>
      </c>
      <c r="G24" s="7">
        <v>22</v>
      </c>
      <c r="H24" s="7" t="s">
        <v>260</v>
      </c>
      <c r="I24" s="8">
        <v>45727</v>
      </c>
      <c r="J24" s="8">
        <v>45727</v>
      </c>
      <c r="K24" s="5"/>
      <c r="L24" s="5" t="s">
        <v>181</v>
      </c>
      <c r="M24" s="5" t="s">
        <v>42</v>
      </c>
      <c r="N24" s="5" t="s">
        <v>264</v>
      </c>
      <c r="O24" s="5">
        <v>4</v>
      </c>
      <c r="P24" s="5">
        <v>8238702362</v>
      </c>
      <c r="Q24" s="5">
        <v>82387023620</v>
      </c>
      <c r="R24" s="5" t="s">
        <v>265</v>
      </c>
      <c r="S24" s="5"/>
      <c r="T24" s="5" t="s">
        <v>266</v>
      </c>
      <c r="U24" s="5" t="s">
        <v>267</v>
      </c>
      <c r="V24" s="5" t="s">
        <v>267</v>
      </c>
      <c r="W24" s="5" t="s">
        <v>268</v>
      </c>
      <c r="X24" s="5" t="s">
        <v>123</v>
      </c>
      <c r="Y24" s="5" t="s">
        <v>269</v>
      </c>
      <c r="Z24" s="5" t="s">
        <v>270</v>
      </c>
      <c r="AA24" s="8">
        <v>45750</v>
      </c>
      <c r="AB24" s="5" t="s">
        <v>181</v>
      </c>
      <c r="AC24" s="5" t="s">
        <v>270</v>
      </c>
      <c r="AD24" s="8" t="s">
        <v>69</v>
      </c>
      <c r="AE24" s="5">
        <v>400000</v>
      </c>
      <c r="AF24" s="5">
        <v>0</v>
      </c>
      <c r="AG24" s="5">
        <v>400000</v>
      </c>
      <c r="AH24" s="5">
        <v>400000</v>
      </c>
      <c r="AI24" s="8" t="s">
        <v>69</v>
      </c>
      <c r="AJ24" s="5">
        <v>0</v>
      </c>
      <c r="AK24" s="9">
        <v>45770</v>
      </c>
      <c r="AL24" s="5">
        <v>400000</v>
      </c>
      <c r="AM24" s="5"/>
    </row>
    <row r="25" spans="1:39" x14ac:dyDescent="0.3">
      <c r="A25" s="4" t="s">
        <v>271</v>
      </c>
      <c r="B25" s="5">
        <v>2025</v>
      </c>
      <c r="C25" s="5" t="s">
        <v>40</v>
      </c>
      <c r="D25" s="5"/>
      <c r="E25" s="5" t="s">
        <v>42</v>
      </c>
      <c r="F25" s="6" t="s">
        <v>272</v>
      </c>
      <c r="G25" s="7">
        <v>23</v>
      </c>
      <c r="H25" s="7" t="s">
        <v>273</v>
      </c>
      <c r="I25" s="8">
        <v>45728</v>
      </c>
      <c r="J25" s="8">
        <v>45728</v>
      </c>
      <c r="K25" s="5"/>
      <c r="L25" s="5" t="s">
        <v>218</v>
      </c>
      <c r="M25" s="5" t="s">
        <v>42</v>
      </c>
      <c r="N25" s="5" t="s">
        <v>274</v>
      </c>
      <c r="O25" s="5">
        <v>23</v>
      </c>
      <c r="P25" s="5">
        <v>3128610142</v>
      </c>
      <c r="Q25" s="5">
        <v>31286101420</v>
      </c>
      <c r="R25" s="5" t="s">
        <v>275</v>
      </c>
      <c r="S25" s="5"/>
      <c r="T25" s="5" t="s">
        <v>276</v>
      </c>
      <c r="U25" s="5" t="s">
        <v>277</v>
      </c>
      <c r="V25" s="5" t="s">
        <v>277</v>
      </c>
      <c r="W25" s="5" t="s">
        <v>278</v>
      </c>
      <c r="X25" s="5" t="s">
        <v>66</v>
      </c>
      <c r="Y25" s="5" t="s">
        <v>279</v>
      </c>
      <c r="Z25" s="5" t="s">
        <v>280</v>
      </c>
      <c r="AA25" s="8">
        <v>45755</v>
      </c>
      <c r="AB25" s="5" t="s">
        <v>281</v>
      </c>
      <c r="AC25" s="5" t="s">
        <v>280</v>
      </c>
      <c r="AD25" s="8" t="s">
        <v>69</v>
      </c>
      <c r="AE25" s="5">
        <v>393510</v>
      </c>
      <c r="AF25" s="5">
        <v>0</v>
      </c>
      <c r="AG25" s="5">
        <v>393510</v>
      </c>
      <c r="AH25" s="5">
        <v>393510</v>
      </c>
      <c r="AI25" s="8" t="s">
        <v>69</v>
      </c>
      <c r="AJ25" s="5">
        <v>0</v>
      </c>
      <c r="AK25" s="9">
        <v>45770</v>
      </c>
      <c r="AL25" s="5">
        <v>393510</v>
      </c>
      <c r="AM25" s="5"/>
    </row>
    <row r="26" spans="1:39" x14ac:dyDescent="0.3">
      <c r="A26" s="4" t="s">
        <v>282</v>
      </c>
      <c r="B26" s="5">
        <v>2025</v>
      </c>
      <c r="C26" s="5" t="s">
        <v>40</v>
      </c>
      <c r="D26" s="5" t="s">
        <v>283</v>
      </c>
      <c r="E26" s="5" t="s">
        <v>42</v>
      </c>
      <c r="F26" s="6" t="s">
        <v>284</v>
      </c>
      <c r="G26" s="7">
        <v>24</v>
      </c>
      <c r="H26" s="7" t="s">
        <v>285</v>
      </c>
      <c r="I26" s="8">
        <v>45729</v>
      </c>
      <c r="J26" s="8">
        <v>45729</v>
      </c>
      <c r="K26" s="5"/>
      <c r="L26" s="5" t="s">
        <v>46</v>
      </c>
      <c r="M26" s="5" t="s">
        <v>231</v>
      </c>
      <c r="N26" s="5" t="s">
        <v>286</v>
      </c>
      <c r="O26" s="5">
        <v>46</v>
      </c>
      <c r="P26" s="5">
        <v>4558100330</v>
      </c>
      <c r="Q26" s="5">
        <v>45581003300</v>
      </c>
      <c r="R26" s="5" t="s">
        <v>287</v>
      </c>
      <c r="S26" s="5"/>
      <c r="T26" s="5" t="s">
        <v>288</v>
      </c>
      <c r="U26" s="5" t="s">
        <v>289</v>
      </c>
      <c r="V26" s="5" t="s">
        <v>289</v>
      </c>
      <c r="W26" s="5" t="s">
        <v>290</v>
      </c>
      <c r="X26" s="5" t="s">
        <v>224</v>
      </c>
      <c r="Y26" s="5" t="s">
        <v>291</v>
      </c>
      <c r="Z26" s="5" t="s">
        <v>292</v>
      </c>
      <c r="AA26" s="8">
        <v>45754</v>
      </c>
      <c r="AB26" s="5" t="s">
        <v>46</v>
      </c>
      <c r="AC26" s="5" t="s">
        <v>293</v>
      </c>
      <c r="AD26" s="8">
        <v>45755</v>
      </c>
      <c r="AE26" s="5">
        <v>3300000</v>
      </c>
      <c r="AF26" s="5">
        <v>2300000</v>
      </c>
      <c r="AG26" s="5">
        <v>1000000</v>
      </c>
      <c r="AH26" s="5">
        <v>3300000</v>
      </c>
      <c r="AI26" s="8">
        <v>45762</v>
      </c>
      <c r="AJ26" s="5">
        <v>2300000</v>
      </c>
      <c r="AK26" s="9">
        <v>45777</v>
      </c>
      <c r="AL26" s="5">
        <v>1000000</v>
      </c>
      <c r="AM26" s="5"/>
    </row>
    <row r="27" spans="1:39" x14ac:dyDescent="0.3">
      <c r="A27" s="4" t="s">
        <v>294</v>
      </c>
      <c r="B27" s="5">
        <v>2025</v>
      </c>
      <c r="C27" s="5" t="s">
        <v>40</v>
      </c>
      <c r="D27" s="5"/>
      <c r="E27" s="5" t="s">
        <v>42</v>
      </c>
      <c r="F27" s="6" t="s">
        <v>295</v>
      </c>
      <c r="G27" s="7">
        <v>25</v>
      </c>
      <c r="H27" s="7" t="s">
        <v>285</v>
      </c>
      <c r="I27" s="8">
        <v>45729</v>
      </c>
      <c r="J27" s="8">
        <v>45729</v>
      </c>
      <c r="K27" s="5"/>
      <c r="L27" s="5" t="s">
        <v>181</v>
      </c>
      <c r="M27" s="5" t="s">
        <v>42</v>
      </c>
      <c r="N27" s="5" t="s">
        <v>296</v>
      </c>
      <c r="O27" s="5">
        <v>3</v>
      </c>
      <c r="P27" s="5">
        <v>3128660787</v>
      </c>
      <c r="Q27" s="5">
        <v>31286607870</v>
      </c>
      <c r="R27" s="5" t="s">
        <v>297</v>
      </c>
      <c r="S27" s="5"/>
      <c r="T27" s="5" t="s">
        <v>298</v>
      </c>
      <c r="U27" s="5" t="s">
        <v>299</v>
      </c>
      <c r="V27" s="5" t="s">
        <v>299</v>
      </c>
      <c r="W27" s="5" t="s">
        <v>297</v>
      </c>
      <c r="X27" s="5" t="s">
        <v>78</v>
      </c>
      <c r="Y27" s="5" t="s">
        <v>300</v>
      </c>
      <c r="Z27" s="5" t="s">
        <v>301</v>
      </c>
      <c r="AA27" s="8">
        <v>45748</v>
      </c>
      <c r="AB27" s="5" t="s">
        <v>61</v>
      </c>
      <c r="AC27" s="5" t="s">
        <v>301</v>
      </c>
      <c r="AD27" s="8" t="s">
        <v>69</v>
      </c>
      <c r="AE27" s="5">
        <v>400000</v>
      </c>
      <c r="AF27" s="5">
        <v>0</v>
      </c>
      <c r="AG27" s="5">
        <v>400000</v>
      </c>
      <c r="AH27" s="5">
        <v>400000</v>
      </c>
      <c r="AI27" s="8" t="s">
        <v>69</v>
      </c>
      <c r="AJ27" s="5">
        <v>0</v>
      </c>
      <c r="AK27" s="9">
        <v>45770</v>
      </c>
      <c r="AL27" s="5">
        <v>400000</v>
      </c>
      <c r="AM27" s="5"/>
    </row>
    <row r="28" spans="1:39" x14ac:dyDescent="0.3">
      <c r="A28" s="4" t="s">
        <v>302</v>
      </c>
      <c r="B28" s="5">
        <v>2025</v>
      </c>
      <c r="C28" s="5" t="s">
        <v>40</v>
      </c>
      <c r="D28" s="5" t="s">
        <v>191</v>
      </c>
      <c r="E28" s="5" t="s">
        <v>42</v>
      </c>
      <c r="F28" s="6" t="s">
        <v>303</v>
      </c>
      <c r="G28" s="7">
        <v>26</v>
      </c>
      <c r="H28" s="7" t="s">
        <v>304</v>
      </c>
      <c r="I28" s="8">
        <v>45729</v>
      </c>
      <c r="J28" s="8">
        <v>45729</v>
      </c>
      <c r="K28" s="5"/>
      <c r="L28" s="5" t="s">
        <v>61</v>
      </c>
      <c r="M28" s="5" t="s">
        <v>42</v>
      </c>
      <c r="N28" s="5" t="s">
        <v>305</v>
      </c>
      <c r="O28" s="5">
        <v>13</v>
      </c>
      <c r="P28" s="5">
        <v>3128664352</v>
      </c>
      <c r="Q28" s="5">
        <v>31286643520</v>
      </c>
      <c r="R28" s="5" t="s">
        <v>306</v>
      </c>
      <c r="S28" s="5"/>
      <c r="T28" s="5" t="s">
        <v>307</v>
      </c>
      <c r="U28" s="5" t="s">
        <v>308</v>
      </c>
      <c r="V28" s="5" t="s">
        <v>308</v>
      </c>
      <c r="W28" s="5" t="s">
        <v>309</v>
      </c>
      <c r="X28" s="5"/>
      <c r="Y28" s="5" t="s">
        <v>310</v>
      </c>
      <c r="Z28" s="5" t="s">
        <v>311</v>
      </c>
      <c r="AA28" s="8">
        <v>45748</v>
      </c>
      <c r="AB28" s="5" t="s">
        <v>61</v>
      </c>
      <c r="AC28" s="5" t="s">
        <v>312</v>
      </c>
      <c r="AD28" s="8" t="s">
        <v>69</v>
      </c>
      <c r="AE28" s="5">
        <v>458090</v>
      </c>
      <c r="AF28" s="5">
        <v>0</v>
      </c>
      <c r="AG28" s="5">
        <v>458090</v>
      </c>
      <c r="AH28" s="5">
        <v>458090</v>
      </c>
      <c r="AI28" s="8" t="s">
        <v>69</v>
      </c>
      <c r="AJ28" s="5">
        <v>0</v>
      </c>
      <c r="AK28" s="9">
        <v>45770</v>
      </c>
      <c r="AL28" s="5">
        <v>458090</v>
      </c>
      <c r="AM28" s="5"/>
    </row>
    <row r="29" spans="1:39" x14ac:dyDescent="0.3">
      <c r="A29" s="4" t="s">
        <v>313</v>
      </c>
      <c r="B29" s="5">
        <v>2025</v>
      </c>
      <c r="C29" s="5" t="s">
        <v>40</v>
      </c>
      <c r="D29" s="5" t="s">
        <v>314</v>
      </c>
      <c r="E29" s="5" t="s">
        <v>42</v>
      </c>
      <c r="F29" s="6" t="s">
        <v>315</v>
      </c>
      <c r="G29" s="7">
        <v>27</v>
      </c>
      <c r="H29" s="7" t="s">
        <v>304</v>
      </c>
      <c r="I29" s="8">
        <v>45730</v>
      </c>
      <c r="J29" s="8">
        <v>45730</v>
      </c>
      <c r="K29" s="5"/>
      <c r="L29" s="5" t="s">
        <v>218</v>
      </c>
      <c r="M29" s="5" t="s">
        <v>42</v>
      </c>
      <c r="N29" s="5" t="s">
        <v>316</v>
      </c>
      <c r="O29" s="5">
        <v>3</v>
      </c>
      <c r="P29" s="5">
        <v>8348702116</v>
      </c>
      <c r="Q29" s="5">
        <v>83487021160</v>
      </c>
      <c r="R29" s="5" t="s">
        <v>317</v>
      </c>
      <c r="S29" s="5"/>
      <c r="T29" s="5" t="s">
        <v>318</v>
      </c>
      <c r="U29" s="5" t="s">
        <v>319</v>
      </c>
      <c r="V29" s="5" t="s">
        <v>319</v>
      </c>
      <c r="W29" s="5" t="s">
        <v>320</v>
      </c>
      <c r="X29" s="5" t="s">
        <v>321</v>
      </c>
      <c r="Y29" s="5" t="s">
        <v>322</v>
      </c>
      <c r="Z29" s="5" t="s">
        <v>323</v>
      </c>
      <c r="AA29" s="8">
        <v>45758</v>
      </c>
      <c r="AB29" s="5" t="s">
        <v>218</v>
      </c>
      <c r="AC29" s="5" t="s">
        <v>324</v>
      </c>
      <c r="AD29" s="8">
        <v>45758</v>
      </c>
      <c r="AE29" s="5">
        <v>900000</v>
      </c>
      <c r="AF29" s="5">
        <v>500000</v>
      </c>
      <c r="AG29" s="5">
        <v>400000</v>
      </c>
      <c r="AH29" s="5">
        <v>900000</v>
      </c>
      <c r="AI29" s="8">
        <v>45764</v>
      </c>
      <c r="AJ29" s="5">
        <v>500000</v>
      </c>
      <c r="AK29" s="9">
        <v>45770</v>
      </c>
      <c r="AL29" s="5">
        <v>400000</v>
      </c>
      <c r="AM29" s="5"/>
    </row>
    <row r="30" spans="1:39" x14ac:dyDescent="0.3">
      <c r="A30" s="4" t="s">
        <v>325</v>
      </c>
      <c r="B30" s="5">
        <v>2025</v>
      </c>
      <c r="C30" s="5" t="s">
        <v>40</v>
      </c>
      <c r="D30" s="5" t="s">
        <v>71</v>
      </c>
      <c r="E30" s="5" t="s">
        <v>42</v>
      </c>
      <c r="F30" s="6" t="s">
        <v>326</v>
      </c>
      <c r="G30" s="7">
        <v>28</v>
      </c>
      <c r="H30" s="7" t="s">
        <v>327</v>
      </c>
      <c r="I30" s="8">
        <v>45730</v>
      </c>
      <c r="J30" s="8">
        <v>45730</v>
      </c>
      <c r="K30" s="5"/>
      <c r="L30" s="5" t="s">
        <v>73</v>
      </c>
      <c r="M30" s="5" t="s">
        <v>42</v>
      </c>
      <c r="N30" s="5" t="s">
        <v>328</v>
      </c>
      <c r="O30" s="5">
        <v>57</v>
      </c>
      <c r="P30" s="5">
        <v>7941400586</v>
      </c>
      <c r="Q30" s="5">
        <v>79414005860</v>
      </c>
      <c r="R30" s="5" t="s">
        <v>317</v>
      </c>
      <c r="S30" s="5"/>
      <c r="T30" s="5" t="s">
        <v>329</v>
      </c>
      <c r="U30" s="5" t="s">
        <v>319</v>
      </c>
      <c r="V30" s="5" t="s">
        <v>319</v>
      </c>
      <c r="W30" s="5" t="s">
        <v>320</v>
      </c>
      <c r="X30" s="5" t="s">
        <v>321</v>
      </c>
      <c r="Y30" s="5" t="s">
        <v>322</v>
      </c>
      <c r="Z30" s="5" t="s">
        <v>323</v>
      </c>
      <c r="AA30" s="8">
        <v>45758</v>
      </c>
      <c r="AB30" s="5" t="s">
        <v>218</v>
      </c>
      <c r="AC30" s="5" t="s">
        <v>330</v>
      </c>
      <c r="AD30" s="8">
        <v>45758</v>
      </c>
      <c r="AE30" s="5">
        <v>500000</v>
      </c>
      <c r="AF30" s="5">
        <v>500000</v>
      </c>
      <c r="AG30" s="5">
        <v>0</v>
      </c>
      <c r="AH30" s="5">
        <v>500000</v>
      </c>
      <c r="AI30" s="8">
        <v>45764</v>
      </c>
      <c r="AJ30" s="5">
        <v>500000</v>
      </c>
      <c r="AK30" s="9" t="s">
        <v>56</v>
      </c>
      <c r="AL30" s="5">
        <v>0</v>
      </c>
      <c r="AM30" s="5"/>
    </row>
    <row r="31" spans="1:39" x14ac:dyDescent="0.3">
      <c r="A31" s="4" t="s">
        <v>331</v>
      </c>
      <c r="B31" s="5">
        <v>2025</v>
      </c>
      <c r="C31" s="5" t="s">
        <v>40</v>
      </c>
      <c r="D31" s="5" t="s">
        <v>71</v>
      </c>
      <c r="E31" s="5" t="s">
        <v>42</v>
      </c>
      <c r="F31" s="6" t="s">
        <v>332</v>
      </c>
      <c r="G31" s="7">
        <v>29</v>
      </c>
      <c r="H31" s="7" t="s">
        <v>333</v>
      </c>
      <c r="I31" s="8">
        <v>45733</v>
      </c>
      <c r="J31" s="8">
        <v>45733</v>
      </c>
      <c r="K31" s="5"/>
      <c r="L31" s="5" t="s">
        <v>46</v>
      </c>
      <c r="M31" s="5" t="s">
        <v>334</v>
      </c>
      <c r="N31" s="5" t="s">
        <v>335</v>
      </c>
      <c r="O31" s="5">
        <v>5</v>
      </c>
      <c r="P31" s="5">
        <v>3178505647</v>
      </c>
      <c r="Q31" s="5">
        <v>31785056470</v>
      </c>
      <c r="R31" s="5" t="s">
        <v>336</v>
      </c>
      <c r="S31" s="5"/>
      <c r="T31" s="5" t="s">
        <v>337</v>
      </c>
      <c r="U31" s="5" t="s">
        <v>338</v>
      </c>
      <c r="V31" s="5" t="s">
        <v>338</v>
      </c>
      <c r="W31" s="5" t="s">
        <v>339</v>
      </c>
      <c r="X31" s="5"/>
      <c r="Y31" s="5" t="s">
        <v>340</v>
      </c>
      <c r="Z31" s="5" t="s">
        <v>341</v>
      </c>
      <c r="AA31" s="8">
        <v>45755</v>
      </c>
      <c r="AB31" s="5" t="s">
        <v>46</v>
      </c>
      <c r="AC31" s="5" t="s">
        <v>341</v>
      </c>
      <c r="AD31" s="8">
        <v>45757</v>
      </c>
      <c r="AE31" s="5">
        <v>730000</v>
      </c>
      <c r="AF31" s="5">
        <v>330000</v>
      </c>
      <c r="AG31" s="5">
        <v>400000</v>
      </c>
      <c r="AH31" s="5">
        <v>730000</v>
      </c>
      <c r="AI31" s="8">
        <v>45838</v>
      </c>
      <c r="AJ31" s="5">
        <v>330000</v>
      </c>
      <c r="AK31" s="9">
        <v>45776</v>
      </c>
      <c r="AL31" s="5">
        <v>400000</v>
      </c>
      <c r="AM31" s="5"/>
    </row>
    <row r="32" spans="1:39" x14ac:dyDescent="0.3">
      <c r="A32" s="4" t="s">
        <v>342</v>
      </c>
      <c r="B32" s="5">
        <v>2025</v>
      </c>
      <c r="C32" s="5" t="s">
        <v>40</v>
      </c>
      <c r="D32" s="5" t="s">
        <v>191</v>
      </c>
      <c r="E32" s="5" t="s">
        <v>42</v>
      </c>
      <c r="F32" s="6" t="s">
        <v>343</v>
      </c>
      <c r="G32" s="7">
        <v>30</v>
      </c>
      <c r="H32" s="7" t="s">
        <v>344</v>
      </c>
      <c r="I32" s="8">
        <v>45734</v>
      </c>
      <c r="J32" s="8">
        <v>45734</v>
      </c>
      <c r="K32" s="5"/>
      <c r="L32" s="5" t="s">
        <v>73</v>
      </c>
      <c r="M32" s="5" t="s">
        <v>42</v>
      </c>
      <c r="N32" s="5" t="s">
        <v>345</v>
      </c>
      <c r="O32" s="5">
        <v>8</v>
      </c>
      <c r="P32" s="5">
        <v>8428701893</v>
      </c>
      <c r="Q32" s="5">
        <v>84287018930</v>
      </c>
      <c r="R32" s="5" t="s">
        <v>346</v>
      </c>
      <c r="S32" s="5"/>
      <c r="T32" s="5" t="s">
        <v>347</v>
      </c>
      <c r="U32" s="5"/>
      <c r="V32" s="5"/>
      <c r="W32" s="5" t="s">
        <v>348</v>
      </c>
      <c r="X32" s="5" t="s">
        <v>224</v>
      </c>
      <c r="Y32" s="5" t="s">
        <v>349</v>
      </c>
      <c r="Z32" s="5" t="s">
        <v>350</v>
      </c>
      <c r="AA32" s="8">
        <v>45757</v>
      </c>
      <c r="AB32" s="5" t="s">
        <v>73</v>
      </c>
      <c r="AC32" s="5"/>
      <c r="AD32" s="8" t="s">
        <v>69</v>
      </c>
      <c r="AE32" s="5">
        <v>1000000</v>
      </c>
      <c r="AF32" s="5">
        <v>0</v>
      </c>
      <c r="AG32" s="5">
        <v>1000000</v>
      </c>
      <c r="AH32" s="5">
        <v>1000000</v>
      </c>
      <c r="AI32" s="8" t="s">
        <v>69</v>
      </c>
      <c r="AJ32" s="5">
        <v>0</v>
      </c>
      <c r="AK32" s="9">
        <v>45770</v>
      </c>
      <c r="AL32" s="5">
        <v>1000000</v>
      </c>
      <c r="AM32" s="5"/>
    </row>
    <row r="33" spans="1:39" x14ac:dyDescent="0.3">
      <c r="A33" s="4" t="s">
        <v>351</v>
      </c>
      <c r="B33" s="5">
        <v>2025</v>
      </c>
      <c r="C33" s="5" t="s">
        <v>40</v>
      </c>
      <c r="D33" s="5"/>
      <c r="E33" s="5" t="s">
        <v>42</v>
      </c>
      <c r="F33" s="6" t="s">
        <v>352</v>
      </c>
      <c r="G33" s="7">
        <v>31</v>
      </c>
      <c r="H33" s="7" t="s">
        <v>353</v>
      </c>
      <c r="I33" s="8">
        <v>45734</v>
      </c>
      <c r="J33" s="8">
        <v>45734</v>
      </c>
      <c r="K33" s="5"/>
      <c r="L33" s="5" t="s">
        <v>181</v>
      </c>
      <c r="M33" s="5" t="s">
        <v>42</v>
      </c>
      <c r="N33" s="5" t="s">
        <v>354</v>
      </c>
      <c r="O33" s="5">
        <v>30</v>
      </c>
      <c r="P33" s="5">
        <v>8818801236</v>
      </c>
      <c r="Q33" s="5">
        <v>88188012360</v>
      </c>
      <c r="R33" s="5" t="s">
        <v>355</v>
      </c>
      <c r="S33" s="5"/>
      <c r="T33" s="5" t="s">
        <v>356</v>
      </c>
      <c r="U33" s="5" t="s">
        <v>357</v>
      </c>
      <c r="V33" s="5" t="s">
        <v>357</v>
      </c>
      <c r="W33" s="5" t="s">
        <v>358</v>
      </c>
      <c r="X33" s="5" t="s">
        <v>134</v>
      </c>
      <c r="Y33" s="5" t="s">
        <v>359</v>
      </c>
      <c r="Z33" s="5" t="s">
        <v>360</v>
      </c>
      <c r="AA33" s="8">
        <v>45754</v>
      </c>
      <c r="AB33" s="5" t="s">
        <v>181</v>
      </c>
      <c r="AC33" s="5" t="s">
        <v>360</v>
      </c>
      <c r="AD33" s="8">
        <v>45755</v>
      </c>
      <c r="AE33" s="5">
        <v>516470</v>
      </c>
      <c r="AF33" s="5">
        <v>150000</v>
      </c>
      <c r="AG33" s="5">
        <v>366470</v>
      </c>
      <c r="AH33" s="5">
        <v>516470</v>
      </c>
      <c r="AI33" s="8">
        <v>45856</v>
      </c>
      <c r="AJ33" s="5">
        <v>150000</v>
      </c>
      <c r="AK33" s="9">
        <v>45770</v>
      </c>
      <c r="AL33" s="5">
        <v>366470</v>
      </c>
      <c r="AM33" s="5"/>
    </row>
    <row r="34" spans="1:39" x14ac:dyDescent="0.3">
      <c r="A34" s="4" t="s">
        <v>361</v>
      </c>
      <c r="B34" s="5">
        <v>2025</v>
      </c>
      <c r="C34" s="5" t="s">
        <v>40</v>
      </c>
      <c r="D34" s="5" t="s">
        <v>71</v>
      </c>
      <c r="E34" s="5" t="s">
        <v>42</v>
      </c>
      <c r="F34" s="6" t="s">
        <v>362</v>
      </c>
      <c r="G34" s="7">
        <v>32</v>
      </c>
      <c r="H34" s="7" t="s">
        <v>353</v>
      </c>
      <c r="I34" s="8">
        <v>45735</v>
      </c>
      <c r="J34" s="8">
        <v>45735</v>
      </c>
      <c r="K34" s="5"/>
      <c r="L34" s="5" t="s">
        <v>61</v>
      </c>
      <c r="M34" s="5" t="s">
        <v>42</v>
      </c>
      <c r="N34" s="5" t="s">
        <v>363</v>
      </c>
      <c r="O34" s="5">
        <v>4</v>
      </c>
      <c r="P34" s="5">
        <v>2661900602</v>
      </c>
      <c r="Q34" s="5">
        <v>26619006020</v>
      </c>
      <c r="R34" s="5" t="s">
        <v>364</v>
      </c>
      <c r="S34" s="5"/>
      <c r="T34" s="5" t="s">
        <v>365</v>
      </c>
      <c r="U34" s="5" t="s">
        <v>366</v>
      </c>
      <c r="V34" s="5" t="s">
        <v>366</v>
      </c>
      <c r="W34" s="5" t="s">
        <v>364</v>
      </c>
      <c r="X34" s="5" t="s">
        <v>78</v>
      </c>
      <c r="Y34" s="5" t="s">
        <v>367</v>
      </c>
      <c r="Z34" s="5" t="s">
        <v>368</v>
      </c>
      <c r="AA34" s="8">
        <v>45754</v>
      </c>
      <c r="AB34" s="5" t="s">
        <v>61</v>
      </c>
      <c r="AC34" s="5" t="s">
        <v>369</v>
      </c>
      <c r="AD34" s="8">
        <v>45755</v>
      </c>
      <c r="AE34" s="5">
        <v>650000</v>
      </c>
      <c r="AF34" s="5">
        <v>250000</v>
      </c>
      <c r="AG34" s="5">
        <v>400000</v>
      </c>
      <c r="AH34" s="5">
        <v>650000</v>
      </c>
      <c r="AI34" s="8">
        <v>45755</v>
      </c>
      <c r="AJ34" s="5">
        <v>250000</v>
      </c>
      <c r="AK34" s="9">
        <v>45770</v>
      </c>
      <c r="AL34" s="5">
        <v>400000</v>
      </c>
      <c r="AM34" s="5"/>
    </row>
    <row r="35" spans="1:39" x14ac:dyDescent="0.3">
      <c r="A35" s="4" t="s">
        <v>370</v>
      </c>
      <c r="B35" s="5">
        <v>2025</v>
      </c>
      <c r="C35" s="5" t="s">
        <v>40</v>
      </c>
      <c r="D35" s="5" t="s">
        <v>71</v>
      </c>
      <c r="E35" s="5" t="s">
        <v>42</v>
      </c>
      <c r="F35" s="6" t="s">
        <v>371</v>
      </c>
      <c r="G35" s="7">
        <v>33</v>
      </c>
      <c r="H35" s="7" t="s">
        <v>372</v>
      </c>
      <c r="I35" s="8">
        <v>45735</v>
      </c>
      <c r="J35" s="8">
        <v>45735</v>
      </c>
      <c r="K35" s="5"/>
      <c r="L35" s="5" t="s">
        <v>46</v>
      </c>
      <c r="M35" s="5" t="s">
        <v>42</v>
      </c>
      <c r="N35" s="5" t="s">
        <v>373</v>
      </c>
      <c r="O35" s="5">
        <v>8</v>
      </c>
      <c r="P35" s="5">
        <v>2918100624</v>
      </c>
      <c r="Q35" s="5">
        <v>29181006240</v>
      </c>
      <c r="R35" s="5" t="s">
        <v>374</v>
      </c>
      <c r="S35" s="5"/>
      <c r="T35" s="5" t="s">
        <v>375</v>
      </c>
      <c r="U35" s="5" t="s">
        <v>376</v>
      </c>
      <c r="V35" s="5" t="s">
        <v>376</v>
      </c>
      <c r="W35" s="5" t="s">
        <v>377</v>
      </c>
      <c r="X35" s="5" t="s">
        <v>134</v>
      </c>
      <c r="Y35" s="5" t="s">
        <v>378</v>
      </c>
      <c r="Z35" s="5" t="s">
        <v>379</v>
      </c>
      <c r="AA35" s="8">
        <v>45754</v>
      </c>
      <c r="AB35" s="5" t="s">
        <v>61</v>
      </c>
      <c r="AC35" s="5" t="s">
        <v>379</v>
      </c>
      <c r="AD35" s="8">
        <v>45755</v>
      </c>
      <c r="AE35" s="5">
        <v>1050000</v>
      </c>
      <c r="AF35" s="5">
        <v>650000</v>
      </c>
      <c r="AG35" s="5">
        <v>400000</v>
      </c>
      <c r="AH35" s="5">
        <v>1050000</v>
      </c>
      <c r="AI35" s="8">
        <v>45874</v>
      </c>
      <c r="AJ35" s="5">
        <v>650000</v>
      </c>
      <c r="AK35" s="9">
        <v>45770</v>
      </c>
      <c r="AL35" s="5">
        <v>400000</v>
      </c>
      <c r="AM35" s="5"/>
    </row>
    <row r="36" spans="1:39" x14ac:dyDescent="0.3">
      <c r="A36" s="4" t="s">
        <v>380</v>
      </c>
      <c r="B36" s="5">
        <v>2025</v>
      </c>
      <c r="C36" s="5" t="s">
        <v>40</v>
      </c>
      <c r="D36" s="5" t="s">
        <v>71</v>
      </c>
      <c r="E36" s="5" t="s">
        <v>42</v>
      </c>
      <c r="F36" s="6" t="s">
        <v>381</v>
      </c>
      <c r="G36" s="7">
        <v>34</v>
      </c>
      <c r="H36" s="7" t="s">
        <v>382</v>
      </c>
      <c r="I36" s="8">
        <v>45735</v>
      </c>
      <c r="J36" s="8">
        <v>45735</v>
      </c>
      <c r="K36" s="5"/>
      <c r="L36" s="5" t="s">
        <v>218</v>
      </c>
      <c r="M36" s="5" t="s">
        <v>42</v>
      </c>
      <c r="N36" s="5" t="s">
        <v>383</v>
      </c>
      <c r="O36" s="5">
        <v>10</v>
      </c>
      <c r="P36" s="5">
        <v>3128218355</v>
      </c>
      <c r="Q36" s="5">
        <v>31282183550</v>
      </c>
      <c r="R36" s="5" t="s">
        <v>384</v>
      </c>
      <c r="S36" s="5"/>
      <c r="T36" s="5" t="s">
        <v>385</v>
      </c>
      <c r="U36" s="5" t="s">
        <v>386</v>
      </c>
      <c r="V36" s="5" t="s">
        <v>386</v>
      </c>
      <c r="W36" s="5" t="s">
        <v>387</v>
      </c>
      <c r="X36" s="5" t="s">
        <v>388</v>
      </c>
      <c r="Y36" s="5" t="s">
        <v>389</v>
      </c>
      <c r="Z36" s="5" t="s">
        <v>390</v>
      </c>
      <c r="AA36" s="8">
        <v>45755</v>
      </c>
      <c r="AB36" s="5" t="s">
        <v>281</v>
      </c>
      <c r="AC36" s="5" t="s">
        <v>390</v>
      </c>
      <c r="AD36" s="8">
        <v>45755</v>
      </c>
      <c r="AE36" s="5">
        <v>700000</v>
      </c>
      <c r="AF36" s="5">
        <v>300000</v>
      </c>
      <c r="AG36" s="5">
        <v>400000</v>
      </c>
      <c r="AH36" s="5">
        <v>700000</v>
      </c>
      <c r="AI36" s="8">
        <v>45824</v>
      </c>
      <c r="AJ36" s="5">
        <v>300000</v>
      </c>
      <c r="AK36" s="9">
        <v>45770</v>
      </c>
      <c r="AL36" s="5">
        <v>400000</v>
      </c>
      <c r="AM36" s="5"/>
    </row>
    <row r="37" spans="1:39" x14ac:dyDescent="0.3">
      <c r="A37" s="4" t="s">
        <v>391</v>
      </c>
      <c r="B37" s="5">
        <v>2025</v>
      </c>
      <c r="C37" s="5" t="s">
        <v>40</v>
      </c>
      <c r="D37" s="5" t="s">
        <v>71</v>
      </c>
      <c r="E37" s="5" t="s">
        <v>42</v>
      </c>
      <c r="F37" s="6" t="s">
        <v>392</v>
      </c>
      <c r="G37" s="7">
        <v>35</v>
      </c>
      <c r="H37" s="7" t="s">
        <v>393</v>
      </c>
      <c r="I37" s="8">
        <v>45736</v>
      </c>
      <c r="J37" s="8">
        <v>45736</v>
      </c>
      <c r="K37" s="5"/>
      <c r="L37" s="5" t="s">
        <v>61</v>
      </c>
      <c r="M37" s="5" t="s">
        <v>42</v>
      </c>
      <c r="N37" s="5" t="s">
        <v>394</v>
      </c>
      <c r="O37" s="5">
        <v>31</v>
      </c>
      <c r="P37" s="5">
        <v>1498101813</v>
      </c>
      <c r="Q37" s="5">
        <v>14981018130</v>
      </c>
      <c r="R37" s="5" t="s">
        <v>395</v>
      </c>
      <c r="S37" s="5"/>
      <c r="T37" s="5" t="s">
        <v>396</v>
      </c>
      <c r="U37" s="5" t="s">
        <v>397</v>
      </c>
      <c r="V37" s="5" t="s">
        <v>397</v>
      </c>
      <c r="W37" s="5" t="s">
        <v>398</v>
      </c>
      <c r="X37" s="5" t="s">
        <v>134</v>
      </c>
      <c r="Y37" s="5" t="s">
        <v>399</v>
      </c>
      <c r="Z37" s="5" t="s">
        <v>400</v>
      </c>
      <c r="AA37" s="8">
        <v>45764</v>
      </c>
      <c r="AB37" s="5" t="s">
        <v>181</v>
      </c>
      <c r="AC37" s="5" t="s">
        <v>401</v>
      </c>
      <c r="AD37" s="8">
        <v>45764</v>
      </c>
      <c r="AE37" s="5">
        <v>1800000</v>
      </c>
      <c r="AF37" s="5">
        <v>1400000</v>
      </c>
      <c r="AG37" s="5">
        <v>400000</v>
      </c>
      <c r="AH37" s="5">
        <v>1800000</v>
      </c>
      <c r="AI37" s="8">
        <v>45810</v>
      </c>
      <c r="AJ37" s="5">
        <v>1400000</v>
      </c>
      <c r="AK37" s="9">
        <v>45799</v>
      </c>
      <c r="AL37" s="5">
        <v>400000</v>
      </c>
      <c r="AM37" s="5"/>
    </row>
    <row r="38" spans="1:39" x14ac:dyDescent="0.3">
      <c r="A38" s="4" t="s">
        <v>402</v>
      </c>
      <c r="B38" s="5">
        <v>2025</v>
      </c>
      <c r="C38" s="5" t="s">
        <v>40</v>
      </c>
      <c r="D38" s="5" t="s">
        <v>71</v>
      </c>
      <c r="E38" s="5" t="s">
        <v>42</v>
      </c>
      <c r="F38" s="6" t="s">
        <v>403</v>
      </c>
      <c r="G38" s="7">
        <v>36</v>
      </c>
      <c r="H38" s="7" t="s">
        <v>404</v>
      </c>
      <c r="I38" s="8">
        <v>45736</v>
      </c>
      <c r="J38" s="8">
        <v>45736</v>
      </c>
      <c r="K38" s="5"/>
      <c r="L38" s="5" t="s">
        <v>181</v>
      </c>
      <c r="M38" s="5" t="s">
        <v>42</v>
      </c>
      <c r="N38" s="5" t="s">
        <v>405</v>
      </c>
      <c r="O38" s="5">
        <v>15</v>
      </c>
      <c r="P38" s="5">
        <v>3128629753</v>
      </c>
      <c r="Q38" s="5">
        <v>31286297530</v>
      </c>
      <c r="R38" s="5" t="s">
        <v>395</v>
      </c>
      <c r="S38" s="5"/>
      <c r="T38" s="5" t="s">
        <v>406</v>
      </c>
      <c r="U38" s="5" t="s">
        <v>397</v>
      </c>
      <c r="V38" s="5" t="s">
        <v>397</v>
      </c>
      <c r="W38" s="5" t="s">
        <v>398</v>
      </c>
      <c r="X38" s="5" t="s">
        <v>134</v>
      </c>
      <c r="Y38" s="5" t="s">
        <v>399</v>
      </c>
      <c r="Z38" s="5" t="s">
        <v>400</v>
      </c>
      <c r="AA38" s="8">
        <v>45763</v>
      </c>
      <c r="AB38" s="5" t="s">
        <v>181</v>
      </c>
      <c r="AC38" s="5" t="s">
        <v>407</v>
      </c>
      <c r="AD38" s="8">
        <v>45764</v>
      </c>
      <c r="AE38" s="5">
        <v>1000000</v>
      </c>
      <c r="AF38" s="5">
        <v>600000</v>
      </c>
      <c r="AG38" s="5">
        <v>400000</v>
      </c>
      <c r="AH38" s="5">
        <v>1000000</v>
      </c>
      <c r="AI38" s="8">
        <v>45856</v>
      </c>
      <c r="AJ38" s="5">
        <v>600000</v>
      </c>
      <c r="AK38" s="9">
        <v>45799</v>
      </c>
      <c r="AL38" s="5">
        <v>400000</v>
      </c>
      <c r="AM38" s="5"/>
    </row>
    <row r="39" spans="1:39" x14ac:dyDescent="0.3">
      <c r="A39" s="4" t="s">
        <v>408</v>
      </c>
      <c r="B39" s="5">
        <v>2025</v>
      </c>
      <c r="C39" s="5" t="s">
        <v>40</v>
      </c>
      <c r="D39" s="5"/>
      <c r="E39" s="5" t="s">
        <v>42</v>
      </c>
      <c r="F39" s="6" t="s">
        <v>409</v>
      </c>
      <c r="G39" s="7">
        <v>37</v>
      </c>
      <c r="H39" s="7" t="s">
        <v>410</v>
      </c>
      <c r="I39" s="8">
        <v>45737</v>
      </c>
      <c r="J39" s="8">
        <v>45737</v>
      </c>
      <c r="K39" s="5"/>
      <c r="L39" s="5" t="s">
        <v>73</v>
      </c>
      <c r="M39" s="5" t="s">
        <v>42</v>
      </c>
      <c r="N39" s="5" t="s">
        <v>411</v>
      </c>
      <c r="O39" s="5">
        <v>20</v>
      </c>
      <c r="P39" s="5">
        <v>1588602602</v>
      </c>
      <c r="Q39" s="5">
        <v>15886026020</v>
      </c>
      <c r="R39" s="5" t="s">
        <v>412</v>
      </c>
      <c r="S39" s="5"/>
      <c r="T39" s="5" t="s">
        <v>413</v>
      </c>
      <c r="U39" s="5" t="s">
        <v>414</v>
      </c>
      <c r="V39" s="5" t="s">
        <v>414</v>
      </c>
      <c r="W39" s="5" t="s">
        <v>415</v>
      </c>
      <c r="X39" s="5" t="s">
        <v>416</v>
      </c>
      <c r="Y39" s="5" t="s">
        <v>417</v>
      </c>
      <c r="Z39" s="5" t="s">
        <v>418</v>
      </c>
      <c r="AA39" s="8">
        <v>45765</v>
      </c>
      <c r="AB39" s="5" t="s">
        <v>73</v>
      </c>
      <c r="AC39" s="5" t="s">
        <v>419</v>
      </c>
      <c r="AD39" s="8">
        <v>45765</v>
      </c>
      <c r="AE39" s="5">
        <v>3100000</v>
      </c>
      <c r="AF39" s="5">
        <v>2700000</v>
      </c>
      <c r="AG39" s="5">
        <v>400000</v>
      </c>
      <c r="AH39" s="5">
        <v>3100000</v>
      </c>
      <c r="AI39" s="8">
        <v>45797</v>
      </c>
      <c r="AJ39" s="5">
        <v>2700000</v>
      </c>
      <c r="AK39" s="9">
        <v>45799</v>
      </c>
      <c r="AL39" s="5">
        <v>400000</v>
      </c>
      <c r="AM39" s="5"/>
    </row>
    <row r="40" spans="1:39" x14ac:dyDescent="0.3">
      <c r="A40" s="4" t="s">
        <v>420</v>
      </c>
      <c r="B40" s="5">
        <v>2025</v>
      </c>
      <c r="C40" s="5" t="s">
        <v>40</v>
      </c>
      <c r="D40" s="5" t="s">
        <v>421</v>
      </c>
      <c r="E40" s="5" t="s">
        <v>42</v>
      </c>
      <c r="F40" s="6" t="s">
        <v>422</v>
      </c>
      <c r="G40" s="7">
        <v>38</v>
      </c>
      <c r="H40" s="7" t="s">
        <v>423</v>
      </c>
      <c r="I40" s="8">
        <v>45737</v>
      </c>
      <c r="J40" s="8">
        <v>45737</v>
      </c>
      <c r="K40" s="5"/>
      <c r="L40" s="5" t="s">
        <v>218</v>
      </c>
      <c r="M40" s="5" t="s">
        <v>42</v>
      </c>
      <c r="N40" s="5" t="s">
        <v>424</v>
      </c>
      <c r="O40" s="5">
        <v>6</v>
      </c>
      <c r="P40" s="5">
        <v>4178133090</v>
      </c>
      <c r="Q40" s="5">
        <v>92126827491</v>
      </c>
      <c r="R40" s="5" t="s">
        <v>425</v>
      </c>
      <c r="S40" s="5"/>
      <c r="T40" s="5" t="s">
        <v>426</v>
      </c>
      <c r="U40" s="5" t="s">
        <v>427</v>
      </c>
      <c r="V40" s="5" t="s">
        <v>427</v>
      </c>
      <c r="W40" s="5" t="s">
        <v>428</v>
      </c>
      <c r="X40" s="5" t="s">
        <v>123</v>
      </c>
      <c r="Y40" s="5" t="s">
        <v>429</v>
      </c>
      <c r="Z40" s="5" t="s">
        <v>430</v>
      </c>
      <c r="AA40" s="8">
        <v>45765</v>
      </c>
      <c r="AB40" s="5" t="s">
        <v>73</v>
      </c>
      <c r="AC40" s="5" t="s">
        <v>430</v>
      </c>
      <c r="AD40" s="8">
        <v>45765</v>
      </c>
      <c r="AE40" s="5">
        <v>1000000</v>
      </c>
      <c r="AF40" s="5">
        <v>600000</v>
      </c>
      <c r="AG40" s="5">
        <v>400000</v>
      </c>
      <c r="AH40" s="5">
        <v>1000000</v>
      </c>
      <c r="AI40" s="8">
        <v>45838</v>
      </c>
      <c r="AJ40" s="5">
        <v>600000</v>
      </c>
      <c r="AK40" s="9">
        <v>45799</v>
      </c>
      <c r="AL40" s="5">
        <v>400000</v>
      </c>
      <c r="AM40" s="5"/>
    </row>
    <row r="41" spans="1:39" x14ac:dyDescent="0.3">
      <c r="A41" s="4" t="s">
        <v>431</v>
      </c>
      <c r="B41" s="5">
        <v>2025</v>
      </c>
      <c r="C41" s="5" t="s">
        <v>40</v>
      </c>
      <c r="D41" s="5" t="s">
        <v>432</v>
      </c>
      <c r="E41" s="5" t="s">
        <v>42</v>
      </c>
      <c r="F41" s="6" t="s">
        <v>433</v>
      </c>
      <c r="G41" s="7">
        <v>39</v>
      </c>
      <c r="H41" s="7" t="s">
        <v>434</v>
      </c>
      <c r="I41" s="8">
        <v>45741</v>
      </c>
      <c r="J41" s="8">
        <v>45743</v>
      </c>
      <c r="K41" s="5"/>
      <c r="L41" s="5" t="s">
        <v>435</v>
      </c>
      <c r="M41" s="5" t="s">
        <v>436</v>
      </c>
      <c r="N41" s="5" t="s">
        <v>437</v>
      </c>
      <c r="O41" s="5">
        <v>1512</v>
      </c>
      <c r="P41" s="5">
        <v>1248301818</v>
      </c>
      <c r="Q41" s="5">
        <v>12483018180</v>
      </c>
      <c r="R41" s="5" t="s">
        <v>438</v>
      </c>
      <c r="S41" s="5"/>
      <c r="T41" s="5" t="s">
        <v>439</v>
      </c>
      <c r="U41" s="5" t="s">
        <v>440</v>
      </c>
      <c r="V41" s="5" t="s">
        <v>440</v>
      </c>
      <c r="W41" s="5" t="s">
        <v>441</v>
      </c>
      <c r="X41" s="5" t="s">
        <v>442</v>
      </c>
      <c r="Y41" s="5" t="s">
        <v>443</v>
      </c>
      <c r="Z41" s="5" t="s">
        <v>444</v>
      </c>
      <c r="AA41" s="8">
        <v>45772</v>
      </c>
      <c r="AB41" s="5" t="s">
        <v>61</v>
      </c>
      <c r="AC41" s="5" t="s">
        <v>444</v>
      </c>
      <c r="AD41" s="8">
        <v>45799</v>
      </c>
      <c r="AE41" s="5">
        <v>15500000</v>
      </c>
      <c r="AF41" s="5">
        <v>15500000</v>
      </c>
      <c r="AG41" s="5">
        <v>0</v>
      </c>
      <c r="AH41" s="5">
        <v>15500000</v>
      </c>
      <c r="AI41" s="8">
        <v>45807</v>
      </c>
      <c r="AJ41" s="5">
        <v>15500000</v>
      </c>
      <c r="AK41" s="9" t="s">
        <v>56</v>
      </c>
      <c r="AL41" s="5">
        <v>0</v>
      </c>
      <c r="AM41" s="5"/>
    </row>
    <row r="42" spans="1:39" x14ac:dyDescent="0.3">
      <c r="A42" s="4" t="s">
        <v>445</v>
      </c>
      <c r="B42" s="5">
        <v>2025</v>
      </c>
      <c r="C42" s="5" t="s">
        <v>40</v>
      </c>
      <c r="D42" s="5" t="s">
        <v>446</v>
      </c>
      <c r="E42" s="5" t="s">
        <v>42</v>
      </c>
      <c r="F42" s="6" t="s">
        <v>447</v>
      </c>
      <c r="G42" s="7">
        <v>40</v>
      </c>
      <c r="H42" s="7" t="s">
        <v>434</v>
      </c>
      <c r="I42" s="8">
        <v>45743</v>
      </c>
      <c r="J42" s="8">
        <v>45743</v>
      </c>
      <c r="K42" s="5"/>
      <c r="L42" s="5" t="s">
        <v>46</v>
      </c>
      <c r="M42" s="5" t="s">
        <v>241</v>
      </c>
      <c r="N42" s="5" t="s">
        <v>448</v>
      </c>
      <c r="O42" s="5">
        <v>3</v>
      </c>
      <c r="P42" s="5">
        <v>1258628830</v>
      </c>
      <c r="Q42" s="5">
        <v>12586288300</v>
      </c>
      <c r="R42" s="5" t="s">
        <v>449</v>
      </c>
      <c r="S42" s="5"/>
      <c r="T42" s="5" t="s">
        <v>450</v>
      </c>
      <c r="U42" s="5" t="s">
        <v>451</v>
      </c>
      <c r="V42" s="5" t="s">
        <v>451</v>
      </c>
      <c r="W42" s="5" t="s">
        <v>449</v>
      </c>
      <c r="X42" s="5" t="s">
        <v>78</v>
      </c>
      <c r="Y42" s="5"/>
      <c r="Z42" s="5" t="s">
        <v>452</v>
      </c>
      <c r="AA42" s="8">
        <v>45762</v>
      </c>
      <c r="AB42" s="5" t="s">
        <v>46</v>
      </c>
      <c r="AC42" s="5"/>
      <c r="AD42" s="8" t="s">
        <v>69</v>
      </c>
      <c r="AE42" s="5">
        <v>366470</v>
      </c>
      <c r="AF42" s="5">
        <v>0</v>
      </c>
      <c r="AG42" s="5">
        <v>366470</v>
      </c>
      <c r="AH42" s="5">
        <v>366470</v>
      </c>
      <c r="AI42" s="8" t="s">
        <v>69</v>
      </c>
      <c r="AJ42" s="5">
        <v>0</v>
      </c>
      <c r="AK42" s="9">
        <v>45771</v>
      </c>
      <c r="AL42" s="5">
        <v>366470</v>
      </c>
      <c r="AM42" s="5"/>
    </row>
    <row r="43" spans="1:39" x14ac:dyDescent="0.3">
      <c r="A43" s="4" t="s">
        <v>453</v>
      </c>
      <c r="B43" s="5">
        <v>2025</v>
      </c>
      <c r="C43" s="5" t="s">
        <v>40</v>
      </c>
      <c r="D43" s="5" t="s">
        <v>203</v>
      </c>
      <c r="E43" s="5" t="s">
        <v>42</v>
      </c>
      <c r="F43" s="6" t="s">
        <v>454</v>
      </c>
      <c r="G43" s="7">
        <v>41</v>
      </c>
      <c r="H43" s="7" t="s">
        <v>455</v>
      </c>
      <c r="I43" s="8">
        <v>45744</v>
      </c>
      <c r="J43" s="8">
        <v>45744</v>
      </c>
      <c r="K43" s="5"/>
      <c r="L43" s="5" t="s">
        <v>46</v>
      </c>
      <c r="M43" s="5" t="s">
        <v>241</v>
      </c>
      <c r="N43" s="5" t="s">
        <v>456</v>
      </c>
      <c r="O43" s="5">
        <v>60</v>
      </c>
      <c r="P43" s="5">
        <v>1248148819</v>
      </c>
      <c r="Q43" s="5">
        <v>12481488190</v>
      </c>
      <c r="R43" s="5" t="s">
        <v>457</v>
      </c>
      <c r="S43" s="5"/>
      <c r="T43" s="5" t="s">
        <v>458</v>
      </c>
      <c r="U43" s="5" t="s">
        <v>459</v>
      </c>
      <c r="V43" s="5" t="s">
        <v>459</v>
      </c>
      <c r="W43" s="5" t="s">
        <v>460</v>
      </c>
      <c r="X43" s="5" t="s">
        <v>461</v>
      </c>
      <c r="Y43" s="5" t="s">
        <v>462</v>
      </c>
      <c r="Z43" s="5" t="s">
        <v>463</v>
      </c>
      <c r="AA43" s="8">
        <v>45772</v>
      </c>
      <c r="AB43" s="5" t="s">
        <v>218</v>
      </c>
      <c r="AC43" s="5" t="s">
        <v>463</v>
      </c>
      <c r="AD43" s="8">
        <v>45775</v>
      </c>
      <c r="AE43" s="5">
        <v>900000</v>
      </c>
      <c r="AF43" s="5">
        <v>900000</v>
      </c>
      <c r="AG43" s="5">
        <v>0</v>
      </c>
      <c r="AH43" s="5">
        <v>900000</v>
      </c>
      <c r="AI43" s="8">
        <v>45806</v>
      </c>
      <c r="AJ43" s="5">
        <v>900000</v>
      </c>
      <c r="AK43" s="9" t="s">
        <v>56</v>
      </c>
      <c r="AL43" s="5">
        <v>0</v>
      </c>
      <c r="AM43" s="5"/>
    </row>
    <row r="44" spans="1:39" x14ac:dyDescent="0.3">
      <c r="A44" s="4" t="s">
        <v>464</v>
      </c>
      <c r="B44" s="5">
        <v>2025</v>
      </c>
      <c r="C44" s="5" t="s">
        <v>40</v>
      </c>
      <c r="D44" s="5" t="s">
        <v>191</v>
      </c>
      <c r="E44" s="5" t="s">
        <v>42</v>
      </c>
      <c r="F44" s="6" t="s">
        <v>465</v>
      </c>
      <c r="G44" s="7">
        <v>42</v>
      </c>
      <c r="H44" s="7" t="s">
        <v>466</v>
      </c>
      <c r="I44" s="8">
        <v>45744</v>
      </c>
      <c r="J44" s="8">
        <v>45744</v>
      </c>
      <c r="K44" s="5"/>
      <c r="L44" s="5" t="s">
        <v>218</v>
      </c>
      <c r="M44" s="5" t="s">
        <v>241</v>
      </c>
      <c r="N44" s="5" t="s">
        <v>467</v>
      </c>
      <c r="O44" s="5">
        <v>18</v>
      </c>
      <c r="P44" s="5">
        <v>1192061600</v>
      </c>
      <c r="Q44" s="5">
        <v>11920616000</v>
      </c>
      <c r="R44" s="5" t="s">
        <v>468</v>
      </c>
      <c r="S44" s="5"/>
      <c r="T44" s="5" t="s">
        <v>469</v>
      </c>
      <c r="U44" s="5" t="s">
        <v>470</v>
      </c>
      <c r="V44" s="5" t="s">
        <v>470</v>
      </c>
      <c r="W44" s="5" t="s">
        <v>471</v>
      </c>
      <c r="X44" s="5" t="s">
        <v>461</v>
      </c>
      <c r="Y44" s="5" t="s">
        <v>472</v>
      </c>
      <c r="Z44" s="5" t="s">
        <v>473</v>
      </c>
      <c r="AA44" s="8">
        <v>45772</v>
      </c>
      <c r="AB44" s="5" t="s">
        <v>218</v>
      </c>
      <c r="AC44" s="5" t="s">
        <v>473</v>
      </c>
      <c r="AD44" s="8" t="s">
        <v>69</v>
      </c>
      <c r="AE44" s="5">
        <v>621150</v>
      </c>
      <c r="AF44" s="5">
        <v>0</v>
      </c>
      <c r="AG44" s="5">
        <v>621150</v>
      </c>
      <c r="AH44" s="5">
        <v>621150</v>
      </c>
      <c r="AI44" s="8" t="s">
        <v>69</v>
      </c>
      <c r="AJ44" s="5">
        <v>0</v>
      </c>
      <c r="AK44" s="9">
        <v>45790</v>
      </c>
      <c r="AL44" s="5">
        <v>621150</v>
      </c>
      <c r="AM44" s="5"/>
    </row>
    <row r="45" spans="1:39" x14ac:dyDescent="0.3">
      <c r="A45" s="4" t="s">
        <v>474</v>
      </c>
      <c r="B45" s="5">
        <v>2025</v>
      </c>
      <c r="C45" s="5" t="s">
        <v>40</v>
      </c>
      <c r="D45" s="5" t="s">
        <v>94</v>
      </c>
      <c r="E45" s="5" t="s">
        <v>42</v>
      </c>
      <c r="F45" s="6" t="s">
        <v>475</v>
      </c>
      <c r="G45" s="7">
        <v>43</v>
      </c>
      <c r="H45" s="7" t="s">
        <v>476</v>
      </c>
      <c r="I45" s="8">
        <v>45748</v>
      </c>
      <c r="J45" s="8">
        <v>45748</v>
      </c>
      <c r="K45" s="5"/>
      <c r="L45" s="5" t="s">
        <v>181</v>
      </c>
      <c r="M45" s="5" t="s">
        <v>42</v>
      </c>
      <c r="N45" s="5" t="s">
        <v>477</v>
      </c>
      <c r="O45" s="5">
        <v>99</v>
      </c>
      <c r="P45" s="5">
        <v>3128168805</v>
      </c>
      <c r="Q45" s="5">
        <v>31281688050</v>
      </c>
      <c r="R45" s="5" t="s">
        <v>478</v>
      </c>
      <c r="S45" s="5"/>
      <c r="T45" s="5" t="s">
        <v>479</v>
      </c>
      <c r="U45" s="5" t="s">
        <v>480</v>
      </c>
      <c r="V45" s="5" t="s">
        <v>480</v>
      </c>
      <c r="W45" s="5" t="s">
        <v>481</v>
      </c>
      <c r="X45" s="5"/>
      <c r="Y45" s="5" t="s">
        <v>482</v>
      </c>
      <c r="Z45" s="5" t="s">
        <v>483</v>
      </c>
      <c r="AA45" s="8">
        <v>45771</v>
      </c>
      <c r="AB45" s="5" t="s">
        <v>181</v>
      </c>
      <c r="AC45" s="5" t="s">
        <v>483</v>
      </c>
      <c r="AD45" s="8">
        <v>45776</v>
      </c>
      <c r="AE45" s="5">
        <v>2350000</v>
      </c>
      <c r="AF45" s="5">
        <v>2350000</v>
      </c>
      <c r="AG45" s="5">
        <v>0</v>
      </c>
      <c r="AH45" s="5">
        <v>2350000</v>
      </c>
      <c r="AI45" s="8">
        <v>45779</v>
      </c>
      <c r="AJ45" s="5">
        <v>2350000</v>
      </c>
      <c r="AK45" s="9" t="s">
        <v>56</v>
      </c>
      <c r="AL45" s="5">
        <v>0</v>
      </c>
      <c r="AM45" s="5"/>
    </row>
    <row r="46" spans="1:39" x14ac:dyDescent="0.3">
      <c r="A46" s="4" t="s">
        <v>484</v>
      </c>
      <c r="B46" s="5">
        <v>2025</v>
      </c>
      <c r="C46" s="5" t="s">
        <v>40</v>
      </c>
      <c r="D46" s="5" t="s">
        <v>191</v>
      </c>
      <c r="E46" s="5" t="s">
        <v>42</v>
      </c>
      <c r="F46" s="6" t="s">
        <v>485</v>
      </c>
      <c r="G46" s="7">
        <v>44</v>
      </c>
      <c r="H46" s="7" t="s">
        <v>486</v>
      </c>
      <c r="I46" s="8">
        <v>45748</v>
      </c>
      <c r="J46" s="8">
        <v>45748</v>
      </c>
      <c r="K46" s="5"/>
      <c r="L46" s="5" t="s">
        <v>97</v>
      </c>
      <c r="M46" s="5" t="s">
        <v>42</v>
      </c>
      <c r="N46" s="5" t="s">
        <v>487</v>
      </c>
      <c r="O46" s="5">
        <v>80</v>
      </c>
      <c r="P46" s="5">
        <v>1248114298</v>
      </c>
      <c r="Q46" s="5">
        <v>92005071577</v>
      </c>
      <c r="R46" s="5" t="s">
        <v>488</v>
      </c>
      <c r="S46" s="5"/>
      <c r="T46" s="5" t="s">
        <v>489</v>
      </c>
      <c r="U46" s="5"/>
      <c r="V46" s="5"/>
      <c r="W46" s="5" t="s">
        <v>490</v>
      </c>
      <c r="X46" s="5" t="s">
        <v>491</v>
      </c>
      <c r="Y46" s="5" t="s">
        <v>492</v>
      </c>
      <c r="Z46" s="5" t="s">
        <v>493</v>
      </c>
      <c r="AA46" s="8">
        <v>45769</v>
      </c>
      <c r="AB46" s="5" t="s">
        <v>46</v>
      </c>
      <c r="AC46" s="5" t="s">
        <v>494</v>
      </c>
      <c r="AD46" s="8">
        <v>45819</v>
      </c>
      <c r="AE46" s="5">
        <v>1900000</v>
      </c>
      <c r="AF46" s="5">
        <v>1900000</v>
      </c>
      <c r="AG46" s="5">
        <v>0</v>
      </c>
      <c r="AH46" s="5">
        <v>1900000</v>
      </c>
      <c r="AI46" s="8">
        <v>45903</v>
      </c>
      <c r="AJ46" s="5">
        <v>1900000</v>
      </c>
      <c r="AK46" s="9" t="s">
        <v>56</v>
      </c>
      <c r="AL46" s="5">
        <v>0</v>
      </c>
      <c r="AM46" s="5" t="s">
        <v>495</v>
      </c>
    </row>
    <row r="47" spans="1:39" x14ac:dyDescent="0.3">
      <c r="A47" s="4" t="s">
        <v>496</v>
      </c>
      <c r="B47" s="5">
        <v>2025</v>
      </c>
      <c r="C47" s="5" t="s">
        <v>40</v>
      </c>
      <c r="D47" s="5" t="s">
        <v>191</v>
      </c>
      <c r="E47" s="5" t="s">
        <v>42</v>
      </c>
      <c r="F47" s="6" t="s">
        <v>497</v>
      </c>
      <c r="G47" s="7">
        <v>45</v>
      </c>
      <c r="H47" s="7" t="s">
        <v>498</v>
      </c>
      <c r="I47" s="8">
        <v>45748</v>
      </c>
      <c r="J47" s="8">
        <v>45748</v>
      </c>
      <c r="K47" s="5"/>
      <c r="L47" s="5" t="s">
        <v>46</v>
      </c>
      <c r="M47" s="5" t="s">
        <v>42</v>
      </c>
      <c r="N47" s="5" t="s">
        <v>499</v>
      </c>
      <c r="O47" s="5">
        <v>30</v>
      </c>
      <c r="P47" s="5">
        <v>4358802880</v>
      </c>
      <c r="Q47" s="5">
        <v>43588028806</v>
      </c>
      <c r="R47" s="5" t="s">
        <v>500</v>
      </c>
      <c r="S47" s="5"/>
      <c r="T47" s="5" t="s">
        <v>489</v>
      </c>
      <c r="U47" s="5"/>
      <c r="V47" s="5"/>
      <c r="W47" s="5" t="s">
        <v>501</v>
      </c>
      <c r="X47" s="5" t="s">
        <v>178</v>
      </c>
      <c r="Y47" s="5" t="s">
        <v>502</v>
      </c>
      <c r="Z47" s="5" t="s">
        <v>503</v>
      </c>
      <c r="AA47" s="8">
        <v>45769</v>
      </c>
      <c r="AB47" s="5" t="s">
        <v>46</v>
      </c>
      <c r="AC47" s="5" t="s">
        <v>503</v>
      </c>
      <c r="AD47" s="8">
        <v>45770</v>
      </c>
      <c r="AE47" s="5">
        <v>950000</v>
      </c>
      <c r="AF47" s="5">
        <v>950000</v>
      </c>
      <c r="AG47" s="5">
        <v>0</v>
      </c>
      <c r="AH47" s="5">
        <v>950000</v>
      </c>
      <c r="AI47" s="8">
        <v>45797</v>
      </c>
      <c r="AJ47" s="5">
        <v>950000</v>
      </c>
      <c r="AK47" s="9" t="s">
        <v>56</v>
      </c>
      <c r="AL47" s="5">
        <v>0</v>
      </c>
      <c r="AM47" s="5"/>
    </row>
    <row r="48" spans="1:39" x14ac:dyDescent="0.3">
      <c r="A48" s="4" t="s">
        <v>504</v>
      </c>
      <c r="B48" s="5">
        <v>2025</v>
      </c>
      <c r="C48" s="5" t="s">
        <v>40</v>
      </c>
      <c r="D48" s="5" t="s">
        <v>94</v>
      </c>
      <c r="E48" s="5" t="s">
        <v>42</v>
      </c>
      <c r="F48" s="6" t="s">
        <v>505</v>
      </c>
      <c r="G48" s="7">
        <v>46</v>
      </c>
      <c r="H48" s="7" t="s">
        <v>506</v>
      </c>
      <c r="I48" s="8">
        <v>45749</v>
      </c>
      <c r="J48" s="8">
        <v>45749</v>
      </c>
      <c r="K48" s="5"/>
      <c r="L48" s="5" t="s">
        <v>507</v>
      </c>
      <c r="M48" s="5" t="s">
        <v>42</v>
      </c>
      <c r="N48" s="5" t="s">
        <v>508</v>
      </c>
      <c r="O48" s="5">
        <v>235</v>
      </c>
      <c r="P48" s="5">
        <v>1048118121</v>
      </c>
      <c r="Q48" s="5">
        <v>10481181216</v>
      </c>
      <c r="R48" s="5" t="s">
        <v>509</v>
      </c>
      <c r="S48" s="5"/>
      <c r="T48" s="5" t="s">
        <v>510</v>
      </c>
      <c r="U48" s="5"/>
      <c r="V48" s="5"/>
      <c r="W48" s="5" t="s">
        <v>511</v>
      </c>
      <c r="X48" s="5" t="s">
        <v>512</v>
      </c>
      <c r="Y48" s="5" t="s">
        <v>513</v>
      </c>
      <c r="Z48" s="5" t="s">
        <v>514</v>
      </c>
      <c r="AA48" s="8">
        <v>45777</v>
      </c>
      <c r="AB48" s="5" t="s">
        <v>73</v>
      </c>
      <c r="AC48" s="5" t="s">
        <v>514</v>
      </c>
      <c r="AD48" s="8">
        <v>45777</v>
      </c>
      <c r="AE48" s="5">
        <v>5100000</v>
      </c>
      <c r="AF48" s="5">
        <v>5100000</v>
      </c>
      <c r="AG48" s="5">
        <v>0</v>
      </c>
      <c r="AH48" s="5">
        <v>5100000</v>
      </c>
      <c r="AI48" s="8">
        <v>45789</v>
      </c>
      <c r="AJ48" s="5">
        <v>5100000</v>
      </c>
      <c r="AK48" s="9" t="s">
        <v>56</v>
      </c>
      <c r="AL48" s="5">
        <v>0</v>
      </c>
      <c r="AM48" s="5"/>
    </row>
    <row r="49" spans="1:39" x14ac:dyDescent="0.3">
      <c r="A49" s="4" t="s">
        <v>515</v>
      </c>
      <c r="B49" s="5">
        <v>2025</v>
      </c>
      <c r="C49" s="5" t="s">
        <v>40</v>
      </c>
      <c r="D49" s="5" t="s">
        <v>58</v>
      </c>
      <c r="E49" s="5" t="s">
        <v>42</v>
      </c>
      <c r="F49" s="6" t="s">
        <v>516</v>
      </c>
      <c r="G49" s="7">
        <v>47</v>
      </c>
      <c r="H49" s="7" t="s">
        <v>517</v>
      </c>
      <c r="I49" s="8">
        <v>45751</v>
      </c>
      <c r="J49" s="8">
        <v>45751</v>
      </c>
      <c r="K49" s="5"/>
      <c r="L49" s="5" t="s">
        <v>61</v>
      </c>
      <c r="M49" s="5" t="s">
        <v>518</v>
      </c>
      <c r="N49" s="5" t="s">
        <v>519</v>
      </c>
      <c r="O49" s="5">
        <v>21</v>
      </c>
      <c r="P49" s="5">
        <v>1028122615</v>
      </c>
      <c r="Q49" s="5">
        <v>10281226156</v>
      </c>
      <c r="R49" s="5" t="s">
        <v>520</v>
      </c>
      <c r="S49" s="5"/>
      <c r="T49" s="5" t="s">
        <v>521</v>
      </c>
      <c r="U49" s="5"/>
      <c r="V49" s="5"/>
      <c r="W49" s="5" t="s">
        <v>522</v>
      </c>
      <c r="X49" s="5" t="s">
        <v>224</v>
      </c>
      <c r="Y49" s="5" t="s">
        <v>523</v>
      </c>
      <c r="Z49" s="5" t="s">
        <v>524</v>
      </c>
      <c r="AA49" s="8">
        <v>45780</v>
      </c>
      <c r="AB49" s="5" t="s">
        <v>61</v>
      </c>
      <c r="AC49" s="5" t="s">
        <v>525</v>
      </c>
      <c r="AD49" s="8">
        <v>45784</v>
      </c>
      <c r="AE49" s="5">
        <v>1300000</v>
      </c>
      <c r="AF49" s="5">
        <v>1300000</v>
      </c>
      <c r="AG49" s="5">
        <v>0</v>
      </c>
      <c r="AH49" s="5">
        <v>1300000</v>
      </c>
      <c r="AI49" s="8">
        <v>45813</v>
      </c>
      <c r="AJ49" s="5">
        <v>1300000</v>
      </c>
      <c r="AK49" s="9" t="s">
        <v>56</v>
      </c>
      <c r="AL49" s="5">
        <v>0</v>
      </c>
      <c r="AM49" s="5"/>
    </row>
    <row r="50" spans="1:39" x14ac:dyDescent="0.3">
      <c r="A50" s="4" t="s">
        <v>526</v>
      </c>
      <c r="B50" s="5">
        <v>2025</v>
      </c>
      <c r="C50" s="5" t="s">
        <v>40</v>
      </c>
      <c r="D50" s="5" t="s">
        <v>58</v>
      </c>
      <c r="E50" s="5" t="s">
        <v>42</v>
      </c>
      <c r="F50" s="6" t="s">
        <v>527</v>
      </c>
      <c r="G50" s="7">
        <v>48</v>
      </c>
      <c r="H50" s="7" t="s">
        <v>528</v>
      </c>
      <c r="I50" s="8">
        <v>45751</v>
      </c>
      <c r="J50" s="8">
        <v>45751</v>
      </c>
      <c r="K50" s="5"/>
      <c r="L50" s="5" t="s">
        <v>97</v>
      </c>
      <c r="M50" s="5" t="s">
        <v>518</v>
      </c>
      <c r="N50" s="5" t="s">
        <v>529</v>
      </c>
      <c r="O50" s="5">
        <v>13</v>
      </c>
      <c r="P50" s="5">
        <v>1308104228</v>
      </c>
      <c r="Q50" s="5">
        <v>13081042286</v>
      </c>
      <c r="R50" s="5" t="s">
        <v>530</v>
      </c>
      <c r="S50" s="5"/>
      <c r="T50" s="5" t="s">
        <v>521</v>
      </c>
      <c r="U50" s="5"/>
      <c r="V50" s="5"/>
      <c r="W50" s="5" t="s">
        <v>531</v>
      </c>
      <c r="X50" s="5" t="s">
        <v>532</v>
      </c>
      <c r="Y50" s="5" t="s">
        <v>533</v>
      </c>
      <c r="Z50" s="5" t="s">
        <v>534</v>
      </c>
      <c r="AA50" s="8">
        <v>45777</v>
      </c>
      <c r="AB50" s="5" t="s">
        <v>61</v>
      </c>
      <c r="AC50" s="5" t="s">
        <v>535</v>
      </c>
      <c r="AD50" s="8">
        <v>45777</v>
      </c>
      <c r="AE50" s="5">
        <v>1300000</v>
      </c>
      <c r="AF50" s="5">
        <v>1300000</v>
      </c>
      <c r="AG50" s="5">
        <v>0</v>
      </c>
      <c r="AH50" s="5">
        <v>1300000</v>
      </c>
      <c r="AI50" s="8">
        <v>45799</v>
      </c>
      <c r="AJ50" s="5">
        <v>1300000</v>
      </c>
      <c r="AK50" s="9" t="s">
        <v>56</v>
      </c>
      <c r="AL50" s="5">
        <v>0</v>
      </c>
      <c r="AM50" s="5"/>
    </row>
    <row r="51" spans="1:39" x14ac:dyDescent="0.3">
      <c r="A51" s="4" t="s">
        <v>536</v>
      </c>
      <c r="B51" s="5">
        <v>2025</v>
      </c>
      <c r="C51" s="5" t="s">
        <v>40</v>
      </c>
      <c r="D51" s="5" t="s">
        <v>58</v>
      </c>
      <c r="E51" s="5" t="s">
        <v>42</v>
      </c>
      <c r="F51" s="6" t="s">
        <v>537</v>
      </c>
      <c r="G51" s="7">
        <v>49</v>
      </c>
      <c r="H51" s="7" t="s">
        <v>538</v>
      </c>
      <c r="I51" s="8">
        <v>45751</v>
      </c>
      <c r="J51" s="8">
        <v>45751</v>
      </c>
      <c r="K51" s="5"/>
      <c r="L51" s="5" t="s">
        <v>181</v>
      </c>
      <c r="M51" s="5" t="s">
        <v>518</v>
      </c>
      <c r="N51" s="5" t="s">
        <v>539</v>
      </c>
      <c r="O51" s="5">
        <v>35</v>
      </c>
      <c r="P51" s="5">
        <v>2118648229</v>
      </c>
      <c r="Q51" s="5">
        <v>21186482296</v>
      </c>
      <c r="R51" s="5" t="s">
        <v>540</v>
      </c>
      <c r="S51" s="5"/>
      <c r="T51" s="5" t="s">
        <v>521</v>
      </c>
      <c r="U51" s="5"/>
      <c r="V51" s="5"/>
      <c r="W51" s="5" t="s">
        <v>541</v>
      </c>
      <c r="X51" s="5" t="s">
        <v>532</v>
      </c>
      <c r="Y51" s="5" t="s">
        <v>542</v>
      </c>
      <c r="Z51" s="5" t="s">
        <v>543</v>
      </c>
      <c r="AA51" s="8">
        <v>45775</v>
      </c>
      <c r="AB51" s="5" t="s">
        <v>181</v>
      </c>
      <c r="AC51" s="5" t="s">
        <v>543</v>
      </c>
      <c r="AD51" s="8">
        <v>45755</v>
      </c>
      <c r="AE51" s="5">
        <v>2800000</v>
      </c>
      <c r="AF51" s="5">
        <v>2800000</v>
      </c>
      <c r="AG51" s="5">
        <v>0</v>
      </c>
      <c r="AH51" s="5">
        <v>2800000</v>
      </c>
      <c r="AI51" s="8">
        <v>45758</v>
      </c>
      <c r="AJ51" s="5">
        <v>2800000</v>
      </c>
      <c r="AK51" s="9" t="s">
        <v>56</v>
      </c>
      <c r="AL51" s="5">
        <v>0</v>
      </c>
      <c r="AM51" s="5"/>
    </row>
    <row r="52" spans="1:39" x14ac:dyDescent="0.3">
      <c r="A52" s="4" t="s">
        <v>544</v>
      </c>
      <c r="B52" s="5">
        <v>2025</v>
      </c>
      <c r="C52" s="5" t="s">
        <v>40</v>
      </c>
      <c r="D52" s="5" t="s">
        <v>421</v>
      </c>
      <c r="E52" s="5" t="s">
        <v>42</v>
      </c>
      <c r="F52" s="6" t="s">
        <v>545</v>
      </c>
      <c r="G52" s="7">
        <v>50</v>
      </c>
      <c r="H52" s="7" t="s">
        <v>546</v>
      </c>
      <c r="I52" s="8">
        <v>45755</v>
      </c>
      <c r="J52" s="8">
        <v>45755</v>
      </c>
      <c r="K52" s="5"/>
      <c r="L52" s="5" t="s">
        <v>218</v>
      </c>
      <c r="M52" s="5" t="s">
        <v>42</v>
      </c>
      <c r="N52" s="5" t="s">
        <v>547</v>
      </c>
      <c r="O52" s="5">
        <v>33</v>
      </c>
      <c r="P52" s="5">
        <v>3128137637</v>
      </c>
      <c r="Q52" s="5">
        <v>31281376370</v>
      </c>
      <c r="R52" s="5" t="s">
        <v>548</v>
      </c>
      <c r="S52" s="5"/>
      <c r="T52" s="5" t="s">
        <v>549</v>
      </c>
      <c r="U52" s="5" t="s">
        <v>550</v>
      </c>
      <c r="V52" s="5" t="s">
        <v>550</v>
      </c>
      <c r="W52" s="5" t="s">
        <v>551</v>
      </c>
      <c r="X52" s="5" t="s">
        <v>123</v>
      </c>
      <c r="Y52" s="5" t="s">
        <v>552</v>
      </c>
      <c r="Z52" s="5" t="s">
        <v>553</v>
      </c>
      <c r="AA52" s="8">
        <v>45777</v>
      </c>
      <c r="AB52" s="5" t="s">
        <v>218</v>
      </c>
      <c r="AC52" s="5" t="s">
        <v>553</v>
      </c>
      <c r="AD52" s="8">
        <v>45785</v>
      </c>
      <c r="AE52" s="5">
        <v>900000</v>
      </c>
      <c r="AF52" s="5">
        <v>500000</v>
      </c>
      <c r="AG52" s="5">
        <v>400000</v>
      </c>
      <c r="AH52" s="5">
        <v>900000</v>
      </c>
      <c r="AI52" s="8">
        <v>45838</v>
      </c>
      <c r="AJ52" s="5">
        <v>500000</v>
      </c>
      <c r="AK52" s="9">
        <v>45799</v>
      </c>
      <c r="AL52" s="5">
        <v>400000</v>
      </c>
      <c r="AM52" s="5"/>
    </row>
    <row r="53" spans="1:39" x14ac:dyDescent="0.3">
      <c r="A53" s="4" t="s">
        <v>554</v>
      </c>
      <c r="B53" s="5">
        <v>2025</v>
      </c>
      <c r="C53" s="5" t="s">
        <v>40</v>
      </c>
      <c r="D53" s="5" t="s">
        <v>555</v>
      </c>
      <c r="E53" s="5" t="s">
        <v>42</v>
      </c>
      <c r="F53" s="6" t="s">
        <v>556</v>
      </c>
      <c r="G53" s="7">
        <v>51</v>
      </c>
      <c r="H53" s="7" t="s">
        <v>557</v>
      </c>
      <c r="I53" s="8">
        <v>45756</v>
      </c>
      <c r="J53" s="8">
        <v>45756</v>
      </c>
      <c r="K53" s="5"/>
      <c r="L53" s="5" t="s">
        <v>558</v>
      </c>
      <c r="M53" s="5" t="s">
        <v>42</v>
      </c>
      <c r="N53" s="5" t="s">
        <v>559</v>
      </c>
      <c r="O53" s="5">
        <v>118</v>
      </c>
      <c r="P53" s="5">
        <v>3348600815</v>
      </c>
      <c r="Q53" s="5">
        <v>11481588536</v>
      </c>
      <c r="R53" s="5" t="s">
        <v>560</v>
      </c>
      <c r="S53" s="5"/>
      <c r="T53" s="5" t="s">
        <v>561</v>
      </c>
      <c r="U53" s="5" t="s">
        <v>562</v>
      </c>
      <c r="V53" s="5" t="s">
        <v>562</v>
      </c>
      <c r="W53" s="5" t="s">
        <v>563</v>
      </c>
      <c r="X53" s="5" t="s">
        <v>491</v>
      </c>
      <c r="Y53" s="5" t="s">
        <v>564</v>
      </c>
      <c r="Z53" s="5" t="s">
        <v>565</v>
      </c>
      <c r="AA53" s="8">
        <v>45779</v>
      </c>
      <c r="AB53" s="5" t="s">
        <v>73</v>
      </c>
      <c r="AC53" s="5" t="s">
        <v>566</v>
      </c>
      <c r="AD53" s="8">
        <v>45777</v>
      </c>
      <c r="AE53" s="5">
        <v>4200000</v>
      </c>
      <c r="AF53" s="5">
        <v>4200000</v>
      </c>
      <c r="AG53" s="5">
        <v>0</v>
      </c>
      <c r="AH53" s="5">
        <v>4200000</v>
      </c>
      <c r="AI53" s="8">
        <v>45789</v>
      </c>
      <c r="AJ53" s="5">
        <v>4200000</v>
      </c>
      <c r="AK53" s="9" t="s">
        <v>56</v>
      </c>
      <c r="AL53" s="5">
        <v>0</v>
      </c>
      <c r="AM53" s="5"/>
    </row>
    <row r="54" spans="1:39" x14ac:dyDescent="0.3">
      <c r="A54" s="4" t="s">
        <v>567</v>
      </c>
      <c r="B54" s="5">
        <v>2025</v>
      </c>
      <c r="C54" s="5" t="s">
        <v>40</v>
      </c>
      <c r="D54" s="5" t="s">
        <v>228</v>
      </c>
      <c r="E54" s="5" t="s">
        <v>42</v>
      </c>
      <c r="F54" s="6" t="s">
        <v>568</v>
      </c>
      <c r="G54" s="7">
        <v>52</v>
      </c>
      <c r="H54" s="7" t="s">
        <v>569</v>
      </c>
      <c r="I54" s="8">
        <v>45757</v>
      </c>
      <c r="J54" s="8">
        <v>45757</v>
      </c>
      <c r="K54" s="5"/>
      <c r="L54" s="5" t="s">
        <v>61</v>
      </c>
      <c r="M54" s="5" t="s">
        <v>42</v>
      </c>
      <c r="N54" s="5" t="s">
        <v>570</v>
      </c>
      <c r="O54" s="5">
        <v>45</v>
      </c>
      <c r="P54" s="5">
        <v>1258134604</v>
      </c>
      <c r="Q54" s="5">
        <v>13385135490</v>
      </c>
      <c r="R54" s="5" t="s">
        <v>571</v>
      </c>
      <c r="S54" s="5"/>
      <c r="T54" s="5" t="s">
        <v>572</v>
      </c>
      <c r="U54" s="5" t="s">
        <v>573</v>
      </c>
      <c r="V54" s="5" t="s">
        <v>573</v>
      </c>
      <c r="W54" s="5" t="s">
        <v>574</v>
      </c>
      <c r="X54" s="5" t="s">
        <v>178</v>
      </c>
      <c r="Y54" s="5" t="s">
        <v>575</v>
      </c>
      <c r="Z54" s="5" t="s">
        <v>576</v>
      </c>
      <c r="AA54" s="8">
        <v>45786</v>
      </c>
      <c r="AB54" s="5" t="s">
        <v>181</v>
      </c>
      <c r="AC54" s="5" t="s">
        <v>576</v>
      </c>
      <c r="AD54" s="8">
        <v>45790</v>
      </c>
      <c r="AE54" s="5">
        <v>700000</v>
      </c>
      <c r="AF54" s="5">
        <v>700000</v>
      </c>
      <c r="AG54" s="5">
        <v>0</v>
      </c>
      <c r="AH54" s="5">
        <v>700000</v>
      </c>
      <c r="AI54" s="8">
        <v>45791</v>
      </c>
      <c r="AJ54" s="5">
        <v>700000</v>
      </c>
      <c r="AK54" s="9" t="s">
        <v>56</v>
      </c>
      <c r="AL54" s="5">
        <v>0</v>
      </c>
      <c r="AM54" s="5"/>
    </row>
    <row r="55" spans="1:39" x14ac:dyDescent="0.3">
      <c r="A55" s="4" t="s">
        <v>577</v>
      </c>
      <c r="B55" s="5">
        <v>2025</v>
      </c>
      <c r="C55" s="5" t="s">
        <v>40</v>
      </c>
      <c r="D55" s="5" t="s">
        <v>578</v>
      </c>
      <c r="E55" s="5" t="s">
        <v>42</v>
      </c>
      <c r="F55" s="6" t="s">
        <v>579</v>
      </c>
      <c r="G55" s="7">
        <v>53</v>
      </c>
      <c r="H55" s="7" t="s">
        <v>580</v>
      </c>
      <c r="I55" s="8">
        <v>45757</v>
      </c>
      <c r="J55" s="8">
        <v>45757</v>
      </c>
      <c r="K55" s="5"/>
      <c r="L55" s="5" t="s">
        <v>181</v>
      </c>
      <c r="M55" s="5" t="s">
        <v>42</v>
      </c>
      <c r="N55" s="5" t="s">
        <v>581</v>
      </c>
      <c r="O55" s="5">
        <v>25</v>
      </c>
      <c r="P55" s="5">
        <v>3128183145</v>
      </c>
      <c r="Q55" s="5">
        <v>31281831450</v>
      </c>
      <c r="R55" s="5" t="s">
        <v>582</v>
      </c>
      <c r="S55" s="5"/>
      <c r="T55" s="5" t="s">
        <v>583</v>
      </c>
      <c r="U55" s="5" t="s">
        <v>584</v>
      </c>
      <c r="V55" s="5" t="s">
        <v>584</v>
      </c>
      <c r="W55" s="5" t="s">
        <v>574</v>
      </c>
      <c r="X55" s="5" t="s">
        <v>178</v>
      </c>
      <c r="Y55" s="5" t="s">
        <v>575</v>
      </c>
      <c r="Z55" s="5" t="s">
        <v>576</v>
      </c>
      <c r="AA55" s="8">
        <v>45786</v>
      </c>
      <c r="AB55" s="5" t="s">
        <v>181</v>
      </c>
      <c r="AC55" s="5" t="s">
        <v>576</v>
      </c>
      <c r="AD55" s="8">
        <v>45790</v>
      </c>
      <c r="AE55" s="5">
        <v>800000</v>
      </c>
      <c r="AF55" s="5">
        <v>400000</v>
      </c>
      <c r="AG55" s="5">
        <v>400000</v>
      </c>
      <c r="AH55" s="5">
        <v>800000</v>
      </c>
      <c r="AI55" s="8">
        <v>45791</v>
      </c>
      <c r="AJ55" s="5">
        <v>400000</v>
      </c>
      <c r="AK55" s="9">
        <v>45799</v>
      </c>
      <c r="AL55" s="5">
        <v>400000</v>
      </c>
      <c r="AM55" s="5"/>
    </row>
    <row r="56" spans="1:39" x14ac:dyDescent="0.3">
      <c r="A56" s="4" t="s">
        <v>585</v>
      </c>
      <c r="B56" s="5">
        <v>2025</v>
      </c>
      <c r="C56" s="5" t="s">
        <v>40</v>
      </c>
      <c r="D56" s="5" t="s">
        <v>586</v>
      </c>
      <c r="E56" s="5" t="s">
        <v>42</v>
      </c>
      <c r="F56" s="6" t="s">
        <v>587</v>
      </c>
      <c r="G56" s="7">
        <v>54</v>
      </c>
      <c r="H56" s="7" t="s">
        <v>588</v>
      </c>
      <c r="I56" s="8">
        <v>45757</v>
      </c>
      <c r="J56" s="8">
        <v>45757</v>
      </c>
      <c r="K56" s="5"/>
      <c r="L56" s="5" t="s">
        <v>46</v>
      </c>
      <c r="M56" s="5" t="s">
        <v>589</v>
      </c>
      <c r="N56" s="5" t="s">
        <v>590</v>
      </c>
      <c r="O56" s="5">
        <v>25</v>
      </c>
      <c r="P56" s="5">
        <v>1378144615</v>
      </c>
      <c r="Q56" s="5">
        <v>13781446150</v>
      </c>
      <c r="R56" s="5" t="s">
        <v>591</v>
      </c>
      <c r="S56" s="5"/>
      <c r="T56" s="5" t="s">
        <v>592</v>
      </c>
      <c r="U56" s="5" t="s">
        <v>593</v>
      </c>
      <c r="V56" s="5" t="s">
        <v>593</v>
      </c>
      <c r="W56" s="5" t="s">
        <v>594</v>
      </c>
      <c r="X56" s="5" t="s">
        <v>134</v>
      </c>
      <c r="Y56" s="5" t="s">
        <v>595</v>
      </c>
      <c r="Z56" s="5" t="s">
        <v>596</v>
      </c>
      <c r="AA56" s="8">
        <v>45786</v>
      </c>
      <c r="AB56" s="5" t="s">
        <v>46</v>
      </c>
      <c r="AC56" s="5" t="s">
        <v>597</v>
      </c>
      <c r="AD56" s="8">
        <v>45821</v>
      </c>
      <c r="AE56" s="5">
        <v>1800000</v>
      </c>
      <c r="AF56" s="5">
        <v>1400000</v>
      </c>
      <c r="AG56" s="5">
        <v>400000</v>
      </c>
      <c r="AH56" s="5">
        <v>1800000</v>
      </c>
      <c r="AI56" s="8">
        <v>45821</v>
      </c>
      <c r="AJ56" s="5">
        <v>1400000</v>
      </c>
      <c r="AK56" s="9">
        <v>45827</v>
      </c>
      <c r="AL56" s="5">
        <v>400000</v>
      </c>
      <c r="AM56" s="5"/>
    </row>
    <row r="57" spans="1:39" x14ac:dyDescent="0.3">
      <c r="A57" s="4" t="s">
        <v>598</v>
      </c>
      <c r="B57" s="5">
        <v>2025</v>
      </c>
      <c r="C57" s="5" t="s">
        <v>40</v>
      </c>
      <c r="D57" s="5" t="s">
        <v>203</v>
      </c>
      <c r="E57" s="5" t="s">
        <v>42</v>
      </c>
      <c r="F57" s="6" t="s">
        <v>599</v>
      </c>
      <c r="G57" s="7">
        <v>55</v>
      </c>
      <c r="H57" s="7" t="s">
        <v>600</v>
      </c>
      <c r="I57" s="8">
        <v>45758</v>
      </c>
      <c r="J57" s="8">
        <v>45758</v>
      </c>
      <c r="K57" s="5"/>
      <c r="L57" s="5" t="s">
        <v>218</v>
      </c>
      <c r="M57" s="5" t="s">
        <v>42</v>
      </c>
      <c r="N57" s="5" t="s">
        <v>601</v>
      </c>
      <c r="O57" s="5">
        <v>11</v>
      </c>
      <c r="P57" s="5">
        <v>5608800515</v>
      </c>
      <c r="Q57" s="5">
        <v>56088005150</v>
      </c>
      <c r="R57" s="5" t="s">
        <v>602</v>
      </c>
      <c r="S57" s="5"/>
      <c r="T57" s="5" t="s">
        <v>603</v>
      </c>
      <c r="U57" s="5" t="s">
        <v>604</v>
      </c>
      <c r="V57" s="5" t="s">
        <v>604</v>
      </c>
      <c r="W57" s="5" t="s">
        <v>605</v>
      </c>
      <c r="X57" s="5" t="s">
        <v>123</v>
      </c>
      <c r="Y57" s="5" t="s">
        <v>606</v>
      </c>
      <c r="Z57" s="5" t="s">
        <v>607</v>
      </c>
      <c r="AA57" s="8">
        <v>45786</v>
      </c>
      <c r="AB57" s="5" t="s">
        <v>218</v>
      </c>
      <c r="AC57" s="5" t="s">
        <v>607</v>
      </c>
      <c r="AD57" s="8">
        <v>45790</v>
      </c>
      <c r="AE57" s="5">
        <v>1200000</v>
      </c>
      <c r="AF57" s="5">
        <v>800000</v>
      </c>
      <c r="AG57" s="5">
        <v>400000</v>
      </c>
      <c r="AH57" s="5">
        <v>1200000</v>
      </c>
      <c r="AI57" s="8">
        <v>46022</v>
      </c>
      <c r="AJ57" s="5">
        <v>800000</v>
      </c>
      <c r="AK57" s="9">
        <v>45799</v>
      </c>
      <c r="AL57" s="5">
        <v>400000</v>
      </c>
      <c r="AM57" s="5" t="s">
        <v>608</v>
      </c>
    </row>
    <row r="58" spans="1:39" x14ac:dyDescent="0.3">
      <c r="A58" s="4" t="s">
        <v>609</v>
      </c>
      <c r="B58" s="5">
        <v>2025</v>
      </c>
      <c r="C58" s="5" t="s">
        <v>40</v>
      </c>
      <c r="D58" s="5" t="s">
        <v>71</v>
      </c>
      <c r="E58" s="5" t="s">
        <v>42</v>
      </c>
      <c r="F58" s="6" t="s">
        <v>610</v>
      </c>
      <c r="G58" s="7">
        <v>56</v>
      </c>
      <c r="H58" s="7" t="s">
        <v>611</v>
      </c>
      <c r="I58" s="8">
        <v>45762</v>
      </c>
      <c r="J58" s="8">
        <v>45762</v>
      </c>
      <c r="K58" s="5"/>
      <c r="L58" s="5" t="s">
        <v>612</v>
      </c>
      <c r="M58" s="5" t="s">
        <v>613</v>
      </c>
      <c r="N58" s="5" t="s">
        <v>614</v>
      </c>
      <c r="O58" s="5">
        <v>500</v>
      </c>
      <c r="P58" s="5">
        <v>3108201751</v>
      </c>
      <c r="Q58" s="5">
        <v>31082017510</v>
      </c>
      <c r="R58" s="5" t="s">
        <v>615</v>
      </c>
      <c r="S58" s="5"/>
      <c r="T58" s="5" t="s">
        <v>616</v>
      </c>
      <c r="U58" s="5" t="s">
        <v>617</v>
      </c>
      <c r="V58" s="5" t="s">
        <v>617</v>
      </c>
      <c r="W58" s="5" t="s">
        <v>618</v>
      </c>
      <c r="X58" s="5" t="s">
        <v>442</v>
      </c>
      <c r="Y58" s="5" t="s">
        <v>619</v>
      </c>
      <c r="Z58" s="5" t="s">
        <v>620</v>
      </c>
      <c r="AA58" s="8">
        <v>45790</v>
      </c>
      <c r="AB58" s="5" t="s">
        <v>218</v>
      </c>
      <c r="AC58" s="5" t="s">
        <v>621</v>
      </c>
      <c r="AD58" s="8">
        <v>45792</v>
      </c>
      <c r="AE58" s="5">
        <v>1900000</v>
      </c>
      <c r="AF58" s="5">
        <v>1900000</v>
      </c>
      <c r="AG58" s="5">
        <v>0</v>
      </c>
      <c r="AH58" s="5">
        <v>1900000</v>
      </c>
      <c r="AI58" s="8">
        <v>45812</v>
      </c>
      <c r="AJ58" s="5">
        <v>1900000</v>
      </c>
      <c r="AK58" s="9" t="s">
        <v>56</v>
      </c>
      <c r="AL58" s="5">
        <v>0</v>
      </c>
      <c r="AM58" s="5"/>
    </row>
    <row r="59" spans="1:39" x14ac:dyDescent="0.3">
      <c r="A59" s="4" t="s">
        <v>622</v>
      </c>
      <c r="B59" s="5">
        <v>2025</v>
      </c>
      <c r="C59" s="5" t="s">
        <v>40</v>
      </c>
      <c r="D59" s="5" t="s">
        <v>58</v>
      </c>
      <c r="E59" s="5" t="s">
        <v>42</v>
      </c>
      <c r="F59" s="6" t="s">
        <v>623</v>
      </c>
      <c r="G59" s="7">
        <v>57</v>
      </c>
      <c r="H59" s="7" t="s">
        <v>624</v>
      </c>
      <c r="I59" s="8">
        <v>45762</v>
      </c>
      <c r="J59" s="8">
        <v>45762</v>
      </c>
      <c r="K59" s="5"/>
      <c r="L59" s="5" t="s">
        <v>46</v>
      </c>
      <c r="M59" s="5" t="s">
        <v>42</v>
      </c>
      <c r="N59" s="5" t="s">
        <v>625</v>
      </c>
      <c r="O59" s="5">
        <v>20</v>
      </c>
      <c r="P59" s="5">
        <v>5058108961</v>
      </c>
      <c r="Q59" s="5">
        <v>50581089616</v>
      </c>
      <c r="R59" s="5" t="s">
        <v>626</v>
      </c>
      <c r="S59" s="5"/>
      <c r="T59" s="5" t="s">
        <v>627</v>
      </c>
      <c r="U59" s="5"/>
      <c r="V59" s="5"/>
      <c r="W59" s="5" t="s">
        <v>628</v>
      </c>
      <c r="X59" s="5" t="s">
        <v>89</v>
      </c>
      <c r="Y59" s="5" t="s">
        <v>629</v>
      </c>
      <c r="Z59" s="5" t="s">
        <v>630</v>
      </c>
      <c r="AA59" s="8">
        <v>45786</v>
      </c>
      <c r="AB59" s="5" t="s">
        <v>46</v>
      </c>
      <c r="AC59" s="5" t="s">
        <v>630</v>
      </c>
      <c r="AD59" s="8" t="s">
        <v>69</v>
      </c>
      <c r="AE59" s="5">
        <v>1000000</v>
      </c>
      <c r="AF59" s="5">
        <v>0</v>
      </c>
      <c r="AG59" s="5">
        <v>1000000</v>
      </c>
      <c r="AH59" s="5">
        <v>1000000</v>
      </c>
      <c r="AI59" s="8" t="s">
        <v>69</v>
      </c>
      <c r="AJ59" s="5">
        <v>0</v>
      </c>
      <c r="AK59" s="9">
        <v>45799</v>
      </c>
      <c r="AL59" s="5">
        <v>1000000</v>
      </c>
      <c r="AM59" s="5"/>
    </row>
    <row r="60" spans="1:39" x14ac:dyDescent="0.3">
      <c r="A60" s="4" t="s">
        <v>631</v>
      </c>
      <c r="B60" s="5">
        <v>2025</v>
      </c>
      <c r="C60" s="5" t="s">
        <v>40</v>
      </c>
      <c r="D60" s="5" t="s">
        <v>94</v>
      </c>
      <c r="E60" s="5" t="s">
        <v>42</v>
      </c>
      <c r="F60" s="6" t="s">
        <v>632</v>
      </c>
      <c r="G60" s="7">
        <v>58</v>
      </c>
      <c r="H60" s="7" t="s">
        <v>633</v>
      </c>
      <c r="I60" s="8">
        <v>45763</v>
      </c>
      <c r="J60" s="8">
        <v>45763</v>
      </c>
      <c r="K60" s="5"/>
      <c r="L60" s="5" t="s">
        <v>61</v>
      </c>
      <c r="M60" s="5" t="s">
        <v>42</v>
      </c>
      <c r="N60" s="5" t="s">
        <v>634</v>
      </c>
      <c r="O60" s="5">
        <v>20</v>
      </c>
      <c r="P60" s="5">
        <v>1428118313</v>
      </c>
      <c r="Q60" s="5">
        <v>14281183136</v>
      </c>
      <c r="R60" s="5" t="s">
        <v>635</v>
      </c>
      <c r="S60" s="5"/>
      <c r="T60" s="5" t="s">
        <v>636</v>
      </c>
      <c r="U60" s="5"/>
      <c r="V60" s="5"/>
      <c r="W60" s="5" t="s">
        <v>637</v>
      </c>
      <c r="X60" s="5" t="s">
        <v>638</v>
      </c>
      <c r="Y60" s="5" t="s">
        <v>639</v>
      </c>
      <c r="Z60" s="5" t="s">
        <v>640</v>
      </c>
      <c r="AA60" s="8">
        <v>45790</v>
      </c>
      <c r="AB60" s="5" t="s">
        <v>61</v>
      </c>
      <c r="AC60" s="5" t="s">
        <v>641</v>
      </c>
      <c r="AD60" s="8">
        <v>45792</v>
      </c>
      <c r="AE60" s="5">
        <v>1000000</v>
      </c>
      <c r="AF60" s="5">
        <v>600000</v>
      </c>
      <c r="AG60" s="5">
        <v>400000</v>
      </c>
      <c r="AH60" s="5">
        <v>1000000</v>
      </c>
      <c r="AI60" s="8">
        <v>45821</v>
      </c>
      <c r="AJ60" s="5">
        <v>600000</v>
      </c>
      <c r="AK60" s="9">
        <v>45799</v>
      </c>
      <c r="AL60" s="5">
        <v>400000</v>
      </c>
      <c r="AM60" s="5"/>
    </row>
    <row r="61" spans="1:39" x14ac:dyDescent="0.3">
      <c r="A61" s="4" t="s">
        <v>642</v>
      </c>
      <c r="B61" s="5">
        <v>2025</v>
      </c>
      <c r="C61" s="5" t="s">
        <v>40</v>
      </c>
      <c r="D61" s="5" t="s">
        <v>71</v>
      </c>
      <c r="E61" s="5" t="s">
        <v>42</v>
      </c>
      <c r="F61" s="6" t="s">
        <v>643</v>
      </c>
      <c r="G61" s="7">
        <v>59</v>
      </c>
      <c r="H61" s="7" t="s">
        <v>644</v>
      </c>
      <c r="I61" s="8">
        <v>45763</v>
      </c>
      <c r="J61" s="8">
        <v>45763</v>
      </c>
      <c r="K61" s="5"/>
      <c r="L61" s="5" t="s">
        <v>46</v>
      </c>
      <c r="M61" s="5" t="s">
        <v>241</v>
      </c>
      <c r="N61" s="5" t="s">
        <v>645</v>
      </c>
      <c r="O61" s="5">
        <v>55</v>
      </c>
      <c r="P61" s="5">
        <v>1248694467</v>
      </c>
      <c r="Q61" s="5">
        <v>12486944670</v>
      </c>
      <c r="R61" s="5" t="s">
        <v>646</v>
      </c>
      <c r="S61" s="5"/>
      <c r="T61" s="5" t="s">
        <v>647</v>
      </c>
      <c r="U61" s="5" t="s">
        <v>648</v>
      </c>
      <c r="V61" s="5" t="s">
        <v>648</v>
      </c>
      <c r="W61" s="5" t="s">
        <v>649</v>
      </c>
      <c r="X61" s="5" t="s">
        <v>178</v>
      </c>
      <c r="Y61" s="5" t="s">
        <v>650</v>
      </c>
      <c r="Z61" s="5" t="s">
        <v>651</v>
      </c>
      <c r="AA61" s="8">
        <v>45786</v>
      </c>
      <c r="AB61" s="5" t="s">
        <v>46</v>
      </c>
      <c r="AC61" s="5" t="s">
        <v>651</v>
      </c>
      <c r="AD61" s="8">
        <v>45790</v>
      </c>
      <c r="AE61" s="5">
        <v>1200000</v>
      </c>
      <c r="AF61" s="5">
        <v>1200000</v>
      </c>
      <c r="AG61" s="5">
        <v>0</v>
      </c>
      <c r="AH61" s="5">
        <v>1200000</v>
      </c>
      <c r="AI61" s="8">
        <v>45791</v>
      </c>
      <c r="AJ61" s="5">
        <v>1200000</v>
      </c>
      <c r="AK61" s="9" t="s">
        <v>56</v>
      </c>
      <c r="AL61" s="5">
        <v>0</v>
      </c>
      <c r="AM61" s="5"/>
    </row>
    <row r="62" spans="1:39" x14ac:dyDescent="0.3">
      <c r="A62" s="4" t="s">
        <v>652</v>
      </c>
      <c r="B62" s="5">
        <v>2025</v>
      </c>
      <c r="C62" s="5" t="s">
        <v>40</v>
      </c>
      <c r="D62" s="5"/>
      <c r="E62" s="5" t="s">
        <v>42</v>
      </c>
      <c r="F62" s="6" t="s">
        <v>653</v>
      </c>
      <c r="G62" s="7">
        <v>60</v>
      </c>
      <c r="H62" s="7" t="s">
        <v>654</v>
      </c>
      <c r="I62" s="8">
        <v>45764</v>
      </c>
      <c r="J62" s="8">
        <v>45764</v>
      </c>
      <c r="K62" s="5"/>
      <c r="L62" s="5" t="s">
        <v>218</v>
      </c>
      <c r="M62" s="5" t="s">
        <v>42</v>
      </c>
      <c r="N62" s="5" t="s">
        <v>655</v>
      </c>
      <c r="O62" s="5">
        <v>22</v>
      </c>
      <c r="P62" s="5">
        <v>3128169949</v>
      </c>
      <c r="Q62" s="5">
        <v>31281699490</v>
      </c>
      <c r="R62" s="5" t="s">
        <v>656</v>
      </c>
      <c r="S62" s="5"/>
      <c r="T62" s="5" t="s">
        <v>657</v>
      </c>
      <c r="U62" s="5" t="s">
        <v>658</v>
      </c>
      <c r="V62" s="5" t="s">
        <v>658</v>
      </c>
      <c r="W62" s="5" t="s">
        <v>659</v>
      </c>
      <c r="X62" s="5" t="s">
        <v>388</v>
      </c>
      <c r="Y62" s="5" t="s">
        <v>660</v>
      </c>
      <c r="Z62" s="5" t="s">
        <v>661</v>
      </c>
      <c r="AA62" s="8">
        <v>45790</v>
      </c>
      <c r="AB62" s="5" t="s">
        <v>218</v>
      </c>
      <c r="AC62" s="5" t="s">
        <v>661</v>
      </c>
      <c r="AD62" s="8">
        <v>45749</v>
      </c>
      <c r="AE62" s="5">
        <v>1200000</v>
      </c>
      <c r="AF62" s="5">
        <v>800000</v>
      </c>
      <c r="AG62" s="5">
        <v>400000</v>
      </c>
      <c r="AH62" s="5">
        <v>1200000</v>
      </c>
      <c r="AI62" s="8">
        <v>45749</v>
      </c>
      <c r="AJ62" s="5">
        <v>800000</v>
      </c>
      <c r="AK62" s="9">
        <v>45799</v>
      </c>
      <c r="AL62" s="5">
        <v>400000</v>
      </c>
      <c r="AM62" s="5"/>
    </row>
    <row r="63" spans="1:39" x14ac:dyDescent="0.3">
      <c r="A63" s="4" t="s">
        <v>662</v>
      </c>
      <c r="B63" s="5">
        <v>2025</v>
      </c>
      <c r="C63" s="5" t="s">
        <v>40</v>
      </c>
      <c r="D63" s="5" t="s">
        <v>71</v>
      </c>
      <c r="E63" s="5" t="s">
        <v>42</v>
      </c>
      <c r="F63" s="6" t="s">
        <v>663</v>
      </c>
      <c r="G63" s="7">
        <v>61</v>
      </c>
      <c r="H63" s="7" t="s">
        <v>664</v>
      </c>
      <c r="I63" s="8">
        <v>45764</v>
      </c>
      <c r="J63" s="8">
        <v>45764</v>
      </c>
      <c r="K63" s="5"/>
      <c r="L63" s="5" t="s">
        <v>181</v>
      </c>
      <c r="M63" s="5" t="s">
        <v>42</v>
      </c>
      <c r="N63" s="5" t="s">
        <v>665</v>
      </c>
      <c r="O63" s="5">
        <v>13</v>
      </c>
      <c r="P63" s="5">
        <v>3122431299</v>
      </c>
      <c r="Q63" s="5">
        <v>31224312990</v>
      </c>
      <c r="R63" s="5" t="s">
        <v>666</v>
      </c>
      <c r="S63" s="5"/>
      <c r="T63" s="5" t="s">
        <v>667</v>
      </c>
      <c r="U63" s="5" t="s">
        <v>668</v>
      </c>
      <c r="V63" s="5" t="s">
        <v>668</v>
      </c>
      <c r="W63" s="5" t="s">
        <v>669</v>
      </c>
      <c r="X63" s="5" t="s">
        <v>321</v>
      </c>
      <c r="Y63" s="5" t="s">
        <v>670</v>
      </c>
      <c r="Z63" s="5" t="s">
        <v>671</v>
      </c>
      <c r="AA63" s="8">
        <v>45790</v>
      </c>
      <c r="AB63" s="5" t="s">
        <v>181</v>
      </c>
      <c r="AC63" s="5" t="s">
        <v>671</v>
      </c>
      <c r="AD63" s="8">
        <v>45792</v>
      </c>
      <c r="AE63" s="5">
        <v>600000</v>
      </c>
      <c r="AF63" s="5">
        <v>200000</v>
      </c>
      <c r="AG63" s="5">
        <v>400000</v>
      </c>
      <c r="AH63" s="5">
        <v>600000</v>
      </c>
      <c r="AI63" s="8">
        <v>46021</v>
      </c>
      <c r="AJ63" s="5">
        <v>200000</v>
      </c>
      <c r="AK63" s="9">
        <v>45799</v>
      </c>
      <c r="AL63" s="5">
        <v>400000</v>
      </c>
      <c r="AM63" s="5" t="s">
        <v>495</v>
      </c>
    </row>
    <row r="64" spans="1:39" x14ac:dyDescent="0.3">
      <c r="A64" s="4" t="s">
        <v>672</v>
      </c>
      <c r="B64" s="5">
        <v>2025</v>
      </c>
      <c r="C64" s="5" t="s">
        <v>40</v>
      </c>
      <c r="D64" s="5"/>
      <c r="E64" s="5" t="s">
        <v>42</v>
      </c>
      <c r="F64" s="6" t="s">
        <v>673</v>
      </c>
      <c r="G64" s="7">
        <v>62</v>
      </c>
      <c r="H64" s="7" t="s">
        <v>674</v>
      </c>
      <c r="I64" s="8">
        <v>45768</v>
      </c>
      <c r="J64" s="8">
        <v>45768</v>
      </c>
      <c r="K64" s="5"/>
      <c r="L64" s="5" t="s">
        <v>46</v>
      </c>
      <c r="M64" s="5" t="s">
        <v>675</v>
      </c>
      <c r="N64" s="5" t="s">
        <v>676</v>
      </c>
      <c r="O64" s="5">
        <v>277</v>
      </c>
      <c r="P64" s="5">
        <v>5888500598</v>
      </c>
      <c r="Q64" s="5">
        <v>58885005980</v>
      </c>
      <c r="R64" s="5" t="s">
        <v>677</v>
      </c>
      <c r="S64" s="5"/>
      <c r="T64" s="5" t="s">
        <v>678</v>
      </c>
      <c r="U64" s="5" t="s">
        <v>679</v>
      </c>
      <c r="V64" s="5" t="s">
        <v>679</v>
      </c>
      <c r="W64" s="5" t="s">
        <v>680</v>
      </c>
      <c r="X64" s="5" t="s">
        <v>442</v>
      </c>
      <c r="Y64" s="5" t="s">
        <v>681</v>
      </c>
      <c r="Z64" s="5" t="s">
        <v>682</v>
      </c>
      <c r="AA64" s="8">
        <v>45786</v>
      </c>
      <c r="AB64" s="5" t="s">
        <v>46</v>
      </c>
      <c r="AC64" s="5" t="s">
        <v>682</v>
      </c>
      <c r="AD64" s="8">
        <v>45772</v>
      </c>
      <c r="AE64" s="5">
        <v>950000</v>
      </c>
      <c r="AF64" s="5">
        <v>950000</v>
      </c>
      <c r="AG64" s="5">
        <v>0</v>
      </c>
      <c r="AH64" s="5">
        <v>950000</v>
      </c>
      <c r="AI64" s="8">
        <v>45786</v>
      </c>
      <c r="AJ64" s="5">
        <v>950000</v>
      </c>
      <c r="AK64" s="9" t="s">
        <v>56</v>
      </c>
      <c r="AL64" s="5">
        <v>0</v>
      </c>
      <c r="AM64" s="5"/>
    </row>
    <row r="65" spans="1:39" x14ac:dyDescent="0.3">
      <c r="A65" s="4" t="s">
        <v>683</v>
      </c>
      <c r="B65" s="5">
        <v>2025</v>
      </c>
      <c r="C65" s="5" t="s">
        <v>40</v>
      </c>
      <c r="D65" s="5" t="s">
        <v>314</v>
      </c>
      <c r="E65" s="5" t="s">
        <v>42</v>
      </c>
      <c r="F65" s="6" t="s">
        <v>684</v>
      </c>
      <c r="G65" s="7">
        <v>63</v>
      </c>
      <c r="H65" s="7" t="s">
        <v>685</v>
      </c>
      <c r="I65" s="8">
        <v>45768</v>
      </c>
      <c r="J65" s="8">
        <v>45768</v>
      </c>
      <c r="K65" s="5"/>
      <c r="L65" s="5" t="s">
        <v>61</v>
      </c>
      <c r="M65" s="5" t="s">
        <v>42</v>
      </c>
      <c r="N65" s="5" t="s">
        <v>686</v>
      </c>
      <c r="O65" s="5">
        <v>9</v>
      </c>
      <c r="P65" s="5">
        <v>6488102740</v>
      </c>
      <c r="Q65" s="5">
        <v>64881027400</v>
      </c>
      <c r="R65" s="5" t="s">
        <v>687</v>
      </c>
      <c r="S65" s="5"/>
      <c r="T65" s="5" t="s">
        <v>688</v>
      </c>
      <c r="U65" s="5" t="s">
        <v>689</v>
      </c>
      <c r="V65" s="5" t="s">
        <v>689</v>
      </c>
      <c r="W65" s="5" t="s">
        <v>690</v>
      </c>
      <c r="X65" s="5" t="s">
        <v>66</v>
      </c>
      <c r="Y65" s="5" t="s">
        <v>691</v>
      </c>
      <c r="Z65" s="5" t="s">
        <v>692</v>
      </c>
      <c r="AA65" s="8">
        <v>45790</v>
      </c>
      <c r="AB65" s="5" t="s">
        <v>61</v>
      </c>
      <c r="AC65" s="5" t="s">
        <v>693</v>
      </c>
      <c r="AD65" s="8">
        <v>45792</v>
      </c>
      <c r="AE65" s="5">
        <v>700000</v>
      </c>
      <c r="AF65" s="5">
        <v>300000</v>
      </c>
      <c r="AG65" s="5">
        <v>400000</v>
      </c>
      <c r="AH65" s="5">
        <v>700000</v>
      </c>
      <c r="AI65" s="8">
        <v>45833</v>
      </c>
      <c r="AJ65" s="5">
        <v>300000</v>
      </c>
      <c r="AK65" s="9">
        <v>45799</v>
      </c>
      <c r="AL65" s="5">
        <v>400000</v>
      </c>
      <c r="AM65" s="5"/>
    </row>
    <row r="66" spans="1:39" x14ac:dyDescent="0.3">
      <c r="A66" s="4" t="s">
        <v>694</v>
      </c>
      <c r="B66" s="5">
        <v>2025</v>
      </c>
      <c r="C66" s="5" t="s">
        <v>40</v>
      </c>
      <c r="D66" s="5"/>
      <c r="E66" s="5" t="s">
        <v>42</v>
      </c>
      <c r="F66" s="6" t="s">
        <v>695</v>
      </c>
      <c r="G66" s="7">
        <v>64</v>
      </c>
      <c r="H66" s="7" t="s">
        <v>696</v>
      </c>
      <c r="I66" s="8">
        <v>45769</v>
      </c>
      <c r="J66" s="8">
        <v>45769</v>
      </c>
      <c r="K66" s="5"/>
      <c r="L66" s="5" t="s">
        <v>181</v>
      </c>
      <c r="M66" s="5" t="s">
        <v>42</v>
      </c>
      <c r="N66" s="5" t="s">
        <v>697</v>
      </c>
      <c r="O66" s="5">
        <v>47</v>
      </c>
      <c r="P66" s="5">
        <v>3128603660</v>
      </c>
      <c r="Q66" s="5">
        <v>31286036600</v>
      </c>
      <c r="R66" s="5" t="s">
        <v>698</v>
      </c>
      <c r="S66" s="5"/>
      <c r="T66" s="5" t="s">
        <v>699</v>
      </c>
      <c r="U66" s="5" t="s">
        <v>700</v>
      </c>
      <c r="V66" s="5" t="s">
        <v>700</v>
      </c>
      <c r="W66" s="5" t="s">
        <v>701</v>
      </c>
      <c r="X66" s="5" t="s">
        <v>123</v>
      </c>
      <c r="Y66" s="5" t="s">
        <v>702</v>
      </c>
      <c r="Z66" s="5" t="s">
        <v>703</v>
      </c>
      <c r="AA66" s="8">
        <v>45798</v>
      </c>
      <c r="AB66" s="5" t="s">
        <v>181</v>
      </c>
      <c r="AC66" s="5" t="s">
        <v>704</v>
      </c>
      <c r="AD66" s="8">
        <v>45799</v>
      </c>
      <c r="AE66" s="5">
        <v>1000000</v>
      </c>
      <c r="AF66" s="5">
        <v>600000</v>
      </c>
      <c r="AG66" s="5">
        <v>400000</v>
      </c>
      <c r="AH66" s="5">
        <v>1000000</v>
      </c>
      <c r="AI66" s="8">
        <v>45833</v>
      </c>
      <c r="AJ66" s="5">
        <v>600000</v>
      </c>
      <c r="AK66" s="9">
        <v>45820</v>
      </c>
      <c r="AL66" s="5">
        <v>400000</v>
      </c>
      <c r="AM66" s="5" t="s">
        <v>705</v>
      </c>
    </row>
    <row r="67" spans="1:39" x14ac:dyDescent="0.3">
      <c r="A67" s="4" t="s">
        <v>706</v>
      </c>
      <c r="B67" s="5">
        <v>2025</v>
      </c>
      <c r="C67" s="5" t="s">
        <v>40</v>
      </c>
      <c r="D67" s="5" t="s">
        <v>555</v>
      </c>
      <c r="E67" s="5" t="s">
        <v>42</v>
      </c>
      <c r="F67" s="6" t="s">
        <v>707</v>
      </c>
      <c r="G67" s="7">
        <v>65</v>
      </c>
      <c r="H67" s="7" t="s">
        <v>708</v>
      </c>
      <c r="I67" s="8">
        <v>45770</v>
      </c>
      <c r="J67" s="8">
        <v>45770</v>
      </c>
      <c r="K67" s="5"/>
      <c r="L67" s="5" t="s">
        <v>61</v>
      </c>
      <c r="M67" s="5" t="s">
        <v>42</v>
      </c>
      <c r="N67" s="5" t="s">
        <v>709</v>
      </c>
      <c r="O67" s="5">
        <v>13</v>
      </c>
      <c r="P67" s="5">
        <v>2148678417</v>
      </c>
      <c r="Q67" s="5">
        <v>21486784176</v>
      </c>
      <c r="R67" s="5" t="s">
        <v>710</v>
      </c>
      <c r="S67" s="5"/>
      <c r="T67" s="5" t="s">
        <v>711</v>
      </c>
      <c r="U67" s="5"/>
      <c r="V67" s="5"/>
      <c r="W67" s="5" t="s">
        <v>712</v>
      </c>
      <c r="X67" s="5" t="s">
        <v>713</v>
      </c>
      <c r="Y67" s="5" t="s">
        <v>714</v>
      </c>
      <c r="Z67" s="5" t="s">
        <v>715</v>
      </c>
      <c r="AA67" s="8">
        <v>45790</v>
      </c>
      <c r="AB67" s="5" t="s">
        <v>61</v>
      </c>
      <c r="AC67" s="5" t="s">
        <v>715</v>
      </c>
      <c r="AD67" s="8">
        <v>45792</v>
      </c>
      <c r="AE67" s="5">
        <v>650000</v>
      </c>
      <c r="AF67" s="5">
        <v>650000</v>
      </c>
      <c r="AG67" s="5">
        <v>0</v>
      </c>
      <c r="AH67" s="5">
        <v>650000</v>
      </c>
      <c r="AI67" s="8">
        <v>45848</v>
      </c>
      <c r="AJ67" s="5">
        <v>650000</v>
      </c>
      <c r="AK67" s="9" t="s">
        <v>56</v>
      </c>
      <c r="AL67" s="5">
        <v>0</v>
      </c>
      <c r="AM67" s="5"/>
    </row>
    <row r="68" spans="1:39" x14ac:dyDescent="0.3">
      <c r="A68" s="4" t="s">
        <v>716</v>
      </c>
      <c r="B68" s="5">
        <v>2025</v>
      </c>
      <c r="C68" s="5" t="s">
        <v>40</v>
      </c>
      <c r="D68" s="5" t="s">
        <v>71</v>
      </c>
      <c r="E68" s="5" t="s">
        <v>42</v>
      </c>
      <c r="F68" s="6" t="s">
        <v>717</v>
      </c>
      <c r="G68" s="7">
        <v>66</v>
      </c>
      <c r="H68" s="7" t="s">
        <v>718</v>
      </c>
      <c r="I68" s="8">
        <v>45770</v>
      </c>
      <c r="J68" s="8">
        <v>45771</v>
      </c>
      <c r="K68" s="5"/>
      <c r="L68" s="5" t="s">
        <v>719</v>
      </c>
      <c r="M68" s="5" t="s">
        <v>613</v>
      </c>
      <c r="N68" s="5" t="s">
        <v>720</v>
      </c>
      <c r="O68" s="5">
        <v>260</v>
      </c>
      <c r="P68" s="5">
        <v>1378210048</v>
      </c>
      <c r="Q68" s="5">
        <v>13782100480</v>
      </c>
      <c r="R68" s="5" t="s">
        <v>721</v>
      </c>
      <c r="S68" s="5"/>
      <c r="T68" s="5" t="s">
        <v>722</v>
      </c>
      <c r="U68" s="5" t="s">
        <v>723</v>
      </c>
      <c r="V68" s="5" t="s">
        <v>723</v>
      </c>
      <c r="W68" s="5" t="s">
        <v>724</v>
      </c>
      <c r="X68" s="5" t="s">
        <v>442</v>
      </c>
      <c r="Y68" s="5" t="s">
        <v>725</v>
      </c>
      <c r="Z68" s="5" t="s">
        <v>726</v>
      </c>
      <c r="AA68" s="8">
        <v>45799</v>
      </c>
      <c r="AB68" s="5" t="s">
        <v>73</v>
      </c>
      <c r="AC68" s="5"/>
      <c r="AD68" s="8">
        <v>45849</v>
      </c>
      <c r="AE68" s="5">
        <v>9700000</v>
      </c>
      <c r="AF68" s="5">
        <v>9700000</v>
      </c>
      <c r="AG68" s="5">
        <v>0</v>
      </c>
      <c r="AH68" s="5">
        <v>9700000</v>
      </c>
      <c r="AI68" s="8">
        <v>45856</v>
      </c>
      <c r="AJ68" s="5">
        <v>9700000</v>
      </c>
      <c r="AK68" s="9" t="s">
        <v>56</v>
      </c>
      <c r="AL68" s="5">
        <v>0</v>
      </c>
      <c r="AM68" s="5"/>
    </row>
    <row r="69" spans="1:39" x14ac:dyDescent="0.3">
      <c r="A69" s="4" t="s">
        <v>727</v>
      </c>
      <c r="B69" s="5">
        <v>2025</v>
      </c>
      <c r="C69" s="5" t="s">
        <v>40</v>
      </c>
      <c r="D69" s="5" t="s">
        <v>94</v>
      </c>
      <c r="E69" s="5" t="s">
        <v>42</v>
      </c>
      <c r="F69" s="6" t="s">
        <v>728</v>
      </c>
      <c r="G69" s="7">
        <v>67</v>
      </c>
      <c r="H69" s="7" t="s">
        <v>729</v>
      </c>
      <c r="I69" s="8">
        <v>45771</v>
      </c>
      <c r="J69" s="8">
        <v>45771</v>
      </c>
      <c r="K69" s="5"/>
      <c r="L69" s="5" t="s">
        <v>46</v>
      </c>
      <c r="M69" s="5" t="s">
        <v>42</v>
      </c>
      <c r="N69" s="5" t="s">
        <v>730</v>
      </c>
      <c r="O69" s="5">
        <v>14</v>
      </c>
      <c r="P69" s="5">
        <v>3128118552</v>
      </c>
      <c r="Q69" s="5">
        <v>31281185526</v>
      </c>
      <c r="R69" s="5" t="s">
        <v>731</v>
      </c>
      <c r="S69" s="5"/>
      <c r="T69" s="5" t="s">
        <v>732</v>
      </c>
      <c r="U69" s="5" t="s">
        <v>733</v>
      </c>
      <c r="V69" s="5" t="s">
        <v>733</v>
      </c>
      <c r="W69" s="5" t="s">
        <v>734</v>
      </c>
      <c r="X69" s="5" t="s">
        <v>89</v>
      </c>
      <c r="Y69" s="5" t="s">
        <v>735</v>
      </c>
      <c r="Z69" s="5" t="s">
        <v>736</v>
      </c>
      <c r="AA69" s="8">
        <v>45793</v>
      </c>
      <c r="AB69" s="5" t="s">
        <v>46</v>
      </c>
      <c r="AC69" s="5" t="s">
        <v>737</v>
      </c>
      <c r="AD69" s="8">
        <v>45807</v>
      </c>
      <c r="AE69" s="5">
        <v>1300000</v>
      </c>
      <c r="AF69" s="5">
        <v>900000</v>
      </c>
      <c r="AG69" s="5">
        <v>400000</v>
      </c>
      <c r="AH69" s="5">
        <v>1300000</v>
      </c>
      <c r="AI69" s="8">
        <v>45875</v>
      </c>
      <c r="AJ69" s="5">
        <v>900000</v>
      </c>
      <c r="AK69" s="9">
        <v>45820</v>
      </c>
      <c r="AL69" s="5">
        <v>400000</v>
      </c>
      <c r="AM69" s="5" t="s">
        <v>738</v>
      </c>
    </row>
    <row r="70" spans="1:39" x14ac:dyDescent="0.3">
      <c r="A70" s="4" t="s">
        <v>739</v>
      </c>
      <c r="B70" s="5">
        <v>2025</v>
      </c>
      <c r="C70" s="5" t="s">
        <v>40</v>
      </c>
      <c r="D70" s="5" t="s">
        <v>58</v>
      </c>
      <c r="E70" s="5" t="s">
        <v>42</v>
      </c>
      <c r="F70" s="6" t="s">
        <v>740</v>
      </c>
      <c r="G70" s="7">
        <v>68</v>
      </c>
      <c r="H70" s="7" t="s">
        <v>741</v>
      </c>
      <c r="I70" s="8">
        <v>45771</v>
      </c>
      <c r="J70" s="8">
        <v>45771</v>
      </c>
      <c r="K70" s="5"/>
      <c r="L70" s="5" t="s">
        <v>61</v>
      </c>
      <c r="M70" s="5" t="s">
        <v>84</v>
      </c>
      <c r="N70" s="5" t="s">
        <v>742</v>
      </c>
      <c r="O70" s="5">
        <v>5</v>
      </c>
      <c r="P70" s="5">
        <v>1058129640</v>
      </c>
      <c r="Q70" s="5">
        <v>10581296406</v>
      </c>
      <c r="R70" s="5" t="s">
        <v>743</v>
      </c>
      <c r="S70" s="5"/>
      <c r="T70" s="5" t="s">
        <v>744</v>
      </c>
      <c r="U70" s="5" t="s">
        <v>152</v>
      </c>
      <c r="V70" s="5" t="s">
        <v>152</v>
      </c>
      <c r="W70" s="5" t="s">
        <v>153</v>
      </c>
      <c r="X70" s="5" t="s">
        <v>89</v>
      </c>
      <c r="Y70" s="5" t="s">
        <v>154</v>
      </c>
      <c r="Z70" s="5" t="s">
        <v>155</v>
      </c>
      <c r="AA70" s="8">
        <v>45798</v>
      </c>
      <c r="AB70" s="5" t="s">
        <v>61</v>
      </c>
      <c r="AC70" s="5" t="s">
        <v>155</v>
      </c>
      <c r="AD70" s="8">
        <v>45799</v>
      </c>
      <c r="AE70" s="5">
        <v>800000</v>
      </c>
      <c r="AF70" s="5">
        <v>800000</v>
      </c>
      <c r="AG70" s="5">
        <v>0</v>
      </c>
      <c r="AH70" s="5">
        <v>800000</v>
      </c>
      <c r="AI70" s="8">
        <v>45869</v>
      </c>
      <c r="AJ70" s="5">
        <v>800000</v>
      </c>
      <c r="AK70" s="9" t="s">
        <v>56</v>
      </c>
      <c r="AL70" s="5">
        <v>0</v>
      </c>
      <c r="AM70" s="5"/>
    </row>
    <row r="71" spans="1:39" x14ac:dyDescent="0.3">
      <c r="A71" s="4" t="s">
        <v>745</v>
      </c>
      <c r="B71" s="5">
        <v>2025</v>
      </c>
      <c r="C71" s="5" t="s">
        <v>40</v>
      </c>
      <c r="D71" s="5" t="s">
        <v>71</v>
      </c>
      <c r="E71" s="5" t="s">
        <v>42</v>
      </c>
      <c r="F71" s="6" t="s">
        <v>746</v>
      </c>
      <c r="G71" s="7">
        <v>69</v>
      </c>
      <c r="H71" s="7" t="s">
        <v>747</v>
      </c>
      <c r="I71" s="8">
        <v>45772</v>
      </c>
      <c r="J71" s="8">
        <v>45772</v>
      </c>
      <c r="K71" s="5"/>
      <c r="L71" s="5" t="s">
        <v>719</v>
      </c>
      <c r="M71" s="5" t="s">
        <v>436</v>
      </c>
      <c r="N71" s="5" t="s">
        <v>748</v>
      </c>
      <c r="O71" s="5">
        <v>330</v>
      </c>
      <c r="P71" s="5">
        <v>1248301711</v>
      </c>
      <c r="Q71" s="5">
        <v>12483017110</v>
      </c>
      <c r="R71" s="5" t="s">
        <v>749</v>
      </c>
      <c r="S71" s="5"/>
      <c r="T71" s="5" t="s">
        <v>750</v>
      </c>
      <c r="U71" s="5" t="s">
        <v>751</v>
      </c>
      <c r="V71" s="5" t="s">
        <v>751</v>
      </c>
      <c r="W71" s="5" t="s">
        <v>752</v>
      </c>
      <c r="X71" s="5" t="s">
        <v>442</v>
      </c>
      <c r="Y71" s="5" t="s">
        <v>753</v>
      </c>
      <c r="Z71" s="5" t="s">
        <v>754</v>
      </c>
      <c r="AA71" s="8">
        <v>45800</v>
      </c>
      <c r="AB71" s="5" t="s">
        <v>73</v>
      </c>
      <c r="AC71" s="5" t="s">
        <v>755</v>
      </c>
      <c r="AD71" s="8">
        <v>45831</v>
      </c>
      <c r="AE71" s="5">
        <v>4400000</v>
      </c>
      <c r="AF71" s="5">
        <v>4400000</v>
      </c>
      <c r="AG71" s="5">
        <v>0</v>
      </c>
      <c r="AH71" s="5">
        <v>4400000</v>
      </c>
      <c r="AI71" s="8">
        <v>45831</v>
      </c>
      <c r="AJ71" s="5">
        <v>4400000</v>
      </c>
      <c r="AK71" s="9" t="s">
        <v>56</v>
      </c>
      <c r="AL71" s="5">
        <v>0</v>
      </c>
      <c r="AM71" s="5"/>
    </row>
    <row r="72" spans="1:39" x14ac:dyDescent="0.3">
      <c r="A72" s="4" t="s">
        <v>756</v>
      </c>
      <c r="B72" s="5">
        <v>2025</v>
      </c>
      <c r="C72" s="5" t="s">
        <v>40</v>
      </c>
      <c r="D72" s="5" t="s">
        <v>58</v>
      </c>
      <c r="E72" s="5" t="s">
        <v>42</v>
      </c>
      <c r="F72" s="6" t="s">
        <v>757</v>
      </c>
      <c r="G72" s="7">
        <v>70</v>
      </c>
      <c r="H72" s="7" t="s">
        <v>758</v>
      </c>
      <c r="I72" s="8">
        <v>45772</v>
      </c>
      <c r="J72" s="8">
        <v>45772</v>
      </c>
      <c r="K72" s="5"/>
      <c r="L72" s="5" t="s">
        <v>46</v>
      </c>
      <c r="M72" s="5" t="s">
        <v>589</v>
      </c>
      <c r="N72" s="5" t="s">
        <v>759</v>
      </c>
      <c r="O72" s="5">
        <v>30</v>
      </c>
      <c r="P72" s="5">
        <v>1398116527</v>
      </c>
      <c r="Q72" s="5">
        <v>13981165276</v>
      </c>
      <c r="R72" s="5" t="s">
        <v>760</v>
      </c>
      <c r="S72" s="5"/>
      <c r="T72" s="5" t="s">
        <v>761</v>
      </c>
      <c r="U72" s="5"/>
      <c r="V72" s="5"/>
      <c r="W72" s="5" t="s">
        <v>762</v>
      </c>
      <c r="X72" s="5" t="s">
        <v>66</v>
      </c>
      <c r="Y72" s="5" t="s">
        <v>763</v>
      </c>
      <c r="Z72" s="5" t="s">
        <v>764</v>
      </c>
      <c r="AA72" s="8">
        <v>45798</v>
      </c>
      <c r="AB72" s="5" t="s">
        <v>46</v>
      </c>
      <c r="AC72" s="5"/>
      <c r="AD72" s="8">
        <v>45799</v>
      </c>
      <c r="AE72" s="5">
        <v>1300000</v>
      </c>
      <c r="AF72" s="5">
        <v>300000</v>
      </c>
      <c r="AG72" s="5">
        <v>1000000</v>
      </c>
      <c r="AH72" s="5">
        <v>1300000</v>
      </c>
      <c r="AI72" s="8">
        <v>45803</v>
      </c>
      <c r="AJ72" s="5">
        <v>300000</v>
      </c>
      <c r="AK72" s="9">
        <v>45827</v>
      </c>
      <c r="AL72" s="5">
        <v>1000000</v>
      </c>
      <c r="AM72" s="5"/>
    </row>
    <row r="73" spans="1:39" x14ac:dyDescent="0.3">
      <c r="A73" s="4" t="s">
        <v>765</v>
      </c>
      <c r="B73" s="5">
        <v>2025</v>
      </c>
      <c r="C73" s="5" t="s">
        <v>40</v>
      </c>
      <c r="D73" s="5" t="s">
        <v>94</v>
      </c>
      <c r="E73" s="5" t="s">
        <v>42</v>
      </c>
      <c r="F73" s="6" t="s">
        <v>766</v>
      </c>
      <c r="G73" s="7">
        <v>71</v>
      </c>
      <c r="H73" s="7" t="s">
        <v>767</v>
      </c>
      <c r="I73" s="8">
        <v>45776</v>
      </c>
      <c r="J73" s="8">
        <v>45776</v>
      </c>
      <c r="K73" s="5"/>
      <c r="L73" s="5" t="s">
        <v>558</v>
      </c>
      <c r="M73" s="5" t="s">
        <v>518</v>
      </c>
      <c r="N73" s="5" t="s">
        <v>768</v>
      </c>
      <c r="O73" s="5">
        <v>239</v>
      </c>
      <c r="P73" s="5">
        <v>2118713085</v>
      </c>
      <c r="Q73" s="5">
        <v>21187130856</v>
      </c>
      <c r="R73" s="5" t="s">
        <v>769</v>
      </c>
      <c r="S73" s="5"/>
      <c r="T73" s="5" t="s">
        <v>770</v>
      </c>
      <c r="U73" s="5"/>
      <c r="V73" s="5"/>
      <c r="W73" s="5" t="s">
        <v>771</v>
      </c>
      <c r="X73" s="5" t="s">
        <v>134</v>
      </c>
      <c r="Y73" s="5" t="s">
        <v>772</v>
      </c>
      <c r="Z73" s="5" t="s">
        <v>773</v>
      </c>
      <c r="AA73" s="8">
        <v>45800</v>
      </c>
      <c r="AB73" s="5" t="s">
        <v>73</v>
      </c>
      <c r="AC73" s="5" t="s">
        <v>773</v>
      </c>
      <c r="AD73" s="8">
        <v>45777</v>
      </c>
      <c r="AE73" s="5">
        <v>9200000</v>
      </c>
      <c r="AF73" s="5">
        <v>9200000</v>
      </c>
      <c r="AG73" s="5">
        <v>0</v>
      </c>
      <c r="AH73" s="5">
        <v>9200000</v>
      </c>
      <c r="AI73" s="8">
        <v>45807</v>
      </c>
      <c r="AJ73" s="5">
        <v>9200000</v>
      </c>
      <c r="AK73" s="9" t="s">
        <v>56</v>
      </c>
      <c r="AL73" s="5">
        <v>0</v>
      </c>
      <c r="AM73" s="5"/>
    </row>
    <row r="74" spans="1:39" x14ac:dyDescent="0.3">
      <c r="A74" s="4" t="s">
        <v>774</v>
      </c>
      <c r="B74" s="5">
        <v>2025</v>
      </c>
      <c r="C74" s="5" t="s">
        <v>40</v>
      </c>
      <c r="D74" s="5" t="s">
        <v>94</v>
      </c>
      <c r="E74" s="5" t="s">
        <v>42</v>
      </c>
      <c r="F74" s="6" t="s">
        <v>775</v>
      </c>
      <c r="G74" s="7">
        <v>72</v>
      </c>
      <c r="H74" s="7" t="s">
        <v>776</v>
      </c>
      <c r="I74" s="8">
        <v>45777</v>
      </c>
      <c r="J74" s="8">
        <v>45777</v>
      </c>
      <c r="K74" s="5"/>
      <c r="L74" s="5" t="s">
        <v>612</v>
      </c>
      <c r="M74" s="5" t="s">
        <v>613</v>
      </c>
      <c r="N74" s="5" t="s">
        <v>777</v>
      </c>
      <c r="O74" s="5">
        <v>75</v>
      </c>
      <c r="P74" s="5">
        <v>4098618375</v>
      </c>
      <c r="Q74" s="5">
        <v>40986183756</v>
      </c>
      <c r="R74" s="5" t="s">
        <v>778</v>
      </c>
      <c r="S74" s="5"/>
      <c r="T74" s="5" t="s">
        <v>779</v>
      </c>
      <c r="U74" s="5"/>
      <c r="V74" s="5"/>
      <c r="W74" s="5" t="s">
        <v>780</v>
      </c>
      <c r="X74" s="5" t="s">
        <v>224</v>
      </c>
      <c r="Y74" s="5" t="s">
        <v>781</v>
      </c>
      <c r="Z74" s="5" t="s">
        <v>782</v>
      </c>
      <c r="AA74" s="8">
        <v>45800</v>
      </c>
      <c r="AB74" s="5" t="s">
        <v>218</v>
      </c>
      <c r="AC74" s="5" t="s">
        <v>782</v>
      </c>
      <c r="AD74" s="8">
        <v>45807</v>
      </c>
      <c r="AE74" s="5">
        <v>2800000</v>
      </c>
      <c r="AF74" s="5">
        <v>2800000</v>
      </c>
      <c r="AG74" s="5">
        <v>0</v>
      </c>
      <c r="AH74" s="5">
        <v>2800000</v>
      </c>
      <c r="AI74" s="8">
        <v>45824</v>
      </c>
      <c r="AJ74" s="5">
        <v>2800000</v>
      </c>
      <c r="AK74" s="9" t="s">
        <v>56</v>
      </c>
      <c r="AL74" s="5">
        <v>0</v>
      </c>
      <c r="AM74" s="5"/>
    </row>
    <row r="75" spans="1:39" x14ac:dyDescent="0.3">
      <c r="A75" s="4" t="s">
        <v>783</v>
      </c>
      <c r="B75" s="5">
        <v>2025</v>
      </c>
      <c r="C75" s="5" t="s">
        <v>40</v>
      </c>
      <c r="D75" s="5" t="s">
        <v>784</v>
      </c>
      <c r="E75" s="5" t="s">
        <v>42</v>
      </c>
      <c r="F75" s="6" t="s">
        <v>785</v>
      </c>
      <c r="G75" s="7">
        <v>73</v>
      </c>
      <c r="H75" s="7" t="s">
        <v>786</v>
      </c>
      <c r="I75" s="8">
        <v>45784</v>
      </c>
      <c r="J75" s="8">
        <v>45784</v>
      </c>
      <c r="K75" s="5"/>
      <c r="L75" s="5" t="s">
        <v>73</v>
      </c>
      <c r="M75" s="5" t="s">
        <v>241</v>
      </c>
      <c r="N75" s="5" t="s">
        <v>787</v>
      </c>
      <c r="O75" s="5">
        <v>60</v>
      </c>
      <c r="P75" s="5">
        <v>1298663881</v>
      </c>
      <c r="Q75" s="5">
        <v>12986638810</v>
      </c>
      <c r="R75" s="5" t="s">
        <v>788</v>
      </c>
      <c r="S75" s="5"/>
      <c r="T75" s="5" t="s">
        <v>789</v>
      </c>
      <c r="U75" s="5" t="s">
        <v>790</v>
      </c>
      <c r="V75" s="5" t="s">
        <v>790</v>
      </c>
      <c r="W75" s="5" t="s">
        <v>791</v>
      </c>
      <c r="X75" s="5" t="s">
        <v>123</v>
      </c>
      <c r="Y75" s="5" t="s">
        <v>792</v>
      </c>
      <c r="Z75" s="5" t="s">
        <v>793</v>
      </c>
      <c r="AA75" s="8">
        <v>45813</v>
      </c>
      <c r="AB75" s="5" t="s">
        <v>73</v>
      </c>
      <c r="AC75" s="5" t="s">
        <v>794</v>
      </c>
      <c r="AD75" s="8">
        <v>45813</v>
      </c>
      <c r="AE75" s="5">
        <v>2500000</v>
      </c>
      <c r="AF75" s="5">
        <v>2500000</v>
      </c>
      <c r="AG75" s="5">
        <v>0</v>
      </c>
      <c r="AH75" s="5">
        <v>2500000</v>
      </c>
      <c r="AI75" s="8">
        <v>45819</v>
      </c>
      <c r="AJ75" s="5">
        <v>2500000</v>
      </c>
      <c r="AK75" s="9" t="s">
        <v>56</v>
      </c>
      <c r="AL75" s="5">
        <v>0</v>
      </c>
      <c r="AM75" s="5"/>
    </row>
    <row r="76" spans="1:39" x14ac:dyDescent="0.3">
      <c r="A76" s="4" t="s">
        <v>795</v>
      </c>
      <c r="B76" s="5">
        <v>2025</v>
      </c>
      <c r="C76" s="5" t="s">
        <v>40</v>
      </c>
      <c r="D76" s="5" t="s">
        <v>314</v>
      </c>
      <c r="E76" s="5" t="s">
        <v>42</v>
      </c>
      <c r="F76" s="6" t="s">
        <v>796</v>
      </c>
      <c r="G76" s="7">
        <v>74</v>
      </c>
      <c r="H76" s="7" t="s">
        <v>797</v>
      </c>
      <c r="I76" s="8">
        <v>45785</v>
      </c>
      <c r="J76" s="8">
        <v>45785</v>
      </c>
      <c r="K76" s="5"/>
      <c r="L76" s="5" t="s">
        <v>798</v>
      </c>
      <c r="M76" s="5" t="s">
        <v>42</v>
      </c>
      <c r="N76" s="5" t="s">
        <v>799</v>
      </c>
      <c r="O76" s="5">
        <v>139</v>
      </c>
      <c r="P76" s="5">
        <v>3128525589</v>
      </c>
      <c r="Q76" s="5">
        <v>31285255890</v>
      </c>
      <c r="R76" s="5" t="s">
        <v>800</v>
      </c>
      <c r="S76" s="5"/>
      <c r="T76" s="5" t="s">
        <v>801</v>
      </c>
      <c r="U76" s="5" t="s">
        <v>802</v>
      </c>
      <c r="V76" s="5" t="s">
        <v>802</v>
      </c>
      <c r="W76" s="5" t="s">
        <v>803</v>
      </c>
      <c r="X76" s="5" t="s">
        <v>224</v>
      </c>
      <c r="Y76" s="5" t="s">
        <v>804</v>
      </c>
      <c r="Z76" s="5" t="s">
        <v>805</v>
      </c>
      <c r="AA76" s="8">
        <v>45838</v>
      </c>
      <c r="AB76" s="5" t="s">
        <v>218</v>
      </c>
      <c r="AC76" s="5" t="s">
        <v>805</v>
      </c>
      <c r="AD76" s="8">
        <v>45805</v>
      </c>
      <c r="AE76" s="5">
        <v>4000000</v>
      </c>
      <c r="AF76" s="5">
        <v>4000000</v>
      </c>
      <c r="AG76" s="5">
        <v>0</v>
      </c>
      <c r="AH76" s="5">
        <v>4000000</v>
      </c>
      <c r="AI76" s="8">
        <v>45880</v>
      </c>
      <c r="AJ76" s="5">
        <v>4000000</v>
      </c>
      <c r="AK76" s="9" t="s">
        <v>56</v>
      </c>
      <c r="AL76" s="5">
        <v>0</v>
      </c>
      <c r="AM76" s="5"/>
    </row>
    <row r="77" spans="1:39" x14ac:dyDescent="0.3">
      <c r="A77" s="4" t="s">
        <v>806</v>
      </c>
      <c r="B77" s="5">
        <v>2025</v>
      </c>
      <c r="C77" s="5" t="s">
        <v>40</v>
      </c>
      <c r="D77" s="5" t="s">
        <v>71</v>
      </c>
      <c r="E77" s="5" t="s">
        <v>42</v>
      </c>
      <c r="F77" s="6" t="s">
        <v>807</v>
      </c>
      <c r="G77" s="7">
        <v>75</v>
      </c>
      <c r="H77" s="7" t="s">
        <v>808</v>
      </c>
      <c r="I77" s="8">
        <v>45786</v>
      </c>
      <c r="J77" s="8">
        <v>45786</v>
      </c>
      <c r="K77" s="5"/>
      <c r="L77" s="5" t="s">
        <v>218</v>
      </c>
      <c r="M77" s="5" t="s">
        <v>241</v>
      </c>
      <c r="N77" s="5" t="s">
        <v>809</v>
      </c>
      <c r="O77" s="5">
        <v>52</v>
      </c>
      <c r="P77" s="5">
        <v>1238122214</v>
      </c>
      <c r="Q77" s="5">
        <v>12381222140</v>
      </c>
      <c r="R77" s="5" t="s">
        <v>810</v>
      </c>
      <c r="S77" s="5"/>
      <c r="T77" s="5" t="s">
        <v>811</v>
      </c>
      <c r="U77" s="5" t="s">
        <v>812</v>
      </c>
      <c r="V77" s="5" t="s">
        <v>812</v>
      </c>
      <c r="W77" s="5" t="s">
        <v>813</v>
      </c>
      <c r="X77" s="5" t="s">
        <v>168</v>
      </c>
      <c r="Y77" s="5" t="s">
        <v>814</v>
      </c>
      <c r="Z77" s="5" t="s">
        <v>815</v>
      </c>
      <c r="AA77" s="8">
        <v>45813</v>
      </c>
      <c r="AB77" s="5" t="s">
        <v>218</v>
      </c>
      <c r="AC77" s="5" t="s">
        <v>815</v>
      </c>
      <c r="AD77" s="8">
        <v>45817</v>
      </c>
      <c r="AE77" s="5">
        <v>1200000</v>
      </c>
      <c r="AF77" s="5">
        <v>1200000</v>
      </c>
      <c r="AG77" s="5">
        <v>0</v>
      </c>
      <c r="AH77" s="5">
        <v>1200000</v>
      </c>
      <c r="AI77" s="8">
        <v>45835</v>
      </c>
      <c r="AJ77" s="5">
        <v>1200000</v>
      </c>
      <c r="AK77" s="9" t="s">
        <v>56</v>
      </c>
      <c r="AL77" s="5">
        <v>0</v>
      </c>
      <c r="AM77" s="5"/>
    </row>
    <row r="78" spans="1:39" x14ac:dyDescent="0.3">
      <c r="A78" s="4" t="s">
        <v>816</v>
      </c>
      <c r="B78" s="5">
        <v>2025</v>
      </c>
      <c r="C78" s="5" t="s">
        <v>40</v>
      </c>
      <c r="D78" s="5" t="s">
        <v>94</v>
      </c>
      <c r="E78" s="5" t="s">
        <v>42</v>
      </c>
      <c r="F78" s="6" t="s">
        <v>817</v>
      </c>
      <c r="G78" s="7">
        <v>76</v>
      </c>
      <c r="H78" s="7" t="s">
        <v>818</v>
      </c>
      <c r="I78" s="8">
        <v>45789</v>
      </c>
      <c r="J78" s="8">
        <v>45789</v>
      </c>
      <c r="K78" s="5"/>
      <c r="L78" s="5" t="s">
        <v>181</v>
      </c>
      <c r="M78" s="5" t="s">
        <v>42</v>
      </c>
      <c r="N78" s="5" t="s">
        <v>819</v>
      </c>
      <c r="O78" s="5">
        <v>5</v>
      </c>
      <c r="P78" s="5">
        <v>1138144676</v>
      </c>
      <c r="Q78" s="5">
        <v>11381446766</v>
      </c>
      <c r="R78" s="5" t="s">
        <v>820</v>
      </c>
      <c r="S78" s="5"/>
      <c r="T78" s="5" t="s">
        <v>821</v>
      </c>
      <c r="U78" s="5"/>
      <c r="V78" s="5"/>
      <c r="W78" s="5" t="s">
        <v>822</v>
      </c>
      <c r="X78" s="5" t="s">
        <v>823</v>
      </c>
      <c r="Y78" s="5" t="s">
        <v>824</v>
      </c>
      <c r="Z78" s="5" t="s">
        <v>825</v>
      </c>
      <c r="AA78" s="8">
        <v>45818</v>
      </c>
      <c r="AB78" s="5" t="s">
        <v>181</v>
      </c>
      <c r="AC78" s="5" t="s">
        <v>825</v>
      </c>
      <c r="AD78" s="8">
        <v>45820</v>
      </c>
      <c r="AE78" s="5">
        <v>1100000</v>
      </c>
      <c r="AF78" s="5">
        <v>1100000</v>
      </c>
      <c r="AG78" s="5">
        <v>0</v>
      </c>
      <c r="AH78" s="5">
        <v>1100000</v>
      </c>
      <c r="AI78" s="8">
        <v>45828</v>
      </c>
      <c r="AJ78" s="5">
        <v>1100000</v>
      </c>
      <c r="AK78" s="9" t="s">
        <v>56</v>
      </c>
      <c r="AL78" s="5">
        <v>0</v>
      </c>
      <c r="AM78" s="5"/>
    </row>
    <row r="79" spans="1:39" x14ac:dyDescent="0.3">
      <c r="A79" s="4" t="s">
        <v>826</v>
      </c>
      <c r="B79" s="5">
        <v>2025</v>
      </c>
      <c r="C79" s="5" t="s">
        <v>40</v>
      </c>
      <c r="D79" s="5" t="s">
        <v>71</v>
      </c>
      <c r="E79" s="5" t="s">
        <v>42</v>
      </c>
      <c r="F79" s="6" t="s">
        <v>827</v>
      </c>
      <c r="G79" s="7">
        <v>77</v>
      </c>
      <c r="H79" s="7" t="s">
        <v>828</v>
      </c>
      <c r="I79" s="8">
        <v>45789</v>
      </c>
      <c r="J79" s="8">
        <v>45789</v>
      </c>
      <c r="K79" s="5"/>
      <c r="L79" s="5" t="s">
        <v>73</v>
      </c>
      <c r="M79" s="5" t="s">
        <v>42</v>
      </c>
      <c r="N79" s="5" t="s">
        <v>829</v>
      </c>
      <c r="O79" s="5">
        <v>16</v>
      </c>
      <c r="P79" s="5">
        <v>3118204843</v>
      </c>
      <c r="Q79" s="5">
        <v>31182048430</v>
      </c>
      <c r="R79" s="5" t="s">
        <v>830</v>
      </c>
      <c r="S79" s="5"/>
      <c r="T79" s="5" t="s">
        <v>831</v>
      </c>
      <c r="U79" s="5" t="s">
        <v>832</v>
      </c>
      <c r="V79" s="5" t="s">
        <v>832</v>
      </c>
      <c r="W79" s="5" t="s">
        <v>833</v>
      </c>
      <c r="X79" s="5"/>
      <c r="Y79" s="5" t="s">
        <v>834</v>
      </c>
      <c r="Z79" s="5" t="s">
        <v>835</v>
      </c>
      <c r="AA79" s="8">
        <v>45817</v>
      </c>
      <c r="AB79" s="5" t="s">
        <v>73</v>
      </c>
      <c r="AC79" s="5" t="s">
        <v>835</v>
      </c>
      <c r="AD79" s="8">
        <v>45817</v>
      </c>
      <c r="AE79" s="5">
        <v>2100000</v>
      </c>
      <c r="AF79" s="5">
        <v>1700000</v>
      </c>
      <c r="AG79" s="5">
        <v>400000</v>
      </c>
      <c r="AH79" s="5">
        <v>2100000</v>
      </c>
      <c r="AI79" s="8">
        <v>45854</v>
      </c>
      <c r="AJ79" s="5">
        <v>1700000</v>
      </c>
      <c r="AK79" s="9">
        <v>45853</v>
      </c>
      <c r="AL79" s="5">
        <v>400000</v>
      </c>
      <c r="AM79" s="5"/>
    </row>
    <row r="80" spans="1:39" x14ac:dyDescent="0.3">
      <c r="A80" s="4" t="s">
        <v>836</v>
      </c>
      <c r="B80" s="5">
        <v>2025</v>
      </c>
      <c r="C80" s="5" t="s">
        <v>40</v>
      </c>
      <c r="D80" s="5" t="s">
        <v>837</v>
      </c>
      <c r="E80" s="5" t="s">
        <v>42</v>
      </c>
      <c r="F80" s="6" t="s">
        <v>838</v>
      </c>
      <c r="G80" s="7">
        <v>78</v>
      </c>
      <c r="H80" s="7" t="s">
        <v>839</v>
      </c>
      <c r="I80" s="8">
        <v>45791</v>
      </c>
      <c r="J80" s="8">
        <v>45812</v>
      </c>
      <c r="K80" s="5"/>
      <c r="L80" s="5" t="s">
        <v>840</v>
      </c>
      <c r="M80" s="5" t="s">
        <v>613</v>
      </c>
      <c r="N80" s="5" t="s">
        <v>841</v>
      </c>
      <c r="O80" s="5">
        <v>73</v>
      </c>
      <c r="P80" s="5">
        <v>3088303622</v>
      </c>
      <c r="Q80" s="5">
        <v>90700450961</v>
      </c>
      <c r="R80" s="5" t="s">
        <v>842</v>
      </c>
      <c r="S80" s="5"/>
      <c r="T80" s="5" t="s">
        <v>843</v>
      </c>
      <c r="U80" s="5" t="s">
        <v>844</v>
      </c>
      <c r="V80" s="5" t="s">
        <v>844</v>
      </c>
      <c r="W80" s="5" t="s">
        <v>845</v>
      </c>
      <c r="X80" s="5" t="s">
        <v>442</v>
      </c>
      <c r="Y80" s="5" t="s">
        <v>846</v>
      </c>
      <c r="Z80" s="5" t="s">
        <v>847</v>
      </c>
      <c r="AA80" s="8">
        <v>45838</v>
      </c>
      <c r="AB80" s="5" t="s">
        <v>46</v>
      </c>
      <c r="AC80" s="5"/>
      <c r="AD80" s="8"/>
      <c r="AE80" s="5">
        <v>0</v>
      </c>
      <c r="AF80" s="5"/>
      <c r="AG80" s="5"/>
      <c r="AH80" s="5">
        <v>0</v>
      </c>
      <c r="AI80" s="8"/>
      <c r="AJ80" s="5"/>
      <c r="AK80" s="9"/>
      <c r="AL80" s="5"/>
      <c r="AM80" s="5"/>
    </row>
    <row r="81" spans="1:39" x14ac:dyDescent="0.3">
      <c r="A81" s="4" t="s">
        <v>848</v>
      </c>
      <c r="B81" s="5">
        <v>2025</v>
      </c>
      <c r="C81" s="5" t="s">
        <v>40</v>
      </c>
      <c r="D81" s="5" t="s">
        <v>849</v>
      </c>
      <c r="E81" s="5" t="s">
        <v>42</v>
      </c>
      <c r="F81" s="6" t="s">
        <v>850</v>
      </c>
      <c r="G81" s="7">
        <v>79</v>
      </c>
      <c r="H81" s="7" t="s">
        <v>851</v>
      </c>
      <c r="I81" s="8">
        <v>45792</v>
      </c>
      <c r="J81" s="8">
        <v>45793</v>
      </c>
      <c r="K81" s="5"/>
      <c r="L81" s="5" t="s">
        <v>852</v>
      </c>
      <c r="M81" s="5" t="s">
        <v>42</v>
      </c>
      <c r="N81" s="5" t="s">
        <v>853</v>
      </c>
      <c r="O81" s="5">
        <v>223</v>
      </c>
      <c r="P81" s="5">
        <v>2208113641</v>
      </c>
      <c r="Q81" s="5">
        <v>90700621181</v>
      </c>
      <c r="R81" s="5" t="s">
        <v>854</v>
      </c>
      <c r="S81" s="5"/>
      <c r="T81" s="5" t="s">
        <v>855</v>
      </c>
      <c r="U81" s="5" t="s">
        <v>856</v>
      </c>
      <c r="V81" s="5" t="s">
        <v>856</v>
      </c>
      <c r="W81" s="5" t="s">
        <v>857</v>
      </c>
      <c r="X81" s="5" t="s">
        <v>491</v>
      </c>
      <c r="Y81" s="5" t="s">
        <v>858</v>
      </c>
      <c r="Z81" s="5" t="s">
        <v>859</v>
      </c>
      <c r="AA81" s="8">
        <v>45821</v>
      </c>
      <c r="AB81" s="5" t="s">
        <v>61</v>
      </c>
      <c r="AC81" s="5" t="s">
        <v>859</v>
      </c>
      <c r="AD81" s="8">
        <v>45825</v>
      </c>
      <c r="AE81" s="5">
        <v>8000000</v>
      </c>
      <c r="AF81" s="5">
        <v>8000000</v>
      </c>
      <c r="AG81" s="5">
        <v>0</v>
      </c>
      <c r="AH81" s="5">
        <v>8000000</v>
      </c>
      <c r="AI81" s="8">
        <v>45859</v>
      </c>
      <c r="AJ81" s="5">
        <v>8000000</v>
      </c>
      <c r="AK81" s="9" t="s">
        <v>56</v>
      </c>
      <c r="AL81" s="5">
        <v>0</v>
      </c>
      <c r="AM81" s="5"/>
    </row>
    <row r="82" spans="1:39" x14ac:dyDescent="0.3">
      <c r="A82" s="4" t="s">
        <v>860</v>
      </c>
      <c r="B82" s="5">
        <v>2025</v>
      </c>
      <c r="C82" s="5" t="s">
        <v>40</v>
      </c>
      <c r="D82" s="5" t="s">
        <v>849</v>
      </c>
      <c r="E82" s="5" t="s">
        <v>42</v>
      </c>
      <c r="F82" s="6" t="s">
        <v>861</v>
      </c>
      <c r="G82" s="7">
        <v>80</v>
      </c>
      <c r="H82" s="7" t="s">
        <v>862</v>
      </c>
      <c r="I82" s="8">
        <v>45793</v>
      </c>
      <c r="J82" s="8">
        <v>45793</v>
      </c>
      <c r="K82" s="5"/>
      <c r="L82" s="5" t="s">
        <v>863</v>
      </c>
      <c r="M82" s="5" t="s">
        <v>42</v>
      </c>
      <c r="N82" s="5" t="s">
        <v>864</v>
      </c>
      <c r="O82" s="5">
        <v>243</v>
      </c>
      <c r="P82" s="5">
        <v>1838602229</v>
      </c>
      <c r="Q82" s="5">
        <v>18386022290</v>
      </c>
      <c r="R82" s="5" t="s">
        <v>865</v>
      </c>
      <c r="S82" s="5"/>
      <c r="T82" s="5" t="s">
        <v>855</v>
      </c>
      <c r="U82" s="5" t="s">
        <v>866</v>
      </c>
      <c r="V82" s="5" t="s">
        <v>866</v>
      </c>
      <c r="W82" s="5" t="s">
        <v>857</v>
      </c>
      <c r="X82" s="5" t="s">
        <v>491</v>
      </c>
      <c r="Y82" s="5" t="s">
        <v>858</v>
      </c>
      <c r="Z82" s="5" t="s">
        <v>859</v>
      </c>
      <c r="AA82" s="8">
        <v>45820</v>
      </c>
      <c r="AB82" s="5" t="s">
        <v>181</v>
      </c>
      <c r="AC82" s="5" t="s">
        <v>859</v>
      </c>
      <c r="AD82" s="8">
        <v>45825</v>
      </c>
      <c r="AE82" s="5">
        <v>3000000</v>
      </c>
      <c r="AF82" s="5">
        <v>3000000</v>
      </c>
      <c r="AG82" s="5">
        <v>0</v>
      </c>
      <c r="AH82" s="5">
        <v>3000000</v>
      </c>
      <c r="AI82" s="8">
        <v>45859</v>
      </c>
      <c r="AJ82" s="5">
        <v>3000000</v>
      </c>
      <c r="AK82" s="9" t="s">
        <v>56</v>
      </c>
      <c r="AL82" s="5">
        <v>0</v>
      </c>
      <c r="AM82" s="5"/>
    </row>
    <row r="83" spans="1:39" x14ac:dyDescent="0.3">
      <c r="A83" s="4" t="s">
        <v>867</v>
      </c>
      <c r="B83" s="5">
        <v>2025</v>
      </c>
      <c r="C83" s="5" t="s">
        <v>40</v>
      </c>
      <c r="D83" s="5" t="s">
        <v>868</v>
      </c>
      <c r="E83" s="5" t="s">
        <v>42</v>
      </c>
      <c r="F83" s="6" t="s">
        <v>869</v>
      </c>
      <c r="G83" s="7">
        <v>81</v>
      </c>
      <c r="H83" s="7" t="s">
        <v>870</v>
      </c>
      <c r="I83" s="8">
        <v>45796</v>
      </c>
      <c r="J83" s="8">
        <v>45797</v>
      </c>
      <c r="K83" s="5"/>
      <c r="L83" s="5" t="s">
        <v>871</v>
      </c>
      <c r="M83" s="5" t="s">
        <v>42</v>
      </c>
      <c r="N83" s="5" t="s">
        <v>872</v>
      </c>
      <c r="O83" s="5">
        <v>334</v>
      </c>
      <c r="P83" s="5">
        <v>1078111563</v>
      </c>
      <c r="Q83" s="5">
        <v>10781115630</v>
      </c>
      <c r="R83" s="5" t="s">
        <v>873</v>
      </c>
      <c r="S83" s="5"/>
      <c r="T83" s="5" t="s">
        <v>874</v>
      </c>
      <c r="U83" s="5" t="s">
        <v>875</v>
      </c>
      <c r="V83" s="5" t="s">
        <v>875</v>
      </c>
      <c r="W83" s="5" t="s">
        <v>876</v>
      </c>
      <c r="X83" s="5" t="s">
        <v>388</v>
      </c>
      <c r="Y83" s="5" t="s">
        <v>877</v>
      </c>
      <c r="Z83" s="5" t="s">
        <v>878</v>
      </c>
      <c r="AA83" s="8">
        <v>45826</v>
      </c>
      <c r="AB83" s="5" t="s">
        <v>181</v>
      </c>
      <c r="AC83" s="5" t="s">
        <v>878</v>
      </c>
      <c r="AD83" s="8">
        <v>45835</v>
      </c>
      <c r="AE83" s="5">
        <v>9000000</v>
      </c>
      <c r="AF83" s="5">
        <v>9000000</v>
      </c>
      <c r="AG83" s="5">
        <v>0</v>
      </c>
      <c r="AH83" s="5">
        <v>9000000</v>
      </c>
      <c r="AI83" s="8">
        <v>45863</v>
      </c>
      <c r="AJ83" s="5">
        <v>9000000</v>
      </c>
      <c r="AK83" s="9" t="s">
        <v>56</v>
      </c>
      <c r="AL83" s="5">
        <v>0</v>
      </c>
      <c r="AM83" s="5"/>
    </row>
    <row r="84" spans="1:39" x14ac:dyDescent="0.3">
      <c r="A84" s="4" t="s">
        <v>879</v>
      </c>
      <c r="B84" s="5">
        <v>2025</v>
      </c>
      <c r="C84" s="5" t="s">
        <v>40</v>
      </c>
      <c r="D84" s="5"/>
      <c r="E84" s="5" t="s">
        <v>42</v>
      </c>
      <c r="F84" s="6" t="s">
        <v>880</v>
      </c>
      <c r="G84" s="7">
        <v>82</v>
      </c>
      <c r="H84" s="7" t="s">
        <v>870</v>
      </c>
      <c r="I84" s="8">
        <v>45798</v>
      </c>
      <c r="J84" s="8">
        <v>45798</v>
      </c>
      <c r="K84" s="5"/>
      <c r="L84" s="5" t="s">
        <v>181</v>
      </c>
      <c r="M84" s="5" t="s">
        <v>42</v>
      </c>
      <c r="N84" s="5" t="s">
        <v>881</v>
      </c>
      <c r="O84" s="5">
        <v>2</v>
      </c>
      <c r="P84" s="5">
        <v>3122882821</v>
      </c>
      <c r="Q84" s="5">
        <v>31228828210</v>
      </c>
      <c r="R84" s="5" t="s">
        <v>882</v>
      </c>
      <c r="S84" s="5"/>
      <c r="T84" s="5" t="s">
        <v>883</v>
      </c>
      <c r="U84" s="5" t="s">
        <v>884</v>
      </c>
      <c r="V84" s="5" t="s">
        <v>884</v>
      </c>
      <c r="W84" s="5" t="s">
        <v>882</v>
      </c>
      <c r="X84" s="5" t="s">
        <v>78</v>
      </c>
      <c r="Y84" s="5" t="s">
        <v>885</v>
      </c>
      <c r="Z84" s="5" t="s">
        <v>886</v>
      </c>
      <c r="AA84" s="8">
        <v>45821</v>
      </c>
      <c r="AB84" s="5" t="s">
        <v>61</v>
      </c>
      <c r="AC84" s="5" t="s">
        <v>886</v>
      </c>
      <c r="AD84" s="8" t="s">
        <v>69</v>
      </c>
      <c r="AE84" s="5">
        <v>400000</v>
      </c>
      <c r="AF84" s="5">
        <v>0</v>
      </c>
      <c r="AG84" s="5">
        <v>400000</v>
      </c>
      <c r="AH84" s="5">
        <v>400000</v>
      </c>
      <c r="AI84" s="8" t="s">
        <v>69</v>
      </c>
      <c r="AJ84" s="5">
        <v>0</v>
      </c>
      <c r="AK84" s="9">
        <v>45853</v>
      </c>
      <c r="AL84" s="5">
        <v>400000</v>
      </c>
      <c r="AM84" s="5"/>
    </row>
    <row r="85" spans="1:39" x14ac:dyDescent="0.3">
      <c r="A85" s="4" t="s">
        <v>887</v>
      </c>
      <c r="B85" s="5">
        <v>2025</v>
      </c>
      <c r="C85" s="5" t="s">
        <v>40</v>
      </c>
      <c r="D85" s="5"/>
      <c r="E85" s="5" t="s">
        <v>42</v>
      </c>
      <c r="F85" s="6" t="s">
        <v>888</v>
      </c>
      <c r="G85" s="7">
        <v>83</v>
      </c>
      <c r="H85" s="7" t="s">
        <v>889</v>
      </c>
      <c r="I85" s="8">
        <v>45798</v>
      </c>
      <c r="J85" s="8">
        <v>45798</v>
      </c>
      <c r="K85" s="5"/>
      <c r="L85" s="5" t="s">
        <v>218</v>
      </c>
      <c r="M85" s="5" t="s">
        <v>241</v>
      </c>
      <c r="N85" s="5" t="s">
        <v>890</v>
      </c>
      <c r="O85" s="5">
        <v>90</v>
      </c>
      <c r="P85" s="5">
        <v>1238141133</v>
      </c>
      <c r="Q85" s="5">
        <v>12381411330</v>
      </c>
      <c r="R85" s="5" t="s">
        <v>891</v>
      </c>
      <c r="S85" s="5"/>
      <c r="T85" s="5" t="s">
        <v>892</v>
      </c>
      <c r="U85" s="5" t="s">
        <v>893</v>
      </c>
      <c r="V85" s="5" t="s">
        <v>893</v>
      </c>
      <c r="W85" s="5" t="s">
        <v>894</v>
      </c>
      <c r="X85" s="5" t="s">
        <v>178</v>
      </c>
      <c r="Y85" s="5" t="s">
        <v>895</v>
      </c>
      <c r="Z85" s="5" t="s">
        <v>896</v>
      </c>
      <c r="AA85" s="8">
        <v>45825</v>
      </c>
      <c r="AB85" s="5" t="s">
        <v>218</v>
      </c>
      <c r="AC85" s="5" t="s">
        <v>896</v>
      </c>
      <c r="AD85" s="8">
        <v>45825</v>
      </c>
      <c r="AE85" s="5">
        <v>1300000</v>
      </c>
      <c r="AF85" s="5">
        <v>1300000</v>
      </c>
      <c r="AG85" s="5">
        <v>0</v>
      </c>
      <c r="AH85" s="5">
        <v>1300000</v>
      </c>
      <c r="AI85" s="8">
        <v>45869</v>
      </c>
      <c r="AJ85" s="5">
        <v>1300000</v>
      </c>
      <c r="AK85" s="9" t="s">
        <v>56</v>
      </c>
      <c r="AL85" s="5">
        <v>0</v>
      </c>
      <c r="AM85" s="5"/>
    </row>
    <row r="86" spans="1:39" x14ac:dyDescent="0.3">
      <c r="A86" s="4" t="s">
        <v>897</v>
      </c>
      <c r="B86" s="5">
        <v>2025</v>
      </c>
      <c r="C86" s="5" t="s">
        <v>40</v>
      </c>
      <c r="D86" s="5" t="s">
        <v>71</v>
      </c>
      <c r="E86" s="5" t="s">
        <v>42</v>
      </c>
      <c r="F86" s="6" t="s">
        <v>898</v>
      </c>
      <c r="G86" s="7">
        <v>84</v>
      </c>
      <c r="H86" s="7" t="s">
        <v>889</v>
      </c>
      <c r="I86" s="8">
        <v>45798</v>
      </c>
      <c r="J86" s="8">
        <v>45798</v>
      </c>
      <c r="K86" s="5"/>
      <c r="L86" s="5" t="s">
        <v>73</v>
      </c>
      <c r="M86" s="5" t="s">
        <v>42</v>
      </c>
      <c r="N86" s="5" t="s">
        <v>899</v>
      </c>
      <c r="O86" s="5">
        <v>1</v>
      </c>
      <c r="P86" s="5">
        <v>4170172413</v>
      </c>
      <c r="Q86" s="5">
        <v>41701724130</v>
      </c>
      <c r="R86" s="5" t="s">
        <v>900</v>
      </c>
      <c r="S86" s="5"/>
      <c r="T86" s="5" t="s">
        <v>901</v>
      </c>
      <c r="U86" s="5" t="s">
        <v>902</v>
      </c>
      <c r="V86" s="5" t="s">
        <v>902</v>
      </c>
      <c r="W86" s="5" t="s">
        <v>903</v>
      </c>
      <c r="X86" s="5" t="s">
        <v>78</v>
      </c>
      <c r="Y86" s="5" t="s">
        <v>904</v>
      </c>
      <c r="Z86" s="5" t="s">
        <v>905</v>
      </c>
      <c r="AA86" s="8">
        <v>45817</v>
      </c>
      <c r="AB86" s="5" t="s">
        <v>73</v>
      </c>
      <c r="AC86" s="5" t="s">
        <v>905</v>
      </c>
      <c r="AD86" s="8" t="s">
        <v>69</v>
      </c>
      <c r="AE86" s="5">
        <v>400000</v>
      </c>
      <c r="AF86" s="5">
        <v>0</v>
      </c>
      <c r="AG86" s="5">
        <v>400000</v>
      </c>
      <c r="AH86" s="5">
        <v>400000</v>
      </c>
      <c r="AI86" s="8" t="s">
        <v>69</v>
      </c>
      <c r="AJ86" s="5">
        <v>0</v>
      </c>
      <c r="AK86" s="9">
        <v>45853</v>
      </c>
      <c r="AL86" s="5">
        <v>400000</v>
      </c>
      <c r="AM86" s="5"/>
    </row>
    <row r="87" spans="1:39" x14ac:dyDescent="0.3">
      <c r="A87" s="4" t="s">
        <v>906</v>
      </c>
      <c r="B87" s="5">
        <v>2025</v>
      </c>
      <c r="C87" s="5" t="s">
        <v>40</v>
      </c>
      <c r="D87" s="5" t="s">
        <v>58</v>
      </c>
      <c r="E87" s="5" t="s">
        <v>42</v>
      </c>
      <c r="F87" s="6" t="s">
        <v>907</v>
      </c>
      <c r="G87" s="7">
        <v>85</v>
      </c>
      <c r="H87" s="7" t="s">
        <v>908</v>
      </c>
      <c r="I87" s="8">
        <v>45798</v>
      </c>
      <c r="J87" s="8">
        <v>45798</v>
      </c>
      <c r="K87" s="5"/>
      <c r="L87" s="5" t="s">
        <v>61</v>
      </c>
      <c r="M87" s="5" t="s">
        <v>42</v>
      </c>
      <c r="N87" s="5" t="s">
        <v>909</v>
      </c>
      <c r="O87" s="5">
        <v>6</v>
      </c>
      <c r="P87" s="5">
        <v>2018159549</v>
      </c>
      <c r="Q87" s="5">
        <v>91300629547</v>
      </c>
      <c r="R87" s="5" t="s">
        <v>910</v>
      </c>
      <c r="S87" s="5"/>
      <c r="T87" s="5" t="s">
        <v>911</v>
      </c>
      <c r="U87" s="5" t="s">
        <v>912</v>
      </c>
      <c r="V87" s="5" t="s">
        <v>912</v>
      </c>
      <c r="W87" s="5" t="s">
        <v>913</v>
      </c>
      <c r="X87" s="5" t="s">
        <v>134</v>
      </c>
      <c r="Y87" s="5" t="s">
        <v>914</v>
      </c>
      <c r="Z87" s="5" t="s">
        <v>915</v>
      </c>
      <c r="AA87" s="8">
        <v>45821</v>
      </c>
      <c r="AB87" s="5" t="s">
        <v>61</v>
      </c>
      <c r="AC87" s="5" t="s">
        <v>915</v>
      </c>
      <c r="AD87" s="8" t="s">
        <v>69</v>
      </c>
      <c r="AE87" s="5">
        <v>950820</v>
      </c>
      <c r="AF87" s="5">
        <v>0</v>
      </c>
      <c r="AG87" s="5">
        <v>950820</v>
      </c>
      <c r="AH87" s="5">
        <v>950820</v>
      </c>
      <c r="AI87" s="8" t="s">
        <v>69</v>
      </c>
      <c r="AJ87" s="5">
        <v>0</v>
      </c>
      <c r="AK87" s="9">
        <v>45853</v>
      </c>
      <c r="AL87" s="5">
        <v>950820</v>
      </c>
      <c r="AM87" s="5"/>
    </row>
    <row r="88" spans="1:39" x14ac:dyDescent="0.3">
      <c r="A88" s="4" t="s">
        <v>916</v>
      </c>
      <c r="B88" s="5">
        <v>2025</v>
      </c>
      <c r="C88" s="5" t="s">
        <v>40</v>
      </c>
      <c r="D88" s="5" t="s">
        <v>849</v>
      </c>
      <c r="E88" s="5" t="s">
        <v>42</v>
      </c>
      <c r="F88" s="6" t="s">
        <v>917</v>
      </c>
      <c r="G88" s="7">
        <v>86</v>
      </c>
      <c r="H88" s="7" t="s">
        <v>918</v>
      </c>
      <c r="I88" s="8">
        <v>45799</v>
      </c>
      <c r="J88" s="8">
        <v>45799</v>
      </c>
      <c r="K88" s="5"/>
      <c r="L88" s="5" t="s">
        <v>919</v>
      </c>
      <c r="M88" s="5" t="s">
        <v>675</v>
      </c>
      <c r="N88" s="5" t="s">
        <v>920</v>
      </c>
      <c r="O88" s="5">
        <v>340</v>
      </c>
      <c r="P88" s="5">
        <v>2048203788</v>
      </c>
      <c r="Q88" s="5">
        <v>20482037880</v>
      </c>
      <c r="R88" s="5" t="s">
        <v>921</v>
      </c>
      <c r="S88" s="5"/>
      <c r="T88" s="5" t="s">
        <v>922</v>
      </c>
      <c r="U88" s="5" t="s">
        <v>923</v>
      </c>
      <c r="V88" s="5" t="s">
        <v>923</v>
      </c>
      <c r="W88" s="5" t="s">
        <v>924</v>
      </c>
      <c r="X88" s="5" t="s">
        <v>178</v>
      </c>
      <c r="Y88" s="5" t="s">
        <v>925</v>
      </c>
      <c r="Z88" s="5" t="s">
        <v>926</v>
      </c>
      <c r="AA88" s="8">
        <v>45828</v>
      </c>
      <c r="AB88" s="5" t="s">
        <v>46</v>
      </c>
      <c r="AC88" s="5" t="s">
        <v>926</v>
      </c>
      <c r="AD88" s="8">
        <v>45833</v>
      </c>
      <c r="AE88" s="5">
        <v>7900000</v>
      </c>
      <c r="AF88" s="5">
        <v>7900000</v>
      </c>
      <c r="AG88" s="5">
        <v>0</v>
      </c>
      <c r="AH88" s="5">
        <v>7900000</v>
      </c>
      <c r="AI88" s="8">
        <v>45869</v>
      </c>
      <c r="AJ88" s="5">
        <v>7900000</v>
      </c>
      <c r="AK88" s="9" t="s">
        <v>56</v>
      </c>
      <c r="AL88" s="5">
        <v>0</v>
      </c>
      <c r="AM88" s="5"/>
    </row>
    <row r="89" spans="1:39" x14ac:dyDescent="0.3">
      <c r="A89" s="4" t="s">
        <v>927</v>
      </c>
      <c r="B89" s="5">
        <v>2025</v>
      </c>
      <c r="C89" s="5" t="s">
        <v>40</v>
      </c>
      <c r="D89" s="5" t="s">
        <v>238</v>
      </c>
      <c r="E89" s="5" t="s">
        <v>42</v>
      </c>
      <c r="F89" s="6" t="s">
        <v>928</v>
      </c>
      <c r="G89" s="7">
        <v>87</v>
      </c>
      <c r="H89" s="7" t="s">
        <v>929</v>
      </c>
      <c r="I89" s="8">
        <v>45799</v>
      </c>
      <c r="J89" s="8">
        <v>45799</v>
      </c>
      <c r="K89" s="5"/>
      <c r="L89" s="5" t="s">
        <v>61</v>
      </c>
      <c r="M89" s="5" t="s">
        <v>231</v>
      </c>
      <c r="N89" s="5" t="s">
        <v>930</v>
      </c>
      <c r="O89" s="5">
        <v>43</v>
      </c>
      <c r="P89" s="5">
        <v>1268638229</v>
      </c>
      <c r="Q89" s="5">
        <v>12686382290</v>
      </c>
      <c r="R89" s="5" t="s">
        <v>931</v>
      </c>
      <c r="S89" s="5"/>
      <c r="T89" s="5" t="s">
        <v>932</v>
      </c>
      <c r="U89" s="5" t="s">
        <v>933</v>
      </c>
      <c r="V89" s="5" t="s">
        <v>933</v>
      </c>
      <c r="W89" s="5" t="s">
        <v>934</v>
      </c>
      <c r="X89" s="5" t="s">
        <v>134</v>
      </c>
      <c r="Y89" s="5" t="s">
        <v>935</v>
      </c>
      <c r="Z89" s="5" t="s">
        <v>936</v>
      </c>
      <c r="AA89" s="8">
        <v>45821</v>
      </c>
      <c r="AB89" s="5" t="s">
        <v>61</v>
      </c>
      <c r="AC89" s="5" t="s">
        <v>936</v>
      </c>
      <c r="AD89" s="8">
        <v>45824</v>
      </c>
      <c r="AE89" s="5">
        <v>800000</v>
      </c>
      <c r="AF89" s="5">
        <v>400000</v>
      </c>
      <c r="AG89" s="5">
        <v>400000</v>
      </c>
      <c r="AH89" s="5">
        <v>800000</v>
      </c>
      <c r="AI89" s="8">
        <v>45824</v>
      </c>
      <c r="AJ89" s="5">
        <v>400000</v>
      </c>
      <c r="AK89" s="9">
        <v>45832</v>
      </c>
      <c r="AL89" s="5">
        <v>400000</v>
      </c>
      <c r="AM89" s="5"/>
    </row>
    <row r="90" spans="1:39" x14ac:dyDescent="0.3">
      <c r="A90" s="4" t="s">
        <v>937</v>
      </c>
      <c r="B90" s="5">
        <v>2025</v>
      </c>
      <c r="C90" s="5" t="s">
        <v>40</v>
      </c>
      <c r="D90" s="5" t="s">
        <v>938</v>
      </c>
      <c r="E90" s="5" t="s">
        <v>42</v>
      </c>
      <c r="F90" s="10" t="s">
        <v>939</v>
      </c>
      <c r="G90" s="7">
        <v>88</v>
      </c>
      <c r="H90" s="7"/>
      <c r="I90" s="8">
        <v>45803</v>
      </c>
      <c r="J90" s="8">
        <v>45804</v>
      </c>
      <c r="K90" s="5"/>
      <c r="L90" s="5" t="s">
        <v>940</v>
      </c>
      <c r="M90" s="5" t="s">
        <v>941</v>
      </c>
      <c r="N90" s="5" t="s">
        <v>942</v>
      </c>
      <c r="O90" s="5">
        <v>500</v>
      </c>
      <c r="P90" s="5">
        <v>5068302585</v>
      </c>
      <c r="Q90" s="5"/>
      <c r="R90" s="5" t="s">
        <v>943</v>
      </c>
      <c r="S90" s="5"/>
      <c r="T90" s="5" t="s">
        <v>944</v>
      </c>
      <c r="U90" s="5" t="s">
        <v>945</v>
      </c>
      <c r="V90" s="5" t="s">
        <v>945</v>
      </c>
      <c r="W90" s="5" t="s">
        <v>946</v>
      </c>
      <c r="X90" s="5" t="s">
        <v>947</v>
      </c>
      <c r="Y90" s="5" t="s">
        <v>948</v>
      </c>
      <c r="Z90" s="5"/>
      <c r="AA90" s="8"/>
      <c r="AB90" s="5"/>
      <c r="AC90" s="5"/>
      <c r="AD90" s="8"/>
      <c r="AE90" s="5">
        <v>0</v>
      </c>
      <c r="AF90" s="5"/>
      <c r="AG90" s="5"/>
      <c r="AH90" s="5">
        <v>0</v>
      </c>
      <c r="AI90" s="8"/>
      <c r="AJ90" s="5"/>
      <c r="AK90" s="9"/>
      <c r="AL90" s="5"/>
      <c r="AM90" s="5"/>
    </row>
    <row r="91" spans="1:39" x14ac:dyDescent="0.3">
      <c r="A91" s="4" t="s">
        <v>949</v>
      </c>
      <c r="B91" s="5">
        <v>2025</v>
      </c>
      <c r="C91" s="5" t="s">
        <v>40</v>
      </c>
      <c r="D91" s="5" t="s">
        <v>71</v>
      </c>
      <c r="E91" s="5" t="s">
        <v>42</v>
      </c>
      <c r="F91" s="6" t="s">
        <v>950</v>
      </c>
      <c r="G91" s="7">
        <v>89</v>
      </c>
      <c r="H91" s="7" t="s">
        <v>951</v>
      </c>
      <c r="I91" s="8">
        <v>45806</v>
      </c>
      <c r="J91" s="8">
        <v>45806</v>
      </c>
      <c r="K91" s="5"/>
      <c r="L91" s="5" t="s">
        <v>61</v>
      </c>
      <c r="M91" s="5" t="s">
        <v>42</v>
      </c>
      <c r="N91" s="5" t="s">
        <v>952</v>
      </c>
      <c r="O91" s="5">
        <v>25</v>
      </c>
      <c r="P91" s="5">
        <v>5454000396</v>
      </c>
      <c r="Q91" s="5">
        <v>54540003960</v>
      </c>
      <c r="R91" s="5" t="s">
        <v>953</v>
      </c>
      <c r="S91" s="5"/>
      <c r="T91" s="5" t="s">
        <v>954</v>
      </c>
      <c r="U91" s="5" t="s">
        <v>955</v>
      </c>
      <c r="V91" s="5" t="s">
        <v>955</v>
      </c>
      <c r="W91" s="5" t="s">
        <v>956</v>
      </c>
      <c r="X91" s="5" t="s">
        <v>321</v>
      </c>
      <c r="Y91" s="5" t="s">
        <v>957</v>
      </c>
      <c r="Z91" s="5" t="s">
        <v>958</v>
      </c>
      <c r="AA91" s="8">
        <v>45828</v>
      </c>
      <c r="AB91" s="5" t="s">
        <v>61</v>
      </c>
      <c r="AC91" s="5" t="s">
        <v>958</v>
      </c>
      <c r="AD91" s="8">
        <v>45831</v>
      </c>
      <c r="AE91" s="5">
        <v>600000</v>
      </c>
      <c r="AF91" s="5">
        <v>200000</v>
      </c>
      <c r="AG91" s="5">
        <v>400000</v>
      </c>
      <c r="AH91" s="5">
        <v>600000</v>
      </c>
      <c r="AI91" s="8">
        <v>45835</v>
      </c>
      <c r="AJ91" s="5">
        <v>200000</v>
      </c>
      <c r="AK91" s="9">
        <v>45853</v>
      </c>
      <c r="AL91" s="5">
        <v>400000</v>
      </c>
      <c r="AM91" s="5"/>
    </row>
    <row r="92" spans="1:39" x14ac:dyDescent="0.3">
      <c r="A92" s="4" t="s">
        <v>959</v>
      </c>
      <c r="B92" s="5">
        <v>2025</v>
      </c>
      <c r="C92" s="5" t="s">
        <v>40</v>
      </c>
      <c r="D92" s="5" t="s">
        <v>960</v>
      </c>
      <c r="E92" s="5" t="s">
        <v>42</v>
      </c>
      <c r="F92" s="6" t="s">
        <v>961</v>
      </c>
      <c r="G92" s="7">
        <v>90</v>
      </c>
      <c r="H92" s="7" t="s">
        <v>962</v>
      </c>
      <c r="I92" s="8">
        <v>45812</v>
      </c>
      <c r="J92" s="8">
        <v>45812</v>
      </c>
      <c r="K92" s="5"/>
      <c r="L92" s="5" t="s">
        <v>863</v>
      </c>
      <c r="M92" s="5" t="s">
        <v>613</v>
      </c>
      <c r="N92" s="5" t="s">
        <v>963</v>
      </c>
      <c r="O92" s="5">
        <v>87</v>
      </c>
      <c r="P92" s="5">
        <v>3108129427</v>
      </c>
      <c r="Q92" s="5">
        <v>31081294270</v>
      </c>
      <c r="R92" s="5" t="s">
        <v>964</v>
      </c>
      <c r="S92" s="5"/>
      <c r="T92" s="5" t="s">
        <v>965</v>
      </c>
      <c r="U92" s="5" t="s">
        <v>966</v>
      </c>
      <c r="V92" s="5" t="s">
        <v>966</v>
      </c>
      <c r="W92" s="5" t="s">
        <v>967</v>
      </c>
      <c r="X92" s="5" t="s">
        <v>968</v>
      </c>
      <c r="Y92" s="5" t="s">
        <v>969</v>
      </c>
      <c r="Z92" s="5" t="s">
        <v>970</v>
      </c>
      <c r="AA92" s="8">
        <v>45839</v>
      </c>
      <c r="AB92" s="5" t="s">
        <v>61</v>
      </c>
      <c r="AC92" s="5" t="s">
        <v>971</v>
      </c>
      <c r="AD92" s="8">
        <v>45841</v>
      </c>
      <c r="AE92" s="5">
        <v>2700000</v>
      </c>
      <c r="AF92" s="5">
        <v>2300000</v>
      </c>
      <c r="AG92" s="5">
        <v>400000</v>
      </c>
      <c r="AH92" s="5">
        <v>2700000</v>
      </c>
      <c r="AI92" s="8">
        <v>46015</v>
      </c>
      <c r="AJ92" s="5">
        <v>2300000</v>
      </c>
      <c r="AK92" s="9">
        <v>45859</v>
      </c>
      <c r="AL92" s="5">
        <v>400000</v>
      </c>
      <c r="AM92" s="5"/>
    </row>
    <row r="93" spans="1:39" x14ac:dyDescent="0.3">
      <c r="A93" s="4" t="s">
        <v>972</v>
      </c>
      <c r="B93" s="5">
        <v>2025</v>
      </c>
      <c r="C93" s="5" t="s">
        <v>40</v>
      </c>
      <c r="D93" s="5"/>
      <c r="E93" s="5" t="s">
        <v>42</v>
      </c>
      <c r="F93" s="6" t="s">
        <v>973</v>
      </c>
      <c r="G93" s="7">
        <v>91</v>
      </c>
      <c r="H93" s="7" t="s">
        <v>974</v>
      </c>
      <c r="I93" s="8">
        <v>45812</v>
      </c>
      <c r="J93" s="8">
        <v>45812</v>
      </c>
      <c r="K93" s="5"/>
      <c r="L93" s="5" t="s">
        <v>46</v>
      </c>
      <c r="M93" s="5" t="s">
        <v>334</v>
      </c>
      <c r="N93" s="5" t="s">
        <v>975</v>
      </c>
      <c r="O93" s="5">
        <v>25</v>
      </c>
      <c r="P93" s="5">
        <v>3140783549</v>
      </c>
      <c r="Q93" s="5">
        <v>31407835490</v>
      </c>
      <c r="R93" s="5" t="s">
        <v>976</v>
      </c>
      <c r="S93" s="5"/>
      <c r="T93" s="5" t="s">
        <v>977</v>
      </c>
      <c r="U93" s="5" t="s">
        <v>978</v>
      </c>
      <c r="V93" s="5" t="s">
        <v>978</v>
      </c>
      <c r="W93" s="5" t="s">
        <v>979</v>
      </c>
      <c r="X93" s="5" t="s">
        <v>980</v>
      </c>
      <c r="Y93" s="5" t="s">
        <v>981</v>
      </c>
      <c r="Z93" s="5" t="s">
        <v>982</v>
      </c>
      <c r="AA93" s="8">
        <v>45835</v>
      </c>
      <c r="AB93" s="5" t="s">
        <v>73</v>
      </c>
      <c r="AC93" s="5" t="s">
        <v>983</v>
      </c>
      <c r="AD93" s="8">
        <v>45835</v>
      </c>
      <c r="AE93" s="5">
        <v>700000</v>
      </c>
      <c r="AF93" s="5">
        <v>300000</v>
      </c>
      <c r="AG93" s="5">
        <v>400000</v>
      </c>
      <c r="AH93" s="5">
        <v>700000</v>
      </c>
      <c r="AI93" s="8">
        <v>45877</v>
      </c>
      <c r="AJ93" s="5">
        <v>300000</v>
      </c>
      <c r="AK93" s="9">
        <v>45866</v>
      </c>
      <c r="AL93" s="5">
        <v>400000</v>
      </c>
      <c r="AM93" s="5"/>
    </row>
    <row r="94" spans="1:39" x14ac:dyDescent="0.3">
      <c r="A94" s="4" t="s">
        <v>984</v>
      </c>
      <c r="B94" s="5">
        <v>2025</v>
      </c>
      <c r="C94" s="5" t="s">
        <v>40</v>
      </c>
      <c r="D94" s="5" t="s">
        <v>985</v>
      </c>
      <c r="E94" s="5" t="s">
        <v>42</v>
      </c>
      <c r="F94" s="6" t="s">
        <v>986</v>
      </c>
      <c r="G94" s="7">
        <v>92</v>
      </c>
      <c r="H94" s="7" t="s">
        <v>987</v>
      </c>
      <c r="I94" s="8">
        <v>45812</v>
      </c>
      <c r="J94" s="8">
        <v>45812</v>
      </c>
      <c r="K94" s="5"/>
      <c r="L94" s="5" t="s">
        <v>73</v>
      </c>
      <c r="M94" s="5" t="s">
        <v>334</v>
      </c>
      <c r="N94" s="5" t="s">
        <v>988</v>
      </c>
      <c r="O94" s="5">
        <v>35</v>
      </c>
      <c r="P94" s="5">
        <v>3058616570</v>
      </c>
      <c r="Q94" s="5">
        <v>30586165700</v>
      </c>
      <c r="R94" s="5" t="s">
        <v>976</v>
      </c>
      <c r="S94" s="5"/>
      <c r="T94" s="5" t="s">
        <v>977</v>
      </c>
      <c r="U94" s="5" t="s">
        <v>978</v>
      </c>
      <c r="V94" s="5" t="s">
        <v>978</v>
      </c>
      <c r="W94" s="5" t="s">
        <v>979</v>
      </c>
      <c r="X94" s="5" t="s">
        <v>980</v>
      </c>
      <c r="Y94" s="5" t="s">
        <v>981</v>
      </c>
      <c r="Z94" s="5" t="s">
        <v>982</v>
      </c>
      <c r="AA94" s="8">
        <v>45835</v>
      </c>
      <c r="AB94" s="5" t="s">
        <v>73</v>
      </c>
      <c r="AC94" s="5" t="s">
        <v>983</v>
      </c>
      <c r="AD94" s="8">
        <v>45835</v>
      </c>
      <c r="AE94" s="5">
        <v>700000</v>
      </c>
      <c r="AF94" s="5">
        <v>300000</v>
      </c>
      <c r="AG94" s="5">
        <v>400000</v>
      </c>
      <c r="AH94" s="5">
        <v>700000</v>
      </c>
      <c r="AI94" s="8">
        <v>45877</v>
      </c>
      <c r="AJ94" s="5">
        <v>300000</v>
      </c>
      <c r="AK94" s="9">
        <v>45866</v>
      </c>
      <c r="AL94" s="5">
        <v>400000</v>
      </c>
      <c r="AM94" s="5"/>
    </row>
    <row r="95" spans="1:39" x14ac:dyDescent="0.3">
      <c r="A95" s="4" t="s">
        <v>989</v>
      </c>
      <c r="B95" s="5">
        <v>2025</v>
      </c>
      <c r="C95" s="5" t="s">
        <v>40</v>
      </c>
      <c r="D95" s="5" t="s">
        <v>990</v>
      </c>
      <c r="E95" s="5" t="s">
        <v>42</v>
      </c>
      <c r="F95" s="6" t="s">
        <v>991</v>
      </c>
      <c r="G95" s="7">
        <v>93</v>
      </c>
      <c r="H95" s="7" t="s">
        <v>992</v>
      </c>
      <c r="I95" s="8">
        <v>45813</v>
      </c>
      <c r="J95" s="8">
        <v>45813</v>
      </c>
      <c r="K95" s="5"/>
      <c r="L95" s="5" t="s">
        <v>46</v>
      </c>
      <c r="M95" s="5" t="s">
        <v>334</v>
      </c>
      <c r="N95" s="5" t="s">
        <v>993</v>
      </c>
      <c r="O95" s="5">
        <v>60</v>
      </c>
      <c r="P95" s="5">
        <v>3028303279</v>
      </c>
      <c r="Q95" s="5">
        <v>90800025631</v>
      </c>
      <c r="R95" s="5" t="s">
        <v>994</v>
      </c>
      <c r="S95" s="5"/>
      <c r="T95" s="5" t="s">
        <v>995</v>
      </c>
      <c r="U95" s="5" t="s">
        <v>996</v>
      </c>
      <c r="V95" s="5" t="s">
        <v>996</v>
      </c>
      <c r="W95" s="5" t="s">
        <v>845</v>
      </c>
      <c r="X95" s="5" t="s">
        <v>442</v>
      </c>
      <c r="Y95" s="5" t="s">
        <v>846</v>
      </c>
      <c r="Z95" s="5" t="s">
        <v>847</v>
      </c>
      <c r="AA95" s="8">
        <v>45838</v>
      </c>
      <c r="AB95" s="5" t="s">
        <v>46</v>
      </c>
      <c r="AC95" s="5" t="s">
        <v>997</v>
      </c>
      <c r="AD95" s="8" t="s">
        <v>997</v>
      </c>
      <c r="AE95" s="5">
        <v>400000</v>
      </c>
      <c r="AF95" s="5">
        <v>0</v>
      </c>
      <c r="AG95" s="5">
        <v>400000</v>
      </c>
      <c r="AH95" s="5">
        <v>400000</v>
      </c>
      <c r="AI95" s="8" t="s">
        <v>997</v>
      </c>
      <c r="AJ95" s="5">
        <v>0</v>
      </c>
      <c r="AK95" s="9">
        <v>45866</v>
      </c>
      <c r="AL95" s="5">
        <v>400000</v>
      </c>
      <c r="AM95" s="5" t="s">
        <v>998</v>
      </c>
    </row>
    <row r="96" spans="1:39" x14ac:dyDescent="0.3">
      <c r="A96" s="4" t="s">
        <v>999</v>
      </c>
      <c r="B96" s="5">
        <v>2025</v>
      </c>
      <c r="C96" s="5" t="s">
        <v>40</v>
      </c>
      <c r="D96" s="5" t="s">
        <v>71</v>
      </c>
      <c r="E96" s="5" t="s">
        <v>42</v>
      </c>
      <c r="F96" s="6" t="s">
        <v>1000</v>
      </c>
      <c r="G96" s="7">
        <v>94</v>
      </c>
      <c r="H96" s="7" t="s">
        <v>1001</v>
      </c>
      <c r="I96" s="8">
        <v>45813</v>
      </c>
      <c r="J96" s="8">
        <v>45813</v>
      </c>
      <c r="K96" s="5"/>
      <c r="L96" s="5" t="s">
        <v>73</v>
      </c>
      <c r="M96" s="5" t="s">
        <v>42</v>
      </c>
      <c r="N96" s="5" t="s">
        <v>1002</v>
      </c>
      <c r="O96" s="5">
        <v>110</v>
      </c>
      <c r="P96" s="5">
        <v>2078146590</v>
      </c>
      <c r="Q96" s="5">
        <v>20781465900</v>
      </c>
      <c r="R96" s="5" t="s">
        <v>1003</v>
      </c>
      <c r="S96" s="5"/>
      <c r="T96" s="5" t="s">
        <v>1004</v>
      </c>
      <c r="U96" s="5" t="s">
        <v>1005</v>
      </c>
      <c r="V96" s="5" t="s">
        <v>1005</v>
      </c>
      <c r="W96" s="5" t="s">
        <v>1006</v>
      </c>
      <c r="X96" s="5"/>
      <c r="Y96" s="5" t="s">
        <v>1007</v>
      </c>
      <c r="Z96" s="5" t="s">
        <v>1008</v>
      </c>
      <c r="AA96" s="8">
        <v>45834</v>
      </c>
      <c r="AB96" s="5" t="s">
        <v>73</v>
      </c>
      <c r="AC96" s="5" t="s">
        <v>1009</v>
      </c>
      <c r="AD96" s="8">
        <v>45826</v>
      </c>
      <c r="AE96" s="5">
        <v>1300000</v>
      </c>
      <c r="AF96" s="5">
        <v>1300000</v>
      </c>
      <c r="AG96" s="5">
        <v>0</v>
      </c>
      <c r="AH96" s="5">
        <v>1300000</v>
      </c>
      <c r="AI96" s="8">
        <v>45863</v>
      </c>
      <c r="AJ96" s="5">
        <v>1300000</v>
      </c>
      <c r="AK96" s="9" t="s">
        <v>56</v>
      </c>
      <c r="AL96" s="5">
        <v>0</v>
      </c>
      <c r="AM96" s="5"/>
    </row>
    <row r="97" spans="1:39" x14ac:dyDescent="0.3">
      <c r="A97" s="4" t="s">
        <v>1010</v>
      </c>
      <c r="B97" s="5">
        <v>2025</v>
      </c>
      <c r="C97" s="5" t="s">
        <v>40</v>
      </c>
      <c r="D97" s="5" t="s">
        <v>203</v>
      </c>
      <c r="E97" s="5" t="s">
        <v>42</v>
      </c>
      <c r="F97" s="6" t="s">
        <v>1011</v>
      </c>
      <c r="G97" s="7">
        <v>95</v>
      </c>
      <c r="H97" s="7" t="s">
        <v>1012</v>
      </c>
      <c r="I97" s="8">
        <v>45813</v>
      </c>
      <c r="J97" s="8">
        <v>45813</v>
      </c>
      <c r="K97" s="5"/>
      <c r="L97" s="5" t="s">
        <v>218</v>
      </c>
      <c r="M97" s="5" t="s">
        <v>42</v>
      </c>
      <c r="N97" s="5" t="s">
        <v>1013</v>
      </c>
      <c r="O97" s="5">
        <v>52</v>
      </c>
      <c r="P97" s="5">
        <v>1248148819</v>
      </c>
      <c r="Q97" s="5">
        <v>12481488190</v>
      </c>
      <c r="R97" s="5" t="s">
        <v>457</v>
      </c>
      <c r="S97" s="5"/>
      <c r="T97" s="5" t="s">
        <v>1014</v>
      </c>
      <c r="U97" s="5" t="s">
        <v>1015</v>
      </c>
      <c r="V97" s="5" t="s">
        <v>1015</v>
      </c>
      <c r="W97" s="5" t="s">
        <v>1016</v>
      </c>
      <c r="X97" s="5" t="s">
        <v>388</v>
      </c>
      <c r="Y97" s="5" t="s">
        <v>1017</v>
      </c>
      <c r="Z97" s="5" t="s">
        <v>1018</v>
      </c>
      <c r="AA97" s="8">
        <v>45840</v>
      </c>
      <c r="AB97" s="5" t="s">
        <v>218</v>
      </c>
      <c r="AC97" s="5" t="s">
        <v>463</v>
      </c>
      <c r="AD97" s="8">
        <v>45839</v>
      </c>
      <c r="AE97" s="5">
        <v>900000</v>
      </c>
      <c r="AF97" s="5">
        <v>900000</v>
      </c>
      <c r="AG97" s="5">
        <v>0</v>
      </c>
      <c r="AH97" s="5">
        <v>900000</v>
      </c>
      <c r="AI97" s="8">
        <v>45867</v>
      </c>
      <c r="AJ97" s="5">
        <v>900000</v>
      </c>
      <c r="AK97" s="9" t="s">
        <v>56</v>
      </c>
      <c r="AL97" s="5">
        <v>0</v>
      </c>
      <c r="AM97" s="5"/>
    </row>
    <row r="98" spans="1:39" x14ac:dyDescent="0.3">
      <c r="A98" s="4" t="s">
        <v>1019</v>
      </c>
      <c r="B98" s="5">
        <v>2025</v>
      </c>
      <c r="C98" s="5" t="s">
        <v>40</v>
      </c>
      <c r="D98" s="5" t="s">
        <v>1020</v>
      </c>
      <c r="E98" s="5" t="s">
        <v>42</v>
      </c>
      <c r="F98" s="6" t="s">
        <v>1021</v>
      </c>
      <c r="G98" s="7">
        <v>96</v>
      </c>
      <c r="H98" s="7" t="s">
        <v>1022</v>
      </c>
      <c r="I98" s="8">
        <v>45818</v>
      </c>
      <c r="J98" s="8">
        <v>45819</v>
      </c>
      <c r="K98" s="5"/>
      <c r="L98" s="5" t="s">
        <v>1023</v>
      </c>
      <c r="M98" s="5" t="s">
        <v>613</v>
      </c>
      <c r="N98" s="5" t="s">
        <v>1024</v>
      </c>
      <c r="O98" s="5">
        <v>460</v>
      </c>
      <c r="P98" s="5">
        <v>4118119799</v>
      </c>
      <c r="Q98" s="5">
        <v>41181197996</v>
      </c>
      <c r="R98" s="5" t="s">
        <v>1025</v>
      </c>
      <c r="S98" s="5"/>
      <c r="T98" s="5" t="s">
        <v>779</v>
      </c>
      <c r="U98" s="5"/>
      <c r="V98" s="5"/>
      <c r="W98" s="5" t="s">
        <v>1026</v>
      </c>
      <c r="X98" s="5" t="s">
        <v>442</v>
      </c>
      <c r="Y98" s="5" t="s">
        <v>1027</v>
      </c>
      <c r="Z98" s="5" t="s">
        <v>1028</v>
      </c>
      <c r="AA98" s="8">
        <v>45846</v>
      </c>
      <c r="AB98" s="5" t="s">
        <v>46</v>
      </c>
      <c r="AC98" s="5" t="s">
        <v>1029</v>
      </c>
      <c r="AD98" s="8" t="s">
        <v>1030</v>
      </c>
      <c r="AE98" s="5">
        <v>11100000</v>
      </c>
      <c r="AF98" s="5">
        <v>11100000</v>
      </c>
      <c r="AG98" s="5">
        <v>0</v>
      </c>
      <c r="AH98" s="5">
        <v>11100000</v>
      </c>
      <c r="AI98" s="8" t="s">
        <v>1031</v>
      </c>
      <c r="AJ98" s="11">
        <v>11100000</v>
      </c>
      <c r="AK98" s="9" t="s">
        <v>56</v>
      </c>
      <c r="AL98" s="5">
        <v>0</v>
      </c>
      <c r="AM98" s="5" t="s">
        <v>1032</v>
      </c>
    </row>
    <row r="99" spans="1:39" x14ac:dyDescent="0.3">
      <c r="A99" s="4" t="s">
        <v>1033</v>
      </c>
      <c r="B99" s="5">
        <v>2025</v>
      </c>
      <c r="C99" s="5" t="s">
        <v>40</v>
      </c>
      <c r="D99" s="5" t="s">
        <v>1034</v>
      </c>
      <c r="E99" s="5" t="s">
        <v>42</v>
      </c>
      <c r="F99" s="6" t="s">
        <v>1035</v>
      </c>
      <c r="G99" s="7">
        <v>97</v>
      </c>
      <c r="H99" s="7" t="s">
        <v>1036</v>
      </c>
      <c r="I99" s="8">
        <v>45819</v>
      </c>
      <c r="J99" s="8">
        <v>45819</v>
      </c>
      <c r="K99" s="5"/>
      <c r="L99" s="5" t="s">
        <v>46</v>
      </c>
      <c r="M99" s="5" t="s">
        <v>1037</v>
      </c>
      <c r="N99" s="5" t="s">
        <v>1038</v>
      </c>
      <c r="O99" s="5">
        <v>60</v>
      </c>
      <c r="P99" s="5">
        <v>3038303758</v>
      </c>
      <c r="Q99" s="5">
        <v>91201912611</v>
      </c>
      <c r="R99" s="5" t="s">
        <v>1039</v>
      </c>
      <c r="S99" s="5"/>
      <c r="T99" s="5" t="s">
        <v>1040</v>
      </c>
      <c r="U99" s="5" t="s">
        <v>1041</v>
      </c>
      <c r="V99" s="5" t="s">
        <v>1041</v>
      </c>
      <c r="W99" s="5" t="s">
        <v>845</v>
      </c>
      <c r="X99" s="5" t="s">
        <v>442</v>
      </c>
      <c r="Y99" s="5" t="s">
        <v>846</v>
      </c>
      <c r="Z99" s="5" t="s">
        <v>847</v>
      </c>
      <c r="AA99" s="8">
        <v>45838</v>
      </c>
      <c r="AB99" s="5" t="s">
        <v>46</v>
      </c>
      <c r="AC99" s="5"/>
      <c r="AD99" s="8"/>
      <c r="AE99" s="5">
        <v>0</v>
      </c>
      <c r="AF99" s="5"/>
      <c r="AG99" s="5"/>
      <c r="AH99" s="5">
        <v>0</v>
      </c>
      <c r="AI99" s="8"/>
      <c r="AJ99" s="5"/>
      <c r="AK99" s="9"/>
      <c r="AL99" s="5"/>
      <c r="AM99" s="5"/>
    </row>
    <row r="100" spans="1:39" x14ac:dyDescent="0.3">
      <c r="A100" s="4" t="s">
        <v>1042</v>
      </c>
      <c r="B100" s="5">
        <v>2025</v>
      </c>
      <c r="C100" s="5" t="s">
        <v>40</v>
      </c>
      <c r="D100" s="5" t="s">
        <v>94</v>
      </c>
      <c r="E100" s="5" t="s">
        <v>42</v>
      </c>
      <c r="F100" s="6" t="s">
        <v>1043</v>
      </c>
      <c r="G100" s="7">
        <v>98</v>
      </c>
      <c r="H100" s="7" t="s">
        <v>1044</v>
      </c>
      <c r="I100" s="8">
        <v>45820</v>
      </c>
      <c r="J100" s="8">
        <v>45820</v>
      </c>
      <c r="K100" s="5"/>
      <c r="L100" s="5" t="s">
        <v>61</v>
      </c>
      <c r="M100" s="5" t="s">
        <v>42</v>
      </c>
      <c r="N100" s="5" t="s">
        <v>1045</v>
      </c>
      <c r="O100" s="5">
        <v>40</v>
      </c>
      <c r="P100" s="5">
        <v>5068170003</v>
      </c>
      <c r="Q100" s="5">
        <v>50681700036</v>
      </c>
      <c r="R100" s="5" t="s">
        <v>1046</v>
      </c>
      <c r="S100" s="5"/>
      <c r="T100" s="5" t="s">
        <v>1047</v>
      </c>
      <c r="U100" s="5"/>
      <c r="V100" s="5"/>
      <c r="W100" s="5" t="s">
        <v>1048</v>
      </c>
      <c r="X100" s="5" t="s">
        <v>1049</v>
      </c>
      <c r="Y100" s="5" t="s">
        <v>1050</v>
      </c>
      <c r="Z100" s="5" t="s">
        <v>1051</v>
      </c>
      <c r="AA100" s="8">
        <v>45841</v>
      </c>
      <c r="AB100" s="5" t="s">
        <v>61</v>
      </c>
      <c r="AC100" s="5" t="s">
        <v>1052</v>
      </c>
      <c r="AD100" s="8">
        <v>45838</v>
      </c>
      <c r="AE100" s="5">
        <v>1800000</v>
      </c>
      <c r="AF100" s="5">
        <v>1400000</v>
      </c>
      <c r="AG100" s="5">
        <v>400000</v>
      </c>
      <c r="AH100" s="5">
        <v>1800000</v>
      </c>
      <c r="AI100" s="8">
        <v>45869</v>
      </c>
      <c r="AJ100" s="5">
        <v>1400000</v>
      </c>
      <c r="AK100" s="9">
        <v>45867</v>
      </c>
      <c r="AL100" s="5">
        <v>400000</v>
      </c>
      <c r="AM100" s="5"/>
    </row>
    <row r="101" spans="1:39" x14ac:dyDescent="0.3">
      <c r="A101" s="4" t="s">
        <v>1053</v>
      </c>
      <c r="B101" s="5">
        <v>2025</v>
      </c>
      <c r="C101" s="5" t="s">
        <v>40</v>
      </c>
      <c r="D101" s="5"/>
      <c r="E101" s="5" t="s">
        <v>42</v>
      </c>
      <c r="F101" s="6" t="s">
        <v>1054</v>
      </c>
      <c r="G101" s="7">
        <v>99</v>
      </c>
      <c r="H101" s="7" t="s">
        <v>1055</v>
      </c>
      <c r="I101" s="8">
        <v>45820</v>
      </c>
      <c r="J101" s="8">
        <v>45820</v>
      </c>
      <c r="K101" s="5"/>
      <c r="L101" s="5" t="s">
        <v>218</v>
      </c>
      <c r="M101" s="5" t="s">
        <v>334</v>
      </c>
      <c r="N101" s="5" t="s">
        <v>1056</v>
      </c>
      <c r="O101" s="5">
        <v>11</v>
      </c>
      <c r="P101" s="5">
        <v>7058801140</v>
      </c>
      <c r="Q101" s="5">
        <v>70588011400</v>
      </c>
      <c r="R101" s="5" t="s">
        <v>1057</v>
      </c>
      <c r="S101" s="5"/>
      <c r="T101" s="5" t="s">
        <v>1058</v>
      </c>
      <c r="U101" s="5" t="s">
        <v>1059</v>
      </c>
      <c r="V101" s="5" t="s">
        <v>1059</v>
      </c>
      <c r="W101" s="5" t="s">
        <v>1060</v>
      </c>
      <c r="X101" s="5" t="s">
        <v>168</v>
      </c>
      <c r="Y101" s="5" t="s">
        <v>1061</v>
      </c>
      <c r="Z101" s="5" t="s">
        <v>1062</v>
      </c>
      <c r="AA101" s="8">
        <v>45842</v>
      </c>
      <c r="AB101" s="5" t="s">
        <v>218</v>
      </c>
      <c r="AC101" s="5" t="s">
        <v>1062</v>
      </c>
      <c r="AD101" s="8">
        <v>45846</v>
      </c>
      <c r="AE101" s="5">
        <v>600000</v>
      </c>
      <c r="AF101" s="5">
        <v>200000</v>
      </c>
      <c r="AG101" s="5">
        <v>400000</v>
      </c>
      <c r="AH101" s="5">
        <v>600000</v>
      </c>
      <c r="AI101" s="8">
        <v>45869</v>
      </c>
      <c r="AJ101" s="5">
        <v>200000</v>
      </c>
      <c r="AK101" s="9">
        <v>45866</v>
      </c>
      <c r="AL101" s="5">
        <v>400000</v>
      </c>
      <c r="AM101" s="5"/>
    </row>
    <row r="102" spans="1:39" x14ac:dyDescent="0.3">
      <c r="A102" s="4" t="s">
        <v>1063</v>
      </c>
      <c r="B102" s="5">
        <v>2025</v>
      </c>
      <c r="C102" s="5" t="s">
        <v>40</v>
      </c>
      <c r="D102" s="5"/>
      <c r="E102" s="5" t="s">
        <v>42</v>
      </c>
      <c r="F102" s="6" t="s">
        <v>1064</v>
      </c>
      <c r="G102" s="7">
        <v>100</v>
      </c>
      <c r="H102" s="7" t="s">
        <v>1055</v>
      </c>
      <c r="I102" s="8">
        <v>45820</v>
      </c>
      <c r="J102" s="8">
        <v>45820</v>
      </c>
      <c r="K102" s="5"/>
      <c r="L102" s="5" t="s">
        <v>73</v>
      </c>
      <c r="M102" s="5" t="s">
        <v>1065</v>
      </c>
      <c r="N102" s="5" t="s">
        <v>1066</v>
      </c>
      <c r="O102" s="5">
        <v>3</v>
      </c>
      <c r="P102" s="5">
        <v>1198130845</v>
      </c>
      <c r="Q102" s="5">
        <v>91000673131</v>
      </c>
      <c r="R102" s="5" t="s">
        <v>1067</v>
      </c>
      <c r="S102" s="5"/>
      <c r="T102" s="5" t="s">
        <v>1068</v>
      </c>
      <c r="U102" s="5" t="s">
        <v>1069</v>
      </c>
      <c r="V102" s="5" t="s">
        <v>1069</v>
      </c>
      <c r="W102" s="5" t="s">
        <v>1070</v>
      </c>
      <c r="X102" s="5"/>
      <c r="Y102" s="5" t="s">
        <v>1071</v>
      </c>
      <c r="Z102" s="5" t="s">
        <v>1072</v>
      </c>
      <c r="AA102" s="8">
        <v>45842</v>
      </c>
      <c r="AB102" s="5" t="s">
        <v>73</v>
      </c>
      <c r="AC102" s="5" t="s">
        <v>1073</v>
      </c>
      <c r="AD102" s="8">
        <v>45860</v>
      </c>
      <c r="AE102" s="5">
        <v>16000000</v>
      </c>
      <c r="AF102" s="5">
        <v>16000000</v>
      </c>
      <c r="AG102" s="5">
        <v>0</v>
      </c>
      <c r="AH102" s="5">
        <v>16000000</v>
      </c>
      <c r="AI102" s="8">
        <v>45863</v>
      </c>
      <c r="AJ102" s="5">
        <v>16000000</v>
      </c>
      <c r="AK102" s="9" t="s">
        <v>56</v>
      </c>
      <c r="AL102" s="5">
        <v>0</v>
      </c>
      <c r="AM102" s="5" t="s">
        <v>1074</v>
      </c>
    </row>
    <row r="103" spans="1:39" x14ac:dyDescent="0.3">
      <c r="A103" s="4" t="s">
        <v>1075</v>
      </c>
      <c r="B103" s="5">
        <v>2025</v>
      </c>
      <c r="C103" s="5" t="s">
        <v>40</v>
      </c>
      <c r="D103" s="5"/>
      <c r="E103" s="5" t="s">
        <v>42</v>
      </c>
      <c r="F103" s="6" t="s">
        <v>1076</v>
      </c>
      <c r="G103" s="7">
        <v>101</v>
      </c>
      <c r="H103" s="7" t="s">
        <v>1055</v>
      </c>
      <c r="I103" s="8">
        <v>45820</v>
      </c>
      <c r="J103" s="8">
        <v>45820</v>
      </c>
      <c r="K103" s="5"/>
      <c r="L103" s="5" t="s">
        <v>46</v>
      </c>
      <c r="M103" s="5" t="s">
        <v>334</v>
      </c>
      <c r="N103" s="5" t="s">
        <v>1077</v>
      </c>
      <c r="O103" s="5">
        <v>3</v>
      </c>
      <c r="P103" s="5">
        <v>1198130845</v>
      </c>
      <c r="Q103" s="5">
        <v>90901013491</v>
      </c>
      <c r="R103" s="5" t="s">
        <v>1067</v>
      </c>
      <c r="S103" s="5"/>
      <c r="T103" s="5" t="s">
        <v>1078</v>
      </c>
      <c r="U103" s="5" t="s">
        <v>1079</v>
      </c>
      <c r="V103" s="5" t="s">
        <v>1079</v>
      </c>
      <c r="W103" s="5" t="s">
        <v>1080</v>
      </c>
      <c r="X103" s="5"/>
      <c r="Y103" s="5" t="s">
        <v>1081</v>
      </c>
      <c r="Z103" s="5" t="s">
        <v>1082</v>
      </c>
      <c r="AA103" s="8">
        <v>45842</v>
      </c>
      <c r="AB103" s="5" t="s">
        <v>218</v>
      </c>
      <c r="AC103" s="5"/>
      <c r="AD103" s="8"/>
      <c r="AE103" s="5">
        <v>0</v>
      </c>
      <c r="AF103" s="5"/>
      <c r="AG103" s="5"/>
      <c r="AH103" s="5">
        <v>0</v>
      </c>
      <c r="AI103" s="8"/>
      <c r="AJ103" s="5"/>
      <c r="AK103" s="9"/>
      <c r="AL103" s="5"/>
      <c r="AM103" s="5"/>
    </row>
    <row r="104" spans="1:39" x14ac:dyDescent="0.3">
      <c r="A104" s="4" t="s">
        <v>1083</v>
      </c>
      <c r="B104" s="5">
        <v>2025</v>
      </c>
      <c r="C104" s="5" t="s">
        <v>40</v>
      </c>
      <c r="D104" s="5"/>
      <c r="E104" s="5" t="s">
        <v>42</v>
      </c>
      <c r="F104" s="6" t="s">
        <v>1084</v>
      </c>
      <c r="G104" s="7">
        <v>102</v>
      </c>
      <c r="H104" s="7" t="s">
        <v>1085</v>
      </c>
      <c r="I104" s="8">
        <v>45820</v>
      </c>
      <c r="J104" s="8">
        <v>45820</v>
      </c>
      <c r="K104" s="5"/>
      <c r="L104" s="5" t="s">
        <v>97</v>
      </c>
      <c r="M104" s="5" t="s">
        <v>241</v>
      </c>
      <c r="N104" s="5" t="s">
        <v>1086</v>
      </c>
      <c r="O104" s="5">
        <v>6</v>
      </c>
      <c r="P104" s="5">
        <v>1198130845</v>
      </c>
      <c r="Q104" s="5">
        <v>92024259321</v>
      </c>
      <c r="R104" s="5" t="s">
        <v>1067</v>
      </c>
      <c r="S104" s="5"/>
      <c r="T104" s="5" t="s">
        <v>1087</v>
      </c>
      <c r="U104" s="5" t="s">
        <v>1079</v>
      </c>
      <c r="V104" s="5" t="s">
        <v>1079</v>
      </c>
      <c r="W104" s="5" t="s">
        <v>428</v>
      </c>
      <c r="X104" s="5"/>
      <c r="Y104" s="5" t="s">
        <v>1088</v>
      </c>
      <c r="Z104" s="5" t="s">
        <v>1089</v>
      </c>
      <c r="AA104" s="8">
        <v>45842</v>
      </c>
      <c r="AB104" s="5" t="s">
        <v>181</v>
      </c>
      <c r="AC104" s="5"/>
      <c r="AD104" s="8"/>
      <c r="AE104" s="5">
        <v>0</v>
      </c>
      <c r="AF104" s="5"/>
      <c r="AG104" s="5"/>
      <c r="AH104" s="5">
        <v>0</v>
      </c>
      <c r="AI104" s="8"/>
      <c r="AJ104" s="5"/>
      <c r="AK104" s="9"/>
      <c r="AL104" s="5"/>
      <c r="AM104" s="5"/>
    </row>
    <row r="105" spans="1:39" x14ac:dyDescent="0.3">
      <c r="A105" s="4" t="s">
        <v>1090</v>
      </c>
      <c r="B105" s="5">
        <v>2025</v>
      </c>
      <c r="C105" s="5" t="s">
        <v>40</v>
      </c>
      <c r="D105" s="5" t="s">
        <v>1034</v>
      </c>
      <c r="E105" s="5" t="s">
        <v>42</v>
      </c>
      <c r="F105" s="6" t="s">
        <v>1091</v>
      </c>
      <c r="G105" s="7">
        <v>103</v>
      </c>
      <c r="H105" s="7" t="s">
        <v>1092</v>
      </c>
      <c r="I105" s="8">
        <v>45821</v>
      </c>
      <c r="J105" s="8">
        <v>45821</v>
      </c>
      <c r="K105" s="5"/>
      <c r="L105" s="5" t="s">
        <v>46</v>
      </c>
      <c r="M105" s="5" t="s">
        <v>1037</v>
      </c>
      <c r="N105" s="5" t="s">
        <v>1093</v>
      </c>
      <c r="O105" s="5">
        <v>60</v>
      </c>
      <c r="P105" s="5">
        <v>3048303275</v>
      </c>
      <c r="Q105" s="5">
        <v>91405282961</v>
      </c>
      <c r="R105" s="5" t="s">
        <v>574</v>
      </c>
      <c r="S105" s="5"/>
      <c r="T105" s="5" t="s">
        <v>1094</v>
      </c>
      <c r="U105" s="5" t="s">
        <v>1095</v>
      </c>
      <c r="V105" s="5" t="s">
        <v>1095</v>
      </c>
      <c r="W105" s="5" t="s">
        <v>845</v>
      </c>
      <c r="X105" s="5" t="s">
        <v>442</v>
      </c>
      <c r="Y105" s="5" t="s">
        <v>846</v>
      </c>
      <c r="Z105" s="5" t="s">
        <v>847</v>
      </c>
      <c r="AA105" s="8">
        <v>45838</v>
      </c>
      <c r="AB105" s="5" t="s">
        <v>46</v>
      </c>
      <c r="AC105" s="5"/>
      <c r="AD105" s="8"/>
      <c r="AE105" s="5">
        <v>0</v>
      </c>
      <c r="AF105" s="5"/>
      <c r="AG105" s="5"/>
      <c r="AH105" s="5">
        <v>0</v>
      </c>
      <c r="AI105" s="8"/>
      <c r="AJ105" s="5"/>
      <c r="AK105" s="9"/>
      <c r="AL105" s="5"/>
      <c r="AM105" s="5"/>
    </row>
    <row r="106" spans="1:39" x14ac:dyDescent="0.3">
      <c r="A106" s="4" t="s">
        <v>1096</v>
      </c>
      <c r="B106" s="5">
        <v>2025</v>
      </c>
      <c r="C106" s="5" t="s">
        <v>40</v>
      </c>
      <c r="D106" s="5"/>
      <c r="E106" s="5" t="s">
        <v>42</v>
      </c>
      <c r="F106" s="6" t="s">
        <v>1097</v>
      </c>
      <c r="G106" s="7">
        <v>104</v>
      </c>
      <c r="H106" s="7" t="s">
        <v>1098</v>
      </c>
      <c r="I106" s="8">
        <v>45821</v>
      </c>
      <c r="J106" s="8">
        <v>45821</v>
      </c>
      <c r="K106" s="5"/>
      <c r="L106" s="5" t="s">
        <v>73</v>
      </c>
      <c r="M106" s="5" t="s">
        <v>436</v>
      </c>
      <c r="N106" s="5" t="s">
        <v>1099</v>
      </c>
      <c r="O106" s="5">
        <v>5</v>
      </c>
      <c r="P106" s="5">
        <v>1198130845</v>
      </c>
      <c r="Q106" s="5">
        <v>40285256550</v>
      </c>
      <c r="R106" s="5" t="s">
        <v>1067</v>
      </c>
      <c r="S106" s="5"/>
      <c r="T106" s="5" t="s">
        <v>1100</v>
      </c>
      <c r="U106" s="5" t="s">
        <v>1079</v>
      </c>
      <c r="V106" s="5" t="s">
        <v>1079</v>
      </c>
      <c r="W106" s="5" t="s">
        <v>1101</v>
      </c>
      <c r="X106" s="5" t="s">
        <v>1102</v>
      </c>
      <c r="Y106" s="5" t="s">
        <v>1103</v>
      </c>
      <c r="Z106" s="5" t="s">
        <v>1104</v>
      </c>
      <c r="AA106" s="8">
        <v>45845</v>
      </c>
      <c r="AB106" s="5" t="s">
        <v>73</v>
      </c>
      <c r="AC106" s="5"/>
      <c r="AD106" s="8"/>
      <c r="AE106" s="5">
        <v>0</v>
      </c>
      <c r="AF106" s="5"/>
      <c r="AG106" s="5"/>
      <c r="AH106" s="5">
        <v>0</v>
      </c>
      <c r="AI106" s="8"/>
      <c r="AJ106" s="5"/>
      <c r="AK106" s="9"/>
      <c r="AL106" s="5"/>
      <c r="AM106" s="5"/>
    </row>
    <row r="107" spans="1:39" x14ac:dyDescent="0.3">
      <c r="A107" s="4" t="s">
        <v>1105</v>
      </c>
      <c r="B107" s="5">
        <v>2025</v>
      </c>
      <c r="C107" s="5" t="s">
        <v>40</v>
      </c>
      <c r="D107" s="5"/>
      <c r="E107" s="5" t="s">
        <v>42</v>
      </c>
      <c r="F107" s="6" t="s">
        <v>1106</v>
      </c>
      <c r="G107" s="7">
        <v>105</v>
      </c>
      <c r="H107" s="7" t="s">
        <v>1107</v>
      </c>
      <c r="I107" s="8">
        <v>45824</v>
      </c>
      <c r="J107" s="8">
        <v>45824</v>
      </c>
      <c r="K107" s="5"/>
      <c r="L107" s="5" t="s">
        <v>46</v>
      </c>
      <c r="M107" s="5" t="s">
        <v>1108</v>
      </c>
      <c r="N107" s="5" t="s">
        <v>1109</v>
      </c>
      <c r="O107" s="5">
        <v>7</v>
      </c>
      <c r="P107" s="5">
        <v>1198130845</v>
      </c>
      <c r="Q107" s="5">
        <v>91000832901</v>
      </c>
      <c r="R107" s="5" t="s">
        <v>1067</v>
      </c>
      <c r="S107" s="5"/>
      <c r="T107" s="5" t="s">
        <v>1110</v>
      </c>
      <c r="U107" s="5" t="s">
        <v>1079</v>
      </c>
      <c r="V107" s="5" t="s">
        <v>1079</v>
      </c>
      <c r="W107" s="5" t="s">
        <v>1111</v>
      </c>
      <c r="X107" s="5" t="s">
        <v>1112</v>
      </c>
      <c r="Y107" s="5" t="s">
        <v>1113</v>
      </c>
      <c r="Z107" s="5" t="s">
        <v>1114</v>
      </c>
      <c r="AA107" s="8">
        <v>45874</v>
      </c>
      <c r="AB107" s="5" t="s">
        <v>46</v>
      </c>
      <c r="AC107" s="5"/>
      <c r="AD107" s="8"/>
      <c r="AE107" s="5">
        <v>0</v>
      </c>
      <c r="AF107" s="5"/>
      <c r="AG107" s="5"/>
      <c r="AH107" s="5">
        <v>0</v>
      </c>
      <c r="AI107" s="8"/>
      <c r="AJ107" s="5"/>
      <c r="AK107" s="9"/>
      <c r="AL107" s="5"/>
      <c r="AM107" s="5"/>
    </row>
    <row r="108" spans="1:39" x14ac:dyDescent="0.3">
      <c r="A108" s="4" t="s">
        <v>1115</v>
      </c>
      <c r="B108" s="5">
        <v>2025</v>
      </c>
      <c r="C108" s="5" t="s">
        <v>40</v>
      </c>
      <c r="D108" s="5" t="s">
        <v>191</v>
      </c>
      <c r="E108" s="5" t="s">
        <v>42</v>
      </c>
      <c r="F108" s="6" t="s">
        <v>1116</v>
      </c>
      <c r="G108" s="7">
        <v>106</v>
      </c>
      <c r="H108" s="7" t="s">
        <v>1117</v>
      </c>
      <c r="I108" s="8">
        <v>45825</v>
      </c>
      <c r="J108" s="8">
        <v>45825</v>
      </c>
      <c r="K108" s="5"/>
      <c r="L108" s="5" t="s">
        <v>73</v>
      </c>
      <c r="M108" s="5" t="s">
        <v>241</v>
      </c>
      <c r="N108" s="5" t="s">
        <v>1118</v>
      </c>
      <c r="O108" s="5">
        <v>61</v>
      </c>
      <c r="P108" s="5">
        <v>1248720754</v>
      </c>
      <c r="Q108" s="5">
        <v>12487207540</v>
      </c>
      <c r="R108" s="5" t="s">
        <v>1119</v>
      </c>
      <c r="S108" s="5"/>
      <c r="T108" s="5" t="s">
        <v>1120</v>
      </c>
      <c r="U108" s="5" t="s">
        <v>1121</v>
      </c>
      <c r="V108" s="5" t="s">
        <v>1121</v>
      </c>
      <c r="W108" s="5" t="s">
        <v>1122</v>
      </c>
      <c r="X108" s="5" t="s">
        <v>178</v>
      </c>
      <c r="Y108" s="5"/>
      <c r="Z108" s="5" t="s">
        <v>1123</v>
      </c>
      <c r="AA108" s="8">
        <v>45832</v>
      </c>
      <c r="AB108" s="5" t="s">
        <v>73</v>
      </c>
      <c r="AC108" s="5" t="s">
        <v>1124</v>
      </c>
      <c r="AD108" s="8">
        <v>45832</v>
      </c>
      <c r="AE108" s="5">
        <v>1000000</v>
      </c>
      <c r="AF108" s="5">
        <v>1000000</v>
      </c>
      <c r="AG108" s="5">
        <v>0</v>
      </c>
      <c r="AH108" s="5">
        <v>1000000</v>
      </c>
      <c r="AI108" s="8">
        <v>45848</v>
      </c>
      <c r="AJ108" s="5">
        <v>1000000</v>
      </c>
      <c r="AK108" s="9" t="s">
        <v>56</v>
      </c>
      <c r="AL108" s="5">
        <v>0</v>
      </c>
      <c r="AM108" s="5"/>
    </row>
    <row r="109" spans="1:39" x14ac:dyDescent="0.3">
      <c r="A109" s="4" t="s">
        <v>1125</v>
      </c>
      <c r="B109" s="5">
        <v>2025</v>
      </c>
      <c r="C109" s="5" t="s">
        <v>40</v>
      </c>
      <c r="D109" s="5" t="s">
        <v>191</v>
      </c>
      <c r="E109" s="5" t="s">
        <v>42</v>
      </c>
      <c r="F109" s="6" t="s">
        <v>1126</v>
      </c>
      <c r="G109" s="7">
        <v>107</v>
      </c>
      <c r="H109" s="7" t="s">
        <v>1127</v>
      </c>
      <c r="I109" s="8">
        <v>45825</v>
      </c>
      <c r="J109" s="8">
        <v>45825</v>
      </c>
      <c r="K109" s="5"/>
      <c r="L109" s="5" t="s">
        <v>46</v>
      </c>
      <c r="M109" s="5" t="s">
        <v>241</v>
      </c>
      <c r="N109" s="5" t="s">
        <v>1128</v>
      </c>
      <c r="O109" s="5">
        <v>53</v>
      </c>
      <c r="P109" s="5">
        <v>1268647636</v>
      </c>
      <c r="Q109" s="5">
        <v>12686476360</v>
      </c>
      <c r="R109" s="5" t="s">
        <v>1129</v>
      </c>
      <c r="S109" s="5"/>
      <c r="T109" s="5" t="s">
        <v>1130</v>
      </c>
      <c r="U109" s="5" t="s">
        <v>1131</v>
      </c>
      <c r="V109" s="5" t="s">
        <v>1131</v>
      </c>
      <c r="W109" s="5" t="s">
        <v>1132</v>
      </c>
      <c r="X109" s="5" t="s">
        <v>178</v>
      </c>
      <c r="Y109" s="5" t="s">
        <v>1133</v>
      </c>
      <c r="Z109" s="5" t="s">
        <v>1134</v>
      </c>
      <c r="AA109" s="8">
        <v>45852</v>
      </c>
      <c r="AB109" s="5" t="s">
        <v>46</v>
      </c>
      <c r="AC109" s="5" t="s">
        <v>1135</v>
      </c>
      <c r="AD109" s="8">
        <v>45853</v>
      </c>
      <c r="AE109" s="5">
        <v>800000</v>
      </c>
      <c r="AF109" s="5">
        <v>800000</v>
      </c>
      <c r="AG109" s="5">
        <v>0</v>
      </c>
      <c r="AH109" s="5">
        <v>800000</v>
      </c>
      <c r="AI109" s="8">
        <v>45854</v>
      </c>
      <c r="AJ109" s="5">
        <v>800000</v>
      </c>
      <c r="AK109" s="9" t="s">
        <v>56</v>
      </c>
      <c r="AL109" s="5">
        <v>0</v>
      </c>
      <c r="AM109" s="5"/>
    </row>
    <row r="110" spans="1:39" x14ac:dyDescent="0.3">
      <c r="A110" s="4" t="s">
        <v>1136</v>
      </c>
      <c r="B110" s="5">
        <v>2025</v>
      </c>
      <c r="C110" s="5" t="s">
        <v>40</v>
      </c>
      <c r="D110" s="5"/>
      <c r="E110" s="5" t="s">
        <v>42</v>
      </c>
      <c r="F110" s="6" t="s">
        <v>1137</v>
      </c>
      <c r="G110" s="7">
        <v>108</v>
      </c>
      <c r="H110" s="7" t="s">
        <v>1138</v>
      </c>
      <c r="I110" s="8">
        <v>45825</v>
      </c>
      <c r="J110" s="8">
        <v>45825</v>
      </c>
      <c r="K110" s="5"/>
      <c r="L110" s="5" t="s">
        <v>46</v>
      </c>
      <c r="M110" s="5" t="s">
        <v>241</v>
      </c>
      <c r="N110" s="5" t="s">
        <v>1139</v>
      </c>
      <c r="O110" s="5">
        <v>6</v>
      </c>
      <c r="P110" s="5">
        <v>1198130845</v>
      </c>
      <c r="Q110" s="5">
        <v>91406136641</v>
      </c>
      <c r="R110" s="5" t="s">
        <v>1067</v>
      </c>
      <c r="S110" s="5"/>
      <c r="T110" s="5" t="s">
        <v>1140</v>
      </c>
      <c r="U110" s="5" t="s">
        <v>1079</v>
      </c>
      <c r="V110" s="5" t="s">
        <v>1079</v>
      </c>
      <c r="W110" s="5" t="s">
        <v>1141</v>
      </c>
      <c r="X110" s="5" t="s">
        <v>1112</v>
      </c>
      <c r="Y110" s="5" t="s">
        <v>1142</v>
      </c>
      <c r="Z110" s="5" t="s">
        <v>1143</v>
      </c>
      <c r="AA110" s="8">
        <v>45846</v>
      </c>
      <c r="AB110" s="5" t="s">
        <v>46</v>
      </c>
      <c r="AC110" s="5"/>
      <c r="AD110" s="8"/>
      <c r="AE110" s="5">
        <v>0</v>
      </c>
      <c r="AF110" s="5"/>
      <c r="AG110" s="5"/>
      <c r="AH110" s="5">
        <v>0</v>
      </c>
      <c r="AI110" s="8"/>
      <c r="AJ110" s="5"/>
      <c r="AK110" s="9"/>
      <c r="AL110" s="5"/>
      <c r="AM110" s="5"/>
    </row>
    <row r="111" spans="1:39" x14ac:dyDescent="0.3">
      <c r="A111" s="4" t="s">
        <v>1144</v>
      </c>
      <c r="B111" s="5">
        <v>2025</v>
      </c>
      <c r="C111" s="5" t="s">
        <v>40</v>
      </c>
      <c r="D111" s="5"/>
      <c r="E111" s="5" t="s">
        <v>42</v>
      </c>
      <c r="F111" s="6" t="s">
        <v>1145</v>
      </c>
      <c r="G111" s="7">
        <v>109</v>
      </c>
      <c r="H111" s="7" t="s">
        <v>1146</v>
      </c>
      <c r="I111" s="8">
        <v>45825</v>
      </c>
      <c r="J111" s="8">
        <v>45825</v>
      </c>
      <c r="K111" s="5"/>
      <c r="L111" s="5" t="s">
        <v>181</v>
      </c>
      <c r="M111" s="5" t="s">
        <v>1147</v>
      </c>
      <c r="N111" s="5" t="s">
        <v>1148</v>
      </c>
      <c r="O111" s="5">
        <v>5</v>
      </c>
      <c r="P111" s="5">
        <v>1198130845</v>
      </c>
      <c r="Q111" s="5">
        <v>90901279561</v>
      </c>
      <c r="R111" s="5" t="s">
        <v>1067</v>
      </c>
      <c r="S111" s="5"/>
      <c r="T111" s="5" t="s">
        <v>1149</v>
      </c>
      <c r="U111" s="5" t="s">
        <v>1150</v>
      </c>
      <c r="V111" s="5" t="s">
        <v>1150</v>
      </c>
      <c r="W111" s="5" t="s">
        <v>1151</v>
      </c>
      <c r="X111" s="5"/>
      <c r="Y111" s="5" t="s">
        <v>1152</v>
      </c>
      <c r="Z111" s="5" t="s">
        <v>1153</v>
      </c>
      <c r="AA111" s="8">
        <v>45845</v>
      </c>
      <c r="AB111" s="5" t="s">
        <v>181</v>
      </c>
      <c r="AC111" s="5"/>
      <c r="AD111" s="8"/>
      <c r="AE111" s="5">
        <v>0</v>
      </c>
      <c r="AF111" s="5"/>
      <c r="AG111" s="5"/>
      <c r="AH111" s="5">
        <v>0</v>
      </c>
      <c r="AI111" s="8"/>
      <c r="AJ111" s="5"/>
      <c r="AK111" s="9"/>
      <c r="AL111" s="5"/>
      <c r="AM111" s="5"/>
    </row>
    <row r="112" spans="1:39" x14ac:dyDescent="0.3">
      <c r="A112" s="4" t="s">
        <v>1154</v>
      </c>
      <c r="B112" s="5">
        <v>2025</v>
      </c>
      <c r="C112" s="5" t="s">
        <v>40</v>
      </c>
      <c r="D112" s="5" t="s">
        <v>1155</v>
      </c>
      <c r="E112" s="5" t="s">
        <v>42</v>
      </c>
      <c r="F112" s="6" t="s">
        <v>1156</v>
      </c>
      <c r="G112" s="7">
        <v>110</v>
      </c>
      <c r="H112" s="7" t="s">
        <v>1157</v>
      </c>
      <c r="I112" s="8">
        <v>45826</v>
      </c>
      <c r="J112" s="8">
        <v>45826</v>
      </c>
      <c r="K112" s="5"/>
      <c r="L112" s="5" t="s">
        <v>61</v>
      </c>
      <c r="M112" s="5" t="s">
        <v>42</v>
      </c>
      <c r="N112" s="5" t="s">
        <v>1158</v>
      </c>
      <c r="O112" s="5">
        <v>10</v>
      </c>
      <c r="P112" s="5">
        <v>1838602229</v>
      </c>
      <c r="Q112" s="5">
        <v>92437185871</v>
      </c>
      <c r="R112" s="5" t="s">
        <v>865</v>
      </c>
      <c r="S112" s="5"/>
      <c r="T112" s="5" t="s">
        <v>1159</v>
      </c>
      <c r="U112" s="5" t="s">
        <v>1160</v>
      </c>
      <c r="V112" s="5" t="s">
        <v>1160</v>
      </c>
      <c r="W112" s="5" t="s">
        <v>857</v>
      </c>
      <c r="X112" s="5" t="s">
        <v>491</v>
      </c>
      <c r="Y112" s="5" t="s">
        <v>858</v>
      </c>
      <c r="Z112" s="5" t="s">
        <v>859</v>
      </c>
      <c r="AA112" s="8">
        <v>45847</v>
      </c>
      <c r="AB112" s="5" t="s">
        <v>61</v>
      </c>
      <c r="AC112" s="5" t="s">
        <v>859</v>
      </c>
      <c r="AD112" s="8">
        <v>45854</v>
      </c>
      <c r="AE112" s="5">
        <v>600000</v>
      </c>
      <c r="AF112" s="5">
        <v>600000</v>
      </c>
      <c r="AG112" s="5">
        <v>0</v>
      </c>
      <c r="AH112" s="5">
        <v>600000</v>
      </c>
      <c r="AI112" s="8">
        <v>45890</v>
      </c>
      <c r="AJ112" s="5">
        <v>600000</v>
      </c>
      <c r="AK112" s="9" t="s">
        <v>56</v>
      </c>
      <c r="AL112" s="5">
        <v>0</v>
      </c>
      <c r="AM112" s="5"/>
    </row>
    <row r="113" spans="1:39" x14ac:dyDescent="0.3">
      <c r="A113" s="4" t="s">
        <v>1161</v>
      </c>
      <c r="B113" s="5">
        <v>2025</v>
      </c>
      <c r="C113" s="5" t="s">
        <v>40</v>
      </c>
      <c r="D113" s="5"/>
      <c r="E113" s="5" t="s">
        <v>42</v>
      </c>
      <c r="F113" s="6" t="s">
        <v>1162</v>
      </c>
      <c r="G113" s="7">
        <v>111</v>
      </c>
      <c r="H113" s="7" t="s">
        <v>1157</v>
      </c>
      <c r="I113" s="8">
        <v>45826</v>
      </c>
      <c r="J113" s="8">
        <v>45826</v>
      </c>
      <c r="K113" s="5"/>
      <c r="L113" s="5" t="s">
        <v>181</v>
      </c>
      <c r="M113" s="5" t="s">
        <v>1163</v>
      </c>
      <c r="N113" s="5" t="s">
        <v>1164</v>
      </c>
      <c r="O113" s="5">
        <v>4</v>
      </c>
      <c r="P113" s="5">
        <v>1198130845</v>
      </c>
      <c r="Q113" s="5">
        <v>50385204240</v>
      </c>
      <c r="R113" s="5" t="s">
        <v>1067</v>
      </c>
      <c r="S113" s="5"/>
      <c r="T113" s="5" t="s">
        <v>1165</v>
      </c>
      <c r="U113" s="5" t="s">
        <v>1166</v>
      </c>
      <c r="V113" s="5" t="s">
        <v>1166</v>
      </c>
      <c r="W113" s="5" t="s">
        <v>1167</v>
      </c>
      <c r="X113" s="5"/>
      <c r="Y113" s="5" t="s">
        <v>1168</v>
      </c>
      <c r="Z113" s="5" t="s">
        <v>1169</v>
      </c>
      <c r="AA113" s="8">
        <v>45845</v>
      </c>
      <c r="AB113" s="5" t="s">
        <v>181</v>
      </c>
      <c r="AC113" s="5"/>
      <c r="AD113" s="8"/>
      <c r="AE113" s="5">
        <v>0</v>
      </c>
      <c r="AF113" s="5"/>
      <c r="AG113" s="5"/>
      <c r="AH113" s="5">
        <v>0</v>
      </c>
      <c r="AI113" s="8"/>
      <c r="AJ113" s="5"/>
      <c r="AK113" s="9"/>
      <c r="AL113" s="5"/>
      <c r="AM113" s="5"/>
    </row>
    <row r="114" spans="1:39" x14ac:dyDescent="0.3">
      <c r="A114" s="4" t="s">
        <v>1170</v>
      </c>
      <c r="B114" s="5">
        <v>2025</v>
      </c>
      <c r="C114" s="5" t="s">
        <v>40</v>
      </c>
      <c r="D114" s="5" t="s">
        <v>191</v>
      </c>
      <c r="E114" s="5" t="s">
        <v>42</v>
      </c>
      <c r="F114" s="6" t="s">
        <v>1171</v>
      </c>
      <c r="G114" s="7">
        <v>112</v>
      </c>
      <c r="H114" s="7" t="s">
        <v>1172</v>
      </c>
      <c r="I114" s="8">
        <v>45827</v>
      </c>
      <c r="J114" s="8">
        <v>45827</v>
      </c>
      <c r="K114" s="5"/>
      <c r="L114" s="5" t="s">
        <v>61</v>
      </c>
      <c r="M114" s="5" t="s">
        <v>42</v>
      </c>
      <c r="N114" s="5" t="s">
        <v>1173</v>
      </c>
      <c r="O114" s="5">
        <v>9</v>
      </c>
      <c r="P114" s="5">
        <v>7358600094</v>
      </c>
      <c r="Q114" s="5">
        <v>73586000946</v>
      </c>
      <c r="R114" s="5" t="s">
        <v>63</v>
      </c>
      <c r="S114" s="5"/>
      <c r="T114" s="5" t="s">
        <v>1174</v>
      </c>
      <c r="U114" s="5" t="s">
        <v>1175</v>
      </c>
      <c r="V114" s="5" t="s">
        <v>1175</v>
      </c>
      <c r="W114" s="5" t="s">
        <v>65</v>
      </c>
      <c r="X114" s="5" t="s">
        <v>66</v>
      </c>
      <c r="Y114" s="5" t="s">
        <v>67</v>
      </c>
      <c r="Z114" s="5" t="s">
        <v>68</v>
      </c>
      <c r="AA114" s="8">
        <v>45847</v>
      </c>
      <c r="AB114" s="5" t="s">
        <v>61</v>
      </c>
      <c r="AC114" s="5" t="s">
        <v>68</v>
      </c>
      <c r="AD114" s="8" t="s">
        <v>69</v>
      </c>
      <c r="AE114" s="5">
        <v>965490</v>
      </c>
      <c r="AF114" s="5">
        <v>0</v>
      </c>
      <c r="AG114" s="5">
        <v>965490</v>
      </c>
      <c r="AH114" s="5">
        <v>965490</v>
      </c>
      <c r="AI114" s="8" t="s">
        <v>69</v>
      </c>
      <c r="AJ114" s="5">
        <v>0</v>
      </c>
      <c r="AK114" s="9">
        <v>45867</v>
      </c>
      <c r="AL114" s="5">
        <v>965490</v>
      </c>
      <c r="AM114" s="5"/>
    </row>
    <row r="115" spans="1:39" x14ac:dyDescent="0.3">
      <c r="A115" s="4" t="s">
        <v>1176</v>
      </c>
      <c r="B115" s="5">
        <v>2025</v>
      </c>
      <c r="C115" s="5" t="s">
        <v>40</v>
      </c>
      <c r="D115" s="5"/>
      <c r="E115" s="5" t="s">
        <v>42</v>
      </c>
      <c r="F115" s="6" t="s">
        <v>1177</v>
      </c>
      <c r="G115" s="7">
        <v>113</v>
      </c>
      <c r="H115" s="7" t="s">
        <v>1178</v>
      </c>
      <c r="I115" s="8">
        <v>45828</v>
      </c>
      <c r="J115" s="8">
        <v>45828</v>
      </c>
      <c r="K115" s="5"/>
      <c r="L115" s="5" t="s">
        <v>218</v>
      </c>
      <c r="M115" s="5" t="s">
        <v>231</v>
      </c>
      <c r="N115" s="5" t="s">
        <v>1179</v>
      </c>
      <c r="O115" s="5">
        <v>72</v>
      </c>
      <c r="P115" s="5">
        <v>1298147173</v>
      </c>
      <c r="Q115" s="5">
        <v>12981471730</v>
      </c>
      <c r="R115" s="5" t="s">
        <v>1180</v>
      </c>
      <c r="S115" s="5"/>
      <c r="T115" s="5" t="s">
        <v>1181</v>
      </c>
      <c r="U115" s="5" t="s">
        <v>1182</v>
      </c>
      <c r="V115" s="5" t="s">
        <v>1182</v>
      </c>
      <c r="W115" s="5" t="s">
        <v>1183</v>
      </c>
      <c r="X115" s="5" t="s">
        <v>388</v>
      </c>
      <c r="Y115" s="5" t="s">
        <v>1184</v>
      </c>
      <c r="Z115" s="5" t="s">
        <v>1185</v>
      </c>
      <c r="AA115" s="8">
        <v>45849</v>
      </c>
      <c r="AB115" s="5" t="s">
        <v>218</v>
      </c>
      <c r="AC115" s="5" t="s">
        <v>1185</v>
      </c>
      <c r="AD115" s="8">
        <v>45828</v>
      </c>
      <c r="AE115" s="5">
        <v>2300000</v>
      </c>
      <c r="AF115" s="5">
        <v>2300000</v>
      </c>
      <c r="AG115" s="5">
        <v>0</v>
      </c>
      <c r="AH115" s="5">
        <v>2300000</v>
      </c>
      <c r="AI115" s="8">
        <v>45828</v>
      </c>
      <c r="AJ115" s="5">
        <v>2300000</v>
      </c>
      <c r="AK115" s="9" t="s">
        <v>56</v>
      </c>
      <c r="AL115" s="5">
        <v>0</v>
      </c>
      <c r="AM115" s="5"/>
    </row>
    <row r="116" spans="1:39" x14ac:dyDescent="0.3">
      <c r="A116" s="4" t="s">
        <v>1186</v>
      </c>
      <c r="B116" s="5">
        <v>2025</v>
      </c>
      <c r="C116" s="5" t="s">
        <v>40</v>
      </c>
      <c r="D116" s="5" t="s">
        <v>1187</v>
      </c>
      <c r="E116" s="5" t="s">
        <v>42</v>
      </c>
      <c r="F116" s="6" t="s">
        <v>1188</v>
      </c>
      <c r="G116" s="7">
        <v>114</v>
      </c>
      <c r="H116" s="7" t="s">
        <v>1189</v>
      </c>
      <c r="I116" s="8">
        <v>45831</v>
      </c>
      <c r="J116" s="8">
        <v>45831</v>
      </c>
      <c r="K116" s="5"/>
      <c r="L116" s="5" t="s">
        <v>919</v>
      </c>
      <c r="M116" s="5" t="s">
        <v>42</v>
      </c>
      <c r="N116" s="5" t="s">
        <v>1190</v>
      </c>
      <c r="O116" s="5">
        <v>240</v>
      </c>
      <c r="P116" s="5">
        <v>1298118421</v>
      </c>
      <c r="Q116" s="5">
        <v>12981184210</v>
      </c>
      <c r="R116" s="5" t="s">
        <v>1191</v>
      </c>
      <c r="S116" s="5"/>
      <c r="T116" s="5" t="s">
        <v>1192</v>
      </c>
      <c r="U116" s="5" t="s">
        <v>1193</v>
      </c>
      <c r="V116" s="5" t="s">
        <v>1193</v>
      </c>
      <c r="W116" s="5" t="s">
        <v>1194</v>
      </c>
      <c r="X116" s="5" t="s">
        <v>178</v>
      </c>
      <c r="Y116" s="5" t="s">
        <v>1195</v>
      </c>
      <c r="Z116" s="5" t="s">
        <v>1196</v>
      </c>
      <c r="AA116" s="8">
        <v>45853</v>
      </c>
      <c r="AB116" s="5" t="s">
        <v>46</v>
      </c>
      <c r="AC116" s="5" t="s">
        <v>1196</v>
      </c>
      <c r="AD116" s="8">
        <v>45845</v>
      </c>
      <c r="AE116" s="5">
        <v>1900000</v>
      </c>
      <c r="AF116" s="5">
        <v>1900000</v>
      </c>
      <c r="AG116" s="5">
        <v>0</v>
      </c>
      <c r="AH116" s="5">
        <v>1900000</v>
      </c>
      <c r="AI116" s="8">
        <v>45863</v>
      </c>
      <c r="AJ116" s="5">
        <v>1900000</v>
      </c>
      <c r="AK116" s="9" t="s">
        <v>56</v>
      </c>
      <c r="AL116" s="5">
        <v>0</v>
      </c>
      <c r="AM116" s="5"/>
    </row>
    <row r="117" spans="1:39" x14ac:dyDescent="0.3">
      <c r="A117" s="4" t="s">
        <v>1197</v>
      </c>
      <c r="B117" s="5">
        <v>2025</v>
      </c>
      <c r="C117" s="5" t="s">
        <v>40</v>
      </c>
      <c r="D117" s="5"/>
      <c r="E117" s="5" t="s">
        <v>42</v>
      </c>
      <c r="F117" s="6" t="s">
        <v>1198</v>
      </c>
      <c r="G117" s="7">
        <v>115</v>
      </c>
      <c r="H117" s="7" t="s">
        <v>1189</v>
      </c>
      <c r="I117" s="8">
        <v>45831</v>
      </c>
      <c r="J117" s="8">
        <v>45831</v>
      </c>
      <c r="K117" s="5"/>
      <c r="L117" s="5" t="s">
        <v>61</v>
      </c>
      <c r="M117" s="5" t="s">
        <v>518</v>
      </c>
      <c r="N117" s="5" t="s">
        <v>1199</v>
      </c>
      <c r="O117" s="5">
        <v>2</v>
      </c>
      <c r="P117" s="5">
        <v>1198130845</v>
      </c>
      <c r="Q117" s="5">
        <v>91611001761</v>
      </c>
      <c r="R117" s="5" t="s">
        <v>1067</v>
      </c>
      <c r="S117" s="5"/>
      <c r="T117" s="5" t="s">
        <v>1200</v>
      </c>
      <c r="U117" s="5" t="s">
        <v>1079</v>
      </c>
      <c r="V117" s="5" t="s">
        <v>1079</v>
      </c>
      <c r="W117" s="5" t="s">
        <v>1201</v>
      </c>
      <c r="X117" s="5" t="s">
        <v>1102</v>
      </c>
      <c r="Y117" s="5" t="s">
        <v>1202</v>
      </c>
      <c r="Z117" s="5" t="s">
        <v>1203</v>
      </c>
      <c r="AA117" s="8">
        <v>45848</v>
      </c>
      <c r="AB117" s="5" t="s">
        <v>61</v>
      </c>
      <c r="AC117" s="5"/>
      <c r="AD117" s="8"/>
      <c r="AE117" s="5">
        <v>0</v>
      </c>
      <c r="AF117" s="5"/>
      <c r="AG117" s="5"/>
      <c r="AH117" s="5">
        <v>0</v>
      </c>
      <c r="AI117" s="8"/>
      <c r="AJ117" s="5"/>
      <c r="AK117" s="9"/>
      <c r="AL117" s="5"/>
      <c r="AM117" s="5"/>
    </row>
    <row r="118" spans="1:39" x14ac:dyDescent="0.3">
      <c r="A118" s="4" t="s">
        <v>1204</v>
      </c>
      <c r="B118" s="5">
        <v>2025</v>
      </c>
      <c r="C118" s="5" t="s">
        <v>40</v>
      </c>
      <c r="D118" s="5" t="s">
        <v>71</v>
      </c>
      <c r="E118" s="5" t="s">
        <v>42</v>
      </c>
      <c r="F118" s="6" t="s">
        <v>1205</v>
      </c>
      <c r="G118" s="7">
        <v>116</v>
      </c>
      <c r="H118" s="7" t="s">
        <v>1206</v>
      </c>
      <c r="I118" s="8">
        <v>45832</v>
      </c>
      <c r="J118" s="8">
        <v>45832</v>
      </c>
      <c r="K118" s="5"/>
      <c r="L118" s="5" t="s">
        <v>46</v>
      </c>
      <c r="M118" s="5" t="s">
        <v>42</v>
      </c>
      <c r="N118" s="5" t="s">
        <v>1207</v>
      </c>
      <c r="O118" s="5">
        <v>75</v>
      </c>
      <c r="P118" s="5">
        <v>2161021273</v>
      </c>
      <c r="Q118" s="5">
        <v>21610212730</v>
      </c>
      <c r="R118" s="5" t="s">
        <v>1208</v>
      </c>
      <c r="S118" s="5"/>
      <c r="T118" s="5" t="s">
        <v>1209</v>
      </c>
      <c r="U118" s="5" t="s">
        <v>1210</v>
      </c>
      <c r="V118" s="5" t="s">
        <v>1210</v>
      </c>
      <c r="W118" s="5" t="s">
        <v>1211</v>
      </c>
      <c r="X118" s="5" t="s">
        <v>1212</v>
      </c>
      <c r="Y118" s="5" t="s">
        <v>1213</v>
      </c>
      <c r="Z118" s="5" t="s">
        <v>1214</v>
      </c>
      <c r="AA118" s="8">
        <v>45853</v>
      </c>
      <c r="AB118" s="5" t="s">
        <v>46</v>
      </c>
      <c r="AC118" s="5" t="s">
        <v>1215</v>
      </c>
      <c r="AD118" s="8">
        <v>45866</v>
      </c>
      <c r="AE118" s="5">
        <v>800000</v>
      </c>
      <c r="AF118" s="5">
        <v>800000</v>
      </c>
      <c r="AG118" s="5">
        <v>0</v>
      </c>
      <c r="AH118" s="5">
        <v>800000</v>
      </c>
      <c r="AI118" s="8">
        <v>45898</v>
      </c>
      <c r="AJ118" s="5">
        <v>800000</v>
      </c>
      <c r="AK118" s="9" t="s">
        <v>56</v>
      </c>
      <c r="AL118" s="5">
        <v>0</v>
      </c>
      <c r="AM118" s="5"/>
    </row>
    <row r="119" spans="1:39" x14ac:dyDescent="0.3">
      <c r="A119" s="4" t="s">
        <v>1216</v>
      </c>
      <c r="B119" s="5">
        <v>2025</v>
      </c>
      <c r="C119" s="5" t="s">
        <v>40</v>
      </c>
      <c r="D119" s="5"/>
      <c r="E119" s="5" t="s">
        <v>42</v>
      </c>
      <c r="F119" s="6" t="s">
        <v>1217</v>
      </c>
      <c r="G119" s="7">
        <v>117</v>
      </c>
      <c r="H119" s="7" t="s">
        <v>1218</v>
      </c>
      <c r="I119" s="8">
        <v>45832</v>
      </c>
      <c r="J119" s="8">
        <v>45832</v>
      </c>
      <c r="K119" s="5"/>
      <c r="L119" s="5" t="s">
        <v>61</v>
      </c>
      <c r="M119" s="5" t="s">
        <v>129</v>
      </c>
      <c r="N119" s="5" t="s">
        <v>1219</v>
      </c>
      <c r="O119" s="5">
        <v>5</v>
      </c>
      <c r="P119" s="5">
        <v>1198130845</v>
      </c>
      <c r="Q119" s="5">
        <v>22485191880</v>
      </c>
      <c r="R119" s="5" t="s">
        <v>1067</v>
      </c>
      <c r="S119" s="5"/>
      <c r="T119" s="5" t="s">
        <v>1220</v>
      </c>
      <c r="U119" s="5" t="s">
        <v>1079</v>
      </c>
      <c r="V119" s="5" t="s">
        <v>1079</v>
      </c>
      <c r="W119" s="5" t="s">
        <v>1221</v>
      </c>
      <c r="X119" s="5" t="s">
        <v>1102</v>
      </c>
      <c r="Y119" s="5" t="s">
        <v>1222</v>
      </c>
      <c r="Z119" s="5" t="s">
        <v>1223</v>
      </c>
      <c r="AA119" s="8">
        <v>45848</v>
      </c>
      <c r="AB119" s="5" t="s">
        <v>61</v>
      </c>
      <c r="AC119" s="5"/>
      <c r="AD119" s="8"/>
      <c r="AE119" s="5">
        <v>0</v>
      </c>
      <c r="AF119" s="5"/>
      <c r="AG119" s="5"/>
      <c r="AH119" s="5">
        <v>0</v>
      </c>
      <c r="AI119" s="8"/>
      <c r="AJ119" s="5"/>
      <c r="AK119" s="9"/>
      <c r="AL119" s="5"/>
      <c r="AM119" s="5"/>
    </row>
    <row r="120" spans="1:39" x14ac:dyDescent="0.3">
      <c r="A120" s="4" t="s">
        <v>1224</v>
      </c>
      <c r="B120" s="5">
        <v>2025</v>
      </c>
      <c r="C120" s="5" t="s">
        <v>40</v>
      </c>
      <c r="D120" s="5" t="s">
        <v>58</v>
      </c>
      <c r="E120" s="5" t="s">
        <v>42</v>
      </c>
      <c r="F120" s="6" t="s">
        <v>1225</v>
      </c>
      <c r="G120" s="7">
        <v>118</v>
      </c>
      <c r="H120" s="7" t="s">
        <v>1226</v>
      </c>
      <c r="I120" s="8">
        <v>45833</v>
      </c>
      <c r="J120" s="8">
        <v>45833</v>
      </c>
      <c r="K120" s="5"/>
      <c r="L120" s="5" t="s">
        <v>1227</v>
      </c>
      <c r="M120" s="5" t="s">
        <v>1228</v>
      </c>
      <c r="N120" s="5" t="s">
        <v>1229</v>
      </c>
      <c r="O120" s="5">
        <v>233</v>
      </c>
      <c r="P120" s="5">
        <v>1168107777</v>
      </c>
      <c r="Q120" s="5">
        <v>11681077776</v>
      </c>
      <c r="R120" s="5" t="s">
        <v>1230</v>
      </c>
      <c r="S120" s="5"/>
      <c r="T120" s="5" t="s">
        <v>1231</v>
      </c>
      <c r="U120" s="5" t="s">
        <v>1232</v>
      </c>
      <c r="V120" s="5" t="s">
        <v>1232</v>
      </c>
      <c r="W120" s="5" t="s">
        <v>1233</v>
      </c>
      <c r="X120" s="5" t="s">
        <v>134</v>
      </c>
      <c r="Y120" s="5" t="s">
        <v>1234</v>
      </c>
      <c r="Z120" s="5" t="s">
        <v>1235</v>
      </c>
      <c r="AA120" s="8">
        <v>45852</v>
      </c>
      <c r="AB120" s="5" t="s">
        <v>46</v>
      </c>
      <c r="AC120" s="5" t="s">
        <v>1235</v>
      </c>
      <c r="AD120" s="8">
        <v>45856</v>
      </c>
      <c r="AE120" s="5">
        <v>5200000</v>
      </c>
      <c r="AF120" s="5">
        <v>5200000</v>
      </c>
      <c r="AG120" s="5">
        <v>0</v>
      </c>
      <c r="AH120" s="5">
        <v>5200000</v>
      </c>
      <c r="AI120" s="8">
        <v>45869</v>
      </c>
      <c r="AJ120" s="5">
        <v>5200000</v>
      </c>
      <c r="AK120" s="9" t="s">
        <v>56</v>
      </c>
      <c r="AL120" s="5">
        <v>0</v>
      </c>
      <c r="AM120" s="5"/>
    </row>
    <row r="121" spans="1:39" x14ac:dyDescent="0.3">
      <c r="A121" s="4" t="s">
        <v>1236</v>
      </c>
      <c r="B121" s="5">
        <v>2025</v>
      </c>
      <c r="C121" s="5" t="s">
        <v>40</v>
      </c>
      <c r="D121" s="5" t="s">
        <v>314</v>
      </c>
      <c r="E121" s="5" t="s">
        <v>42</v>
      </c>
      <c r="F121" s="6" t="s">
        <v>1237</v>
      </c>
      <c r="G121" s="7">
        <v>119</v>
      </c>
      <c r="H121" s="7" t="s">
        <v>1226</v>
      </c>
      <c r="I121" s="8">
        <v>45833</v>
      </c>
      <c r="J121" s="8">
        <v>45833</v>
      </c>
      <c r="K121" s="5"/>
      <c r="L121" s="5" t="s">
        <v>218</v>
      </c>
      <c r="M121" s="5" t="s">
        <v>1238</v>
      </c>
      <c r="N121" s="5" t="s">
        <v>1239</v>
      </c>
      <c r="O121" s="5">
        <v>4</v>
      </c>
      <c r="P121" s="5">
        <v>1198130845</v>
      </c>
      <c r="Q121" s="5">
        <v>91303824841</v>
      </c>
      <c r="R121" s="5" t="s">
        <v>1067</v>
      </c>
      <c r="S121" s="5"/>
      <c r="T121" s="5" t="s">
        <v>1240</v>
      </c>
      <c r="U121" s="5" t="s">
        <v>1079</v>
      </c>
      <c r="V121" s="5" t="s">
        <v>1079</v>
      </c>
      <c r="W121" s="5" t="s">
        <v>1241</v>
      </c>
      <c r="X121" s="5" t="s">
        <v>1112</v>
      </c>
      <c r="Y121" s="5" t="s">
        <v>1242</v>
      </c>
      <c r="Z121" s="5" t="s">
        <v>1243</v>
      </c>
      <c r="AA121" s="8">
        <v>45856</v>
      </c>
      <c r="AB121" s="5" t="s">
        <v>218</v>
      </c>
      <c r="AC121" s="5"/>
      <c r="AD121" s="8"/>
      <c r="AE121" s="5">
        <v>0</v>
      </c>
      <c r="AF121" s="5"/>
      <c r="AG121" s="5"/>
      <c r="AH121" s="5">
        <v>0</v>
      </c>
      <c r="AI121" s="8"/>
      <c r="AJ121" s="5"/>
      <c r="AK121" s="9"/>
      <c r="AL121" s="5"/>
      <c r="AM121" s="5"/>
    </row>
    <row r="122" spans="1:39" x14ac:dyDescent="0.3">
      <c r="A122" s="4" t="s">
        <v>1244</v>
      </c>
      <c r="B122" s="5">
        <v>2025</v>
      </c>
      <c r="C122" s="5" t="s">
        <v>40</v>
      </c>
      <c r="D122" s="5"/>
      <c r="E122" s="5" t="s">
        <v>42</v>
      </c>
      <c r="F122" s="6" t="s">
        <v>1245</v>
      </c>
      <c r="G122" s="7">
        <v>120</v>
      </c>
      <c r="H122" s="7" t="s">
        <v>1226</v>
      </c>
      <c r="I122" s="8">
        <v>45834</v>
      </c>
      <c r="J122" s="8">
        <v>45834</v>
      </c>
      <c r="K122" s="5"/>
      <c r="L122" s="5" t="s">
        <v>46</v>
      </c>
      <c r="M122" s="5" t="s">
        <v>941</v>
      </c>
      <c r="N122" s="5" t="s">
        <v>1246</v>
      </c>
      <c r="O122" s="5">
        <v>3</v>
      </c>
      <c r="P122" s="5">
        <v>1198130845</v>
      </c>
      <c r="Q122" s="5">
        <v>91304524581</v>
      </c>
      <c r="R122" s="5" t="s">
        <v>1067</v>
      </c>
      <c r="S122" s="5"/>
      <c r="T122" s="5" t="s">
        <v>1247</v>
      </c>
      <c r="U122" s="5" t="s">
        <v>1079</v>
      </c>
      <c r="V122" s="5" t="s">
        <v>1079</v>
      </c>
      <c r="W122" s="5" t="s">
        <v>1248</v>
      </c>
      <c r="X122" s="5" t="s">
        <v>1112</v>
      </c>
      <c r="Y122" s="5" t="s">
        <v>1249</v>
      </c>
      <c r="Z122" s="5" t="s">
        <v>1250</v>
      </c>
      <c r="AA122" s="8">
        <v>45849</v>
      </c>
      <c r="AB122" s="5" t="s">
        <v>218</v>
      </c>
      <c r="AC122" s="5"/>
      <c r="AD122" s="8"/>
      <c r="AE122" s="5">
        <v>0</v>
      </c>
      <c r="AF122" s="5"/>
      <c r="AG122" s="5"/>
      <c r="AH122" s="5">
        <v>0</v>
      </c>
      <c r="AI122" s="8"/>
      <c r="AJ122" s="5"/>
      <c r="AK122" s="9"/>
      <c r="AL122" s="5"/>
      <c r="AM122" s="5"/>
    </row>
    <row r="123" spans="1:39" x14ac:dyDescent="0.3">
      <c r="A123" s="4" t="s">
        <v>1251</v>
      </c>
      <c r="B123" s="5">
        <v>2025</v>
      </c>
      <c r="C123" s="5" t="s">
        <v>40</v>
      </c>
      <c r="D123" s="5"/>
      <c r="E123" s="5" t="s">
        <v>42</v>
      </c>
      <c r="F123" s="6" t="s">
        <v>1252</v>
      </c>
      <c r="G123" s="7">
        <v>121</v>
      </c>
      <c r="H123" s="7" t="s">
        <v>1226</v>
      </c>
      <c r="I123" s="8">
        <v>45834</v>
      </c>
      <c r="J123" s="8">
        <v>45834</v>
      </c>
      <c r="K123" s="5"/>
      <c r="L123" s="5" t="s">
        <v>218</v>
      </c>
      <c r="M123" s="5" t="s">
        <v>1228</v>
      </c>
      <c r="N123" s="5" t="s">
        <v>1253</v>
      </c>
      <c r="O123" s="5">
        <v>1</v>
      </c>
      <c r="P123" s="5">
        <v>1198130845</v>
      </c>
      <c r="Q123" s="5">
        <v>92128621071</v>
      </c>
      <c r="R123" s="5" t="s">
        <v>1067</v>
      </c>
      <c r="S123" s="5"/>
      <c r="T123" s="5" t="s">
        <v>1254</v>
      </c>
      <c r="U123" s="5" t="s">
        <v>1255</v>
      </c>
      <c r="V123" s="5" t="s">
        <v>1255</v>
      </c>
      <c r="W123" s="5" t="s">
        <v>1256</v>
      </c>
      <c r="X123" s="5" t="s">
        <v>1112</v>
      </c>
      <c r="Y123" s="5" t="s">
        <v>1257</v>
      </c>
      <c r="Z123" s="5" t="s">
        <v>1258</v>
      </c>
      <c r="AA123" s="8">
        <v>45849</v>
      </c>
      <c r="AB123" s="5" t="s">
        <v>218</v>
      </c>
      <c r="AC123" s="5"/>
      <c r="AD123" s="8"/>
      <c r="AE123" s="5">
        <v>0</v>
      </c>
      <c r="AF123" s="5"/>
      <c r="AG123" s="5"/>
      <c r="AH123" s="5">
        <v>0</v>
      </c>
      <c r="AI123" s="8"/>
      <c r="AJ123" s="5"/>
      <c r="AK123" s="9"/>
      <c r="AL123" s="5"/>
      <c r="AM123" s="5"/>
    </row>
    <row r="124" spans="1:39" x14ac:dyDescent="0.3">
      <c r="A124" s="4" t="s">
        <v>1259</v>
      </c>
      <c r="B124" s="5">
        <v>2025</v>
      </c>
      <c r="C124" s="5" t="s">
        <v>40</v>
      </c>
      <c r="D124" s="5" t="s">
        <v>314</v>
      </c>
      <c r="E124" s="5" t="s">
        <v>42</v>
      </c>
      <c r="F124" s="6" t="s">
        <v>1260</v>
      </c>
      <c r="G124" s="7">
        <v>122</v>
      </c>
      <c r="H124" s="7" t="s">
        <v>1261</v>
      </c>
      <c r="I124" s="8">
        <v>45834</v>
      </c>
      <c r="J124" s="8">
        <v>45834</v>
      </c>
      <c r="K124" s="5"/>
      <c r="L124" s="5" t="s">
        <v>181</v>
      </c>
      <c r="M124" s="5" t="s">
        <v>334</v>
      </c>
      <c r="N124" s="5" t="s">
        <v>1262</v>
      </c>
      <c r="O124" s="5">
        <v>5</v>
      </c>
      <c r="P124" s="5">
        <v>1198130845</v>
      </c>
      <c r="Q124" s="5">
        <v>91920118401</v>
      </c>
      <c r="R124" s="5" t="s">
        <v>1067</v>
      </c>
      <c r="S124" s="5"/>
      <c r="T124" s="5" t="s">
        <v>1263</v>
      </c>
      <c r="U124" s="5" t="s">
        <v>1079</v>
      </c>
      <c r="V124" s="5" t="s">
        <v>1079</v>
      </c>
      <c r="W124" s="5" t="s">
        <v>1264</v>
      </c>
      <c r="X124" s="5"/>
      <c r="Y124" s="5" t="s">
        <v>1265</v>
      </c>
      <c r="Z124" s="5" t="s">
        <v>1266</v>
      </c>
      <c r="AA124" s="8">
        <v>45852</v>
      </c>
      <c r="AB124" s="5" t="s">
        <v>181</v>
      </c>
      <c r="AC124" s="5"/>
      <c r="AD124" s="8"/>
      <c r="AE124" s="5">
        <v>0</v>
      </c>
      <c r="AF124" s="5"/>
      <c r="AG124" s="5"/>
      <c r="AH124" s="5">
        <v>0</v>
      </c>
      <c r="AI124" s="8"/>
      <c r="AJ124" s="5"/>
      <c r="AK124" s="9"/>
      <c r="AL124" s="5"/>
      <c r="AM124" s="5"/>
    </row>
    <row r="125" spans="1:39" x14ac:dyDescent="0.3">
      <c r="A125" s="4" t="s">
        <v>1267</v>
      </c>
      <c r="B125" s="5">
        <v>2025</v>
      </c>
      <c r="C125" s="5" t="s">
        <v>40</v>
      </c>
      <c r="D125" s="5" t="s">
        <v>283</v>
      </c>
      <c r="E125" s="5" t="s">
        <v>42</v>
      </c>
      <c r="F125" s="6" t="s">
        <v>1268</v>
      </c>
      <c r="G125" s="7">
        <v>123</v>
      </c>
      <c r="H125" s="7" t="s">
        <v>1269</v>
      </c>
      <c r="I125" s="8">
        <v>45834</v>
      </c>
      <c r="J125" s="8">
        <v>45834</v>
      </c>
      <c r="K125" s="5"/>
      <c r="L125" s="5" t="s">
        <v>61</v>
      </c>
      <c r="M125" s="5" t="s">
        <v>42</v>
      </c>
      <c r="N125" s="5" t="s">
        <v>1270</v>
      </c>
      <c r="O125" s="5">
        <v>7</v>
      </c>
      <c r="P125" s="5">
        <v>3128136827</v>
      </c>
      <c r="Q125" s="5">
        <v>31281368270</v>
      </c>
      <c r="R125" s="5" t="s">
        <v>1271</v>
      </c>
      <c r="S125" s="5"/>
      <c r="T125" s="5" t="s">
        <v>1272</v>
      </c>
      <c r="U125" s="5" t="s">
        <v>1273</v>
      </c>
      <c r="V125" s="5" t="s">
        <v>1273</v>
      </c>
      <c r="W125" s="5" t="s">
        <v>1274</v>
      </c>
      <c r="X125" s="5" t="s">
        <v>224</v>
      </c>
      <c r="Y125" s="5" t="s">
        <v>1275</v>
      </c>
      <c r="Z125" s="5" t="s">
        <v>1276</v>
      </c>
      <c r="AA125" s="8">
        <v>45854</v>
      </c>
      <c r="AB125" s="5" t="s">
        <v>61</v>
      </c>
      <c r="AC125" s="5" t="s">
        <v>1276</v>
      </c>
      <c r="AD125" s="8" t="s">
        <v>69</v>
      </c>
      <c r="AE125" s="5">
        <v>1000000</v>
      </c>
      <c r="AF125" s="5">
        <v>0</v>
      </c>
      <c r="AG125" s="5">
        <v>1000000</v>
      </c>
      <c r="AH125" s="5">
        <v>1000000</v>
      </c>
      <c r="AI125" s="8" t="s">
        <v>69</v>
      </c>
      <c r="AJ125" s="5">
        <v>0</v>
      </c>
      <c r="AK125" s="9">
        <v>45867</v>
      </c>
      <c r="AL125" s="5">
        <v>1000000</v>
      </c>
      <c r="AM125" s="5"/>
    </row>
    <row r="126" spans="1:39" x14ac:dyDescent="0.3">
      <c r="A126" s="4" t="s">
        <v>1277</v>
      </c>
      <c r="B126" s="5">
        <v>2025</v>
      </c>
      <c r="C126" s="5" t="s">
        <v>40</v>
      </c>
      <c r="D126" s="5"/>
      <c r="E126" s="5" t="s">
        <v>42</v>
      </c>
      <c r="F126" s="6" t="s">
        <v>1278</v>
      </c>
      <c r="G126" s="7">
        <v>124</v>
      </c>
      <c r="H126" s="7" t="s">
        <v>1269</v>
      </c>
      <c r="I126" s="8">
        <v>45835</v>
      </c>
      <c r="J126" s="8">
        <v>45835</v>
      </c>
      <c r="K126" s="5"/>
      <c r="L126" s="5" t="s">
        <v>218</v>
      </c>
      <c r="M126" s="5" t="s">
        <v>1279</v>
      </c>
      <c r="N126" s="5" t="s">
        <v>1280</v>
      </c>
      <c r="O126" s="5">
        <v>4</v>
      </c>
      <c r="P126" s="5">
        <v>1198130845</v>
      </c>
      <c r="Q126" s="5">
        <v>91201670751</v>
      </c>
      <c r="R126" s="5" t="s">
        <v>1067</v>
      </c>
      <c r="S126" s="5"/>
      <c r="T126" s="5" t="s">
        <v>1281</v>
      </c>
      <c r="U126" s="5" t="s">
        <v>1282</v>
      </c>
      <c r="V126" s="5" t="s">
        <v>1282</v>
      </c>
      <c r="W126" s="5" t="s">
        <v>1283</v>
      </c>
      <c r="X126" s="5" t="s">
        <v>1102</v>
      </c>
      <c r="Y126" s="5" t="s">
        <v>1284</v>
      </c>
      <c r="Z126" s="5" t="s">
        <v>1285</v>
      </c>
      <c r="AA126" s="8">
        <v>45849</v>
      </c>
      <c r="AB126" s="5" t="s">
        <v>218</v>
      </c>
      <c r="AC126" s="5"/>
      <c r="AD126" s="8"/>
      <c r="AE126" s="5">
        <v>0</v>
      </c>
      <c r="AF126" s="5"/>
      <c r="AG126" s="5"/>
      <c r="AH126" s="5">
        <v>0</v>
      </c>
      <c r="AI126" s="8"/>
      <c r="AJ126" s="5"/>
      <c r="AK126" s="9"/>
      <c r="AL126" s="5"/>
      <c r="AM126" s="5"/>
    </row>
    <row r="127" spans="1:39" x14ac:dyDescent="0.3">
      <c r="A127" s="4" t="s">
        <v>1286</v>
      </c>
      <c r="B127" s="5">
        <v>2025</v>
      </c>
      <c r="C127" s="5" t="s">
        <v>40</v>
      </c>
      <c r="D127" s="5" t="s">
        <v>1287</v>
      </c>
      <c r="E127" s="5" t="s">
        <v>42</v>
      </c>
      <c r="F127" s="6" t="s">
        <v>1288</v>
      </c>
      <c r="G127" s="7">
        <v>125</v>
      </c>
      <c r="H127" s="7" t="s">
        <v>1289</v>
      </c>
      <c r="I127" s="8">
        <v>45835</v>
      </c>
      <c r="J127" s="8">
        <v>45835</v>
      </c>
      <c r="K127" s="5"/>
      <c r="L127" s="5" t="s">
        <v>1290</v>
      </c>
      <c r="M127" s="5" t="s">
        <v>42</v>
      </c>
      <c r="N127" s="5" t="s">
        <v>1291</v>
      </c>
      <c r="O127" s="5">
        <v>86</v>
      </c>
      <c r="P127" s="5">
        <v>3128149360</v>
      </c>
      <c r="Q127" s="5">
        <v>31281493600</v>
      </c>
      <c r="R127" s="5" t="s">
        <v>1292</v>
      </c>
      <c r="S127" s="5"/>
      <c r="T127" s="5" t="s">
        <v>1293</v>
      </c>
      <c r="U127" s="5" t="s">
        <v>1294</v>
      </c>
      <c r="V127" s="5" t="s">
        <v>1294</v>
      </c>
      <c r="W127" s="5" t="s">
        <v>1295</v>
      </c>
      <c r="X127" s="5" t="s">
        <v>134</v>
      </c>
      <c r="Y127" s="5" t="s">
        <v>1296</v>
      </c>
      <c r="Z127" s="5" t="s">
        <v>1297</v>
      </c>
      <c r="AA127" s="8">
        <v>45862</v>
      </c>
      <c r="AB127" s="5" t="s">
        <v>61</v>
      </c>
      <c r="AC127" s="5" t="s">
        <v>1298</v>
      </c>
      <c r="AD127" s="8">
        <v>45862</v>
      </c>
      <c r="AE127" s="5">
        <v>3500000</v>
      </c>
      <c r="AF127" s="5">
        <v>3500000</v>
      </c>
      <c r="AG127" s="5">
        <v>0</v>
      </c>
      <c r="AH127" s="5">
        <v>3500000</v>
      </c>
      <c r="AI127" s="8">
        <v>45901</v>
      </c>
      <c r="AJ127" s="5">
        <v>3500000</v>
      </c>
      <c r="AK127" s="9" t="s">
        <v>56</v>
      </c>
      <c r="AL127" s="5">
        <v>0</v>
      </c>
      <c r="AM127" s="5"/>
    </row>
    <row r="128" spans="1:39" x14ac:dyDescent="0.3">
      <c r="A128" s="4" t="s">
        <v>1299</v>
      </c>
      <c r="B128" s="5">
        <v>2025</v>
      </c>
      <c r="C128" s="5" t="s">
        <v>40</v>
      </c>
      <c r="D128" s="5"/>
      <c r="E128" s="5" t="s">
        <v>42</v>
      </c>
      <c r="F128" s="6" t="s">
        <v>1300</v>
      </c>
      <c r="G128" s="7">
        <v>126</v>
      </c>
      <c r="H128" s="7" t="s">
        <v>1301</v>
      </c>
      <c r="I128" s="8">
        <v>45838</v>
      </c>
      <c r="J128" s="8">
        <v>45838</v>
      </c>
      <c r="K128" s="5"/>
      <c r="L128" s="5" t="s">
        <v>218</v>
      </c>
      <c r="M128" s="5" t="s">
        <v>42</v>
      </c>
      <c r="N128" s="5" t="s">
        <v>1302</v>
      </c>
      <c r="O128" s="5">
        <v>14</v>
      </c>
      <c r="P128" s="5">
        <v>3118120865</v>
      </c>
      <c r="Q128" s="5">
        <v>31181208650</v>
      </c>
      <c r="R128" s="5" t="s">
        <v>1303</v>
      </c>
      <c r="S128" s="5"/>
      <c r="T128" s="5" t="s">
        <v>1304</v>
      </c>
      <c r="U128" s="5" t="s">
        <v>1305</v>
      </c>
      <c r="V128" s="5" t="s">
        <v>1305</v>
      </c>
      <c r="W128" s="5" t="s">
        <v>1303</v>
      </c>
      <c r="X128" s="5" t="s">
        <v>78</v>
      </c>
      <c r="Y128" s="5" t="s">
        <v>1306</v>
      </c>
      <c r="Z128" s="5" t="s">
        <v>1307</v>
      </c>
      <c r="AA128" s="8">
        <v>45853</v>
      </c>
      <c r="AB128" s="5" t="s">
        <v>218</v>
      </c>
      <c r="AC128" s="5" t="s">
        <v>1307</v>
      </c>
      <c r="AD128" s="8">
        <v>45853</v>
      </c>
      <c r="AE128" s="5">
        <v>700000</v>
      </c>
      <c r="AF128" s="5">
        <v>300000</v>
      </c>
      <c r="AG128" s="5">
        <v>400000</v>
      </c>
      <c r="AH128" s="5">
        <v>700000</v>
      </c>
      <c r="AI128" s="8">
        <v>46022</v>
      </c>
      <c r="AJ128" s="5">
        <v>300000</v>
      </c>
      <c r="AK128" s="9">
        <v>45867</v>
      </c>
      <c r="AL128" s="5">
        <v>400000</v>
      </c>
      <c r="AM128" s="5"/>
    </row>
    <row r="129" spans="1:39" x14ac:dyDescent="0.3">
      <c r="A129" s="4" t="s">
        <v>1308</v>
      </c>
      <c r="B129" s="5">
        <v>2025</v>
      </c>
      <c r="C129" s="5" t="s">
        <v>40</v>
      </c>
      <c r="D129" s="5" t="s">
        <v>1309</v>
      </c>
      <c r="E129" s="5" t="s">
        <v>42</v>
      </c>
      <c r="F129" s="6" t="s">
        <v>1310</v>
      </c>
      <c r="G129" s="7">
        <v>127</v>
      </c>
      <c r="H129" s="7" t="s">
        <v>1311</v>
      </c>
      <c r="I129" s="8">
        <v>45838</v>
      </c>
      <c r="J129" s="8">
        <v>45838</v>
      </c>
      <c r="K129" s="5"/>
      <c r="L129" s="5" t="s">
        <v>1312</v>
      </c>
      <c r="M129" s="5" t="s">
        <v>241</v>
      </c>
      <c r="N129" s="5" t="s">
        <v>1313</v>
      </c>
      <c r="O129" s="5">
        <v>297</v>
      </c>
      <c r="P129" s="5">
        <v>2298105769</v>
      </c>
      <c r="Q129" s="5">
        <v>22981057690</v>
      </c>
      <c r="R129" s="5" t="s">
        <v>1314</v>
      </c>
      <c r="S129" s="5"/>
      <c r="T129" s="5" t="s">
        <v>1315</v>
      </c>
      <c r="U129" s="5" t="s">
        <v>1316</v>
      </c>
      <c r="V129" s="5" t="s">
        <v>1316</v>
      </c>
      <c r="W129" s="5" t="s">
        <v>1317</v>
      </c>
      <c r="X129" s="5" t="s">
        <v>134</v>
      </c>
      <c r="Y129" s="5" t="s">
        <v>1318</v>
      </c>
      <c r="Z129" s="5" t="s">
        <v>1319</v>
      </c>
      <c r="AA129" s="8">
        <v>45860</v>
      </c>
      <c r="AB129" s="5" t="s">
        <v>73</v>
      </c>
      <c r="AC129" s="5" t="s">
        <v>1320</v>
      </c>
      <c r="AD129" s="8">
        <v>45859</v>
      </c>
      <c r="AE129" s="5">
        <v>3500000</v>
      </c>
      <c r="AF129" s="5">
        <v>3500000</v>
      </c>
      <c r="AG129" s="5">
        <v>0</v>
      </c>
      <c r="AH129" s="5">
        <v>3500000</v>
      </c>
      <c r="AI129" s="8">
        <v>45894</v>
      </c>
      <c r="AJ129" s="5">
        <v>3500000</v>
      </c>
      <c r="AK129" s="9" t="s">
        <v>56</v>
      </c>
      <c r="AL129" s="5">
        <v>0</v>
      </c>
      <c r="AM129" s="5"/>
    </row>
    <row r="130" spans="1:39" x14ac:dyDescent="0.3">
      <c r="A130" s="5" t="s">
        <v>1321</v>
      </c>
      <c r="B130" s="5">
        <v>2025</v>
      </c>
      <c r="C130" s="5" t="s">
        <v>40</v>
      </c>
      <c r="D130" s="5" t="s">
        <v>94</v>
      </c>
      <c r="E130" s="5" t="s">
        <v>1322</v>
      </c>
      <c r="F130" s="5" t="s">
        <v>1323</v>
      </c>
      <c r="G130" s="7">
        <v>1</v>
      </c>
      <c r="H130" s="7" t="s">
        <v>1324</v>
      </c>
      <c r="I130" s="8">
        <v>45670</v>
      </c>
      <c r="J130" s="8">
        <v>45670</v>
      </c>
      <c r="K130" s="5"/>
      <c r="L130" s="5" t="s">
        <v>97</v>
      </c>
      <c r="M130" s="5" t="s">
        <v>1322</v>
      </c>
      <c r="N130" s="5" t="s">
        <v>1325</v>
      </c>
      <c r="O130" s="5">
        <v>1</v>
      </c>
      <c r="P130" s="5">
        <v>3142044036</v>
      </c>
      <c r="Q130" s="5">
        <v>31420440360</v>
      </c>
      <c r="R130" s="5" t="s">
        <v>1326</v>
      </c>
      <c r="S130" s="5"/>
      <c r="T130" s="5" t="s">
        <v>1327</v>
      </c>
      <c r="U130" s="5" t="s">
        <v>1328</v>
      </c>
      <c r="V130" s="5" t="s">
        <v>1329</v>
      </c>
      <c r="W130" s="5" t="s">
        <v>1326</v>
      </c>
      <c r="X130" s="5" t="s">
        <v>78</v>
      </c>
      <c r="Y130" s="5" t="s">
        <v>1330</v>
      </c>
      <c r="Z130" s="5" t="s">
        <v>1331</v>
      </c>
      <c r="AA130" s="8">
        <v>45694</v>
      </c>
      <c r="AB130" s="5" t="s">
        <v>61</v>
      </c>
      <c r="AC130" s="5" t="s">
        <v>1331</v>
      </c>
      <c r="AD130" s="8">
        <v>45695</v>
      </c>
      <c r="AE130" s="5">
        <v>600000</v>
      </c>
      <c r="AF130" s="5">
        <v>200000</v>
      </c>
      <c r="AG130" s="5">
        <v>400000</v>
      </c>
      <c r="AH130" s="5">
        <v>600000</v>
      </c>
      <c r="AI130" s="8">
        <v>45696</v>
      </c>
      <c r="AJ130" s="5">
        <v>200000</v>
      </c>
      <c r="AK130" s="9">
        <v>45729</v>
      </c>
      <c r="AL130" s="5">
        <v>400000</v>
      </c>
      <c r="AM130" s="5" t="s">
        <v>1332</v>
      </c>
    </row>
    <row r="131" spans="1:39" x14ac:dyDescent="0.3">
      <c r="A131" s="5" t="s">
        <v>1333</v>
      </c>
      <c r="B131" s="5">
        <v>2025</v>
      </c>
      <c r="C131" s="5" t="s">
        <v>40</v>
      </c>
      <c r="D131" s="5" t="s">
        <v>94</v>
      </c>
      <c r="E131" s="5" t="s">
        <v>1322</v>
      </c>
      <c r="F131" s="5" t="s">
        <v>1334</v>
      </c>
      <c r="G131" s="7">
        <v>2</v>
      </c>
      <c r="H131" s="7" t="s">
        <v>1324</v>
      </c>
      <c r="I131" s="8">
        <v>45670</v>
      </c>
      <c r="J131" s="8">
        <v>45670</v>
      </c>
      <c r="K131" s="5"/>
      <c r="L131" s="5" t="s">
        <v>73</v>
      </c>
      <c r="M131" s="5" t="s">
        <v>1322</v>
      </c>
      <c r="N131" s="5" t="s">
        <v>1335</v>
      </c>
      <c r="O131" s="5">
        <v>2</v>
      </c>
      <c r="P131" s="5">
        <v>6294700811</v>
      </c>
      <c r="Q131" s="5">
        <v>62947008110</v>
      </c>
      <c r="R131" s="5" t="s">
        <v>1336</v>
      </c>
      <c r="S131" s="5"/>
      <c r="T131" s="5" t="s">
        <v>1337</v>
      </c>
      <c r="U131" s="5" t="s">
        <v>1338</v>
      </c>
      <c r="V131" s="5" t="s">
        <v>1339</v>
      </c>
      <c r="W131" s="5" t="s">
        <v>1340</v>
      </c>
      <c r="X131" s="5"/>
      <c r="Y131" s="5" t="s">
        <v>1341</v>
      </c>
      <c r="Z131" s="5" t="s">
        <v>1342</v>
      </c>
      <c r="AA131" s="8">
        <v>45694</v>
      </c>
      <c r="AB131" s="5" t="s">
        <v>61</v>
      </c>
      <c r="AC131" s="5" t="s">
        <v>1342</v>
      </c>
      <c r="AD131" s="8">
        <v>45695</v>
      </c>
      <c r="AE131" s="5">
        <v>600000</v>
      </c>
      <c r="AF131" s="5">
        <v>200000</v>
      </c>
      <c r="AG131" s="5">
        <v>400000</v>
      </c>
      <c r="AH131" s="5">
        <v>600000</v>
      </c>
      <c r="AI131" s="8">
        <v>45930</v>
      </c>
      <c r="AJ131" s="5">
        <v>200000</v>
      </c>
      <c r="AK131" s="9">
        <v>45729</v>
      </c>
      <c r="AL131" s="5">
        <v>400000</v>
      </c>
      <c r="AM131" s="5"/>
    </row>
    <row r="132" spans="1:39" x14ac:dyDescent="0.3">
      <c r="A132" s="5" t="s">
        <v>1343</v>
      </c>
      <c r="B132" s="5">
        <v>2025</v>
      </c>
      <c r="C132" s="5" t="s">
        <v>40</v>
      </c>
      <c r="D132" s="5" t="s">
        <v>94</v>
      </c>
      <c r="E132" s="5" t="s">
        <v>1322</v>
      </c>
      <c r="F132" s="5" t="s">
        <v>1344</v>
      </c>
      <c r="G132" s="7">
        <v>3</v>
      </c>
      <c r="H132" s="7" t="s">
        <v>44</v>
      </c>
      <c r="I132" s="8">
        <v>45670</v>
      </c>
      <c r="J132" s="8">
        <v>45670</v>
      </c>
      <c r="K132" s="5"/>
      <c r="L132" s="5" t="s">
        <v>61</v>
      </c>
      <c r="M132" s="5" t="s">
        <v>1322</v>
      </c>
      <c r="N132" s="5" t="s">
        <v>1345</v>
      </c>
      <c r="O132" s="5">
        <v>6</v>
      </c>
      <c r="P132" s="5">
        <v>3188104473</v>
      </c>
      <c r="Q132" s="5">
        <v>31881044730</v>
      </c>
      <c r="R132" s="5" t="s">
        <v>1346</v>
      </c>
      <c r="S132" s="5"/>
      <c r="T132" s="5" t="s">
        <v>1347</v>
      </c>
      <c r="U132" s="5" t="s">
        <v>1348</v>
      </c>
      <c r="V132" s="5" t="s">
        <v>1349</v>
      </c>
      <c r="W132" s="5" t="s">
        <v>1346</v>
      </c>
      <c r="X132" s="5" t="s">
        <v>78</v>
      </c>
      <c r="Y132" s="5" t="s">
        <v>1350</v>
      </c>
      <c r="Z132" s="5" t="s">
        <v>1351</v>
      </c>
      <c r="AA132" s="8">
        <v>45694</v>
      </c>
      <c r="AB132" s="5" t="s">
        <v>61</v>
      </c>
      <c r="AC132" s="5" t="s">
        <v>1351</v>
      </c>
      <c r="AD132" s="8">
        <v>45695</v>
      </c>
      <c r="AE132" s="5">
        <v>600000</v>
      </c>
      <c r="AF132" s="5">
        <v>200000</v>
      </c>
      <c r="AG132" s="5">
        <v>400000</v>
      </c>
      <c r="AH132" s="5">
        <v>600000</v>
      </c>
      <c r="AI132" s="8">
        <v>45695</v>
      </c>
      <c r="AJ132" s="5">
        <v>200000</v>
      </c>
      <c r="AK132" s="9">
        <v>45729</v>
      </c>
      <c r="AL132" s="5">
        <v>400000</v>
      </c>
      <c r="AM132" s="5"/>
    </row>
    <row r="133" spans="1:39" x14ac:dyDescent="0.3">
      <c r="A133" s="5" t="s">
        <v>1352</v>
      </c>
      <c r="B133" s="5">
        <v>2025</v>
      </c>
      <c r="C133" s="5" t="s">
        <v>40</v>
      </c>
      <c r="D133" s="5" t="s">
        <v>94</v>
      </c>
      <c r="E133" s="5" t="s">
        <v>1322</v>
      </c>
      <c r="F133" s="5" t="s">
        <v>1353</v>
      </c>
      <c r="G133" s="7">
        <v>4</v>
      </c>
      <c r="H133" s="7" t="s">
        <v>60</v>
      </c>
      <c r="I133" s="8">
        <v>45670</v>
      </c>
      <c r="J133" s="8">
        <v>45670</v>
      </c>
      <c r="K133" s="5"/>
      <c r="L133" s="5" t="s">
        <v>46</v>
      </c>
      <c r="M133" s="5" t="s">
        <v>1322</v>
      </c>
      <c r="N133" s="5" t="s">
        <v>1354</v>
      </c>
      <c r="O133" s="5">
        <v>5</v>
      </c>
      <c r="P133" s="5">
        <v>3578602873</v>
      </c>
      <c r="Q133" s="5">
        <v>35786028730</v>
      </c>
      <c r="R133" s="5" t="s">
        <v>1355</v>
      </c>
      <c r="S133" s="5"/>
      <c r="T133" s="5" t="s">
        <v>1356</v>
      </c>
      <c r="U133" s="5" t="s">
        <v>1357</v>
      </c>
      <c r="V133" s="5" t="s">
        <v>1358</v>
      </c>
      <c r="W133" s="5" t="s">
        <v>1355</v>
      </c>
      <c r="X133" s="5" t="s">
        <v>78</v>
      </c>
      <c r="Y133" s="5" t="s">
        <v>1359</v>
      </c>
      <c r="Z133" s="5" t="s">
        <v>1360</v>
      </c>
      <c r="AA133" s="8">
        <v>45693</v>
      </c>
      <c r="AB133" s="5" t="s">
        <v>181</v>
      </c>
      <c r="AC133" s="5" t="s">
        <v>1360</v>
      </c>
      <c r="AD133" s="8">
        <v>45695</v>
      </c>
      <c r="AE133" s="5">
        <v>600000</v>
      </c>
      <c r="AF133" s="5">
        <v>200000</v>
      </c>
      <c r="AG133" s="5">
        <v>400000</v>
      </c>
      <c r="AH133" s="5">
        <v>600000</v>
      </c>
      <c r="AI133" s="8">
        <v>45700</v>
      </c>
      <c r="AJ133" s="5">
        <v>200000</v>
      </c>
      <c r="AK133" s="9">
        <v>45729</v>
      </c>
      <c r="AL133" s="5">
        <v>400000</v>
      </c>
      <c r="AM133" s="5"/>
    </row>
    <row r="134" spans="1:39" x14ac:dyDescent="0.3">
      <c r="A134" s="5" t="s">
        <v>1361</v>
      </c>
      <c r="B134" s="5">
        <v>2025</v>
      </c>
      <c r="C134" s="5" t="s">
        <v>40</v>
      </c>
      <c r="D134" s="5" t="s">
        <v>94</v>
      </c>
      <c r="E134" s="5" t="s">
        <v>1322</v>
      </c>
      <c r="F134" s="5" t="s">
        <v>1362</v>
      </c>
      <c r="G134" s="7">
        <v>5</v>
      </c>
      <c r="H134" s="7" t="s">
        <v>83</v>
      </c>
      <c r="I134" s="8">
        <v>45670</v>
      </c>
      <c r="J134" s="8">
        <v>45670</v>
      </c>
      <c r="K134" s="5"/>
      <c r="L134" s="5" t="s">
        <v>218</v>
      </c>
      <c r="M134" s="5" t="s">
        <v>1322</v>
      </c>
      <c r="N134" s="5" t="s">
        <v>1363</v>
      </c>
      <c r="O134" s="5">
        <v>11</v>
      </c>
      <c r="P134" s="5">
        <v>8235000387</v>
      </c>
      <c r="Q134" s="5">
        <v>82350003870</v>
      </c>
      <c r="R134" s="5" t="s">
        <v>1364</v>
      </c>
      <c r="S134" s="5"/>
      <c r="T134" s="5" t="s">
        <v>1365</v>
      </c>
      <c r="U134" s="5" t="s">
        <v>1366</v>
      </c>
      <c r="V134" s="5" t="s">
        <v>1367</v>
      </c>
      <c r="W134" s="5" t="s">
        <v>1368</v>
      </c>
      <c r="X134" s="5" t="s">
        <v>78</v>
      </c>
      <c r="Y134" s="5" t="s">
        <v>1369</v>
      </c>
      <c r="Z134" s="5" t="s">
        <v>1370</v>
      </c>
      <c r="AA134" s="8">
        <v>45720</v>
      </c>
      <c r="AB134" s="5" t="s">
        <v>181</v>
      </c>
      <c r="AC134" s="5" t="s">
        <v>1370</v>
      </c>
      <c r="AD134" s="8">
        <v>45695</v>
      </c>
      <c r="AE134" s="5">
        <v>600000</v>
      </c>
      <c r="AF134" s="5">
        <v>200000</v>
      </c>
      <c r="AG134" s="5">
        <v>400000</v>
      </c>
      <c r="AH134" s="5">
        <v>600000</v>
      </c>
      <c r="AI134" s="8">
        <v>45742</v>
      </c>
      <c r="AJ134" s="5">
        <v>200000</v>
      </c>
      <c r="AK134" s="9">
        <v>45762</v>
      </c>
      <c r="AL134" s="5">
        <v>400000</v>
      </c>
      <c r="AM134" s="5"/>
    </row>
    <row r="135" spans="1:39" x14ac:dyDescent="0.3">
      <c r="A135" s="5" t="s">
        <v>1371</v>
      </c>
      <c r="B135" s="5">
        <v>2025</v>
      </c>
      <c r="C135" s="5" t="s">
        <v>40</v>
      </c>
      <c r="D135" s="5" t="s">
        <v>94</v>
      </c>
      <c r="E135" s="5" t="s">
        <v>1322</v>
      </c>
      <c r="F135" s="5" t="s">
        <v>1372</v>
      </c>
      <c r="G135" s="7">
        <v>6</v>
      </c>
      <c r="H135" s="7" t="s">
        <v>96</v>
      </c>
      <c r="I135" s="8">
        <v>45670</v>
      </c>
      <c r="J135" s="8">
        <v>45670</v>
      </c>
      <c r="K135" s="5"/>
      <c r="L135" s="5" t="s">
        <v>181</v>
      </c>
      <c r="M135" s="5" t="s">
        <v>1322</v>
      </c>
      <c r="N135" s="5" t="s">
        <v>1373</v>
      </c>
      <c r="O135" s="5">
        <v>8</v>
      </c>
      <c r="P135" s="5">
        <v>4011261649</v>
      </c>
      <c r="Q135" s="5">
        <v>40112616490</v>
      </c>
      <c r="R135" s="5" t="s">
        <v>1374</v>
      </c>
      <c r="S135" s="5"/>
      <c r="T135" s="5" t="s">
        <v>1375</v>
      </c>
      <c r="U135" s="5" t="s">
        <v>1376</v>
      </c>
      <c r="V135" s="5" t="s">
        <v>1377</v>
      </c>
      <c r="W135" s="5" t="s">
        <v>1374</v>
      </c>
      <c r="X135" s="5" t="s">
        <v>78</v>
      </c>
      <c r="Y135" s="5" t="s">
        <v>1378</v>
      </c>
      <c r="Z135" s="5" t="s">
        <v>1379</v>
      </c>
      <c r="AA135" s="8">
        <v>45693</v>
      </c>
      <c r="AB135" s="5" t="s">
        <v>181</v>
      </c>
      <c r="AC135" s="5" t="s">
        <v>1379</v>
      </c>
      <c r="AD135" s="8">
        <v>45695</v>
      </c>
      <c r="AE135" s="5">
        <v>600000</v>
      </c>
      <c r="AF135" s="5">
        <v>200000</v>
      </c>
      <c r="AG135" s="5">
        <v>400000</v>
      </c>
      <c r="AH135" s="5">
        <v>600000</v>
      </c>
      <c r="AI135" s="8">
        <v>45699</v>
      </c>
      <c r="AJ135" s="5">
        <v>200000</v>
      </c>
      <c r="AK135" s="9">
        <v>45729</v>
      </c>
      <c r="AL135" s="5">
        <v>400000</v>
      </c>
      <c r="AM135" s="5"/>
    </row>
    <row r="136" spans="1:39" x14ac:dyDescent="0.3">
      <c r="A136" s="5" t="s">
        <v>1380</v>
      </c>
      <c r="B136" s="5">
        <v>2025</v>
      </c>
      <c r="C136" s="5" t="s">
        <v>40</v>
      </c>
      <c r="D136" s="5" t="s">
        <v>94</v>
      </c>
      <c r="E136" s="5" t="s">
        <v>1322</v>
      </c>
      <c r="F136" s="5" t="s">
        <v>1381</v>
      </c>
      <c r="G136" s="7">
        <v>7</v>
      </c>
      <c r="H136" s="7" t="s">
        <v>106</v>
      </c>
      <c r="I136" s="8">
        <v>45671</v>
      </c>
      <c r="J136" s="8">
        <v>45671</v>
      </c>
      <c r="K136" s="5"/>
      <c r="L136" s="5" t="s">
        <v>97</v>
      </c>
      <c r="M136" s="5" t="s">
        <v>1322</v>
      </c>
      <c r="N136" s="5" t="s">
        <v>1382</v>
      </c>
      <c r="O136" s="5">
        <v>18</v>
      </c>
      <c r="P136" s="5">
        <v>5678103213</v>
      </c>
      <c r="Q136" s="5">
        <v>56781032130</v>
      </c>
      <c r="R136" s="5" t="s">
        <v>1383</v>
      </c>
      <c r="S136" s="5"/>
      <c r="T136" s="5" t="s">
        <v>1384</v>
      </c>
      <c r="U136" s="5" t="s">
        <v>1385</v>
      </c>
      <c r="V136" s="5" t="s">
        <v>1386</v>
      </c>
      <c r="W136" s="5" t="s">
        <v>1387</v>
      </c>
      <c r="X136" s="5" t="s">
        <v>1388</v>
      </c>
      <c r="Y136" s="5" t="s">
        <v>1389</v>
      </c>
      <c r="Z136" s="5" t="s">
        <v>1390</v>
      </c>
      <c r="AA136" s="8">
        <v>45700</v>
      </c>
      <c r="AB136" s="5" t="s">
        <v>73</v>
      </c>
      <c r="AC136" s="5" t="s">
        <v>1390</v>
      </c>
      <c r="AD136" s="8">
        <v>45705</v>
      </c>
      <c r="AE136" s="5">
        <v>1200000</v>
      </c>
      <c r="AF136" s="5">
        <v>200000</v>
      </c>
      <c r="AG136" s="5">
        <v>1000000</v>
      </c>
      <c r="AH136" s="5">
        <v>1200000</v>
      </c>
      <c r="AI136" s="8">
        <v>45705</v>
      </c>
      <c r="AJ136" s="5">
        <v>200000</v>
      </c>
      <c r="AK136" s="9">
        <v>45729</v>
      </c>
      <c r="AL136" s="5">
        <v>1000000</v>
      </c>
      <c r="AM136" s="5"/>
    </row>
    <row r="137" spans="1:39" x14ac:dyDescent="0.3">
      <c r="A137" s="5" t="s">
        <v>1391</v>
      </c>
      <c r="B137" s="5">
        <v>2025</v>
      </c>
      <c r="C137" s="5" t="s">
        <v>40</v>
      </c>
      <c r="D137" s="5" t="s">
        <v>94</v>
      </c>
      <c r="E137" s="5" t="s">
        <v>1322</v>
      </c>
      <c r="F137" s="5" t="s">
        <v>1392</v>
      </c>
      <c r="G137" s="7">
        <v>8</v>
      </c>
      <c r="H137" s="7" t="s">
        <v>106</v>
      </c>
      <c r="I137" s="8">
        <v>45671</v>
      </c>
      <c r="J137" s="8">
        <v>45671</v>
      </c>
      <c r="K137" s="5"/>
      <c r="L137" s="5" t="s">
        <v>73</v>
      </c>
      <c r="M137" s="5" t="s">
        <v>1322</v>
      </c>
      <c r="N137" s="5" t="s">
        <v>1393</v>
      </c>
      <c r="O137" s="5">
        <v>2</v>
      </c>
      <c r="P137" s="5">
        <v>3180131226</v>
      </c>
      <c r="Q137" s="5">
        <v>31801312260</v>
      </c>
      <c r="R137" s="5" t="s">
        <v>1394</v>
      </c>
      <c r="S137" s="5"/>
      <c r="T137" s="5" t="s">
        <v>1395</v>
      </c>
      <c r="U137" s="5" t="s">
        <v>1396</v>
      </c>
      <c r="V137" s="5" t="s">
        <v>1397</v>
      </c>
      <c r="W137" s="5" t="s">
        <v>1394</v>
      </c>
      <c r="X137" s="5" t="s">
        <v>78</v>
      </c>
      <c r="Y137" s="5" t="s">
        <v>1398</v>
      </c>
      <c r="Z137" s="5" t="s">
        <v>1399</v>
      </c>
      <c r="AA137" s="8">
        <v>45700</v>
      </c>
      <c r="AB137" s="5" t="s">
        <v>73</v>
      </c>
      <c r="AC137" s="5" t="s">
        <v>1399</v>
      </c>
      <c r="AD137" s="8">
        <v>45705</v>
      </c>
      <c r="AE137" s="5">
        <v>600000</v>
      </c>
      <c r="AF137" s="5">
        <v>200000</v>
      </c>
      <c r="AG137" s="5">
        <v>400000</v>
      </c>
      <c r="AH137" s="5">
        <v>600000</v>
      </c>
      <c r="AI137" s="8">
        <v>45705</v>
      </c>
      <c r="AJ137" s="5">
        <v>200000</v>
      </c>
      <c r="AK137" s="9">
        <v>45729</v>
      </c>
      <c r="AL137" s="5">
        <v>400000</v>
      </c>
      <c r="AM137" s="5"/>
    </row>
    <row r="138" spans="1:39" x14ac:dyDescent="0.3">
      <c r="A138" s="5" t="s">
        <v>1400</v>
      </c>
      <c r="B138" s="5">
        <v>2025</v>
      </c>
      <c r="C138" s="5" t="s">
        <v>40</v>
      </c>
      <c r="D138" s="5" t="s">
        <v>94</v>
      </c>
      <c r="E138" s="5" t="s">
        <v>1322</v>
      </c>
      <c r="F138" s="5" t="s">
        <v>1401</v>
      </c>
      <c r="G138" s="7">
        <v>9</v>
      </c>
      <c r="H138" s="7" t="s">
        <v>117</v>
      </c>
      <c r="I138" s="8">
        <v>45671</v>
      </c>
      <c r="J138" s="8">
        <v>45671</v>
      </c>
      <c r="K138" s="5"/>
      <c r="L138" s="5" t="s">
        <v>61</v>
      </c>
      <c r="M138" s="5" t="s">
        <v>1322</v>
      </c>
      <c r="N138" s="5" t="s">
        <v>1402</v>
      </c>
      <c r="O138" s="5">
        <v>8</v>
      </c>
      <c r="P138" s="5">
        <v>3062971855</v>
      </c>
      <c r="Q138" s="5">
        <v>30629718550</v>
      </c>
      <c r="R138" s="5" t="s">
        <v>1403</v>
      </c>
      <c r="S138" s="5"/>
      <c r="T138" s="5" t="s">
        <v>1404</v>
      </c>
      <c r="U138" s="5" t="s">
        <v>1405</v>
      </c>
      <c r="V138" s="5" t="s">
        <v>1406</v>
      </c>
      <c r="W138" s="5" t="s">
        <v>1407</v>
      </c>
      <c r="X138" s="5" t="s">
        <v>78</v>
      </c>
      <c r="Y138" s="5" t="s">
        <v>1408</v>
      </c>
      <c r="Z138" s="5" t="s">
        <v>1409</v>
      </c>
      <c r="AA138" s="8">
        <v>45695</v>
      </c>
      <c r="AB138" s="5" t="s">
        <v>218</v>
      </c>
      <c r="AC138" s="5" t="s">
        <v>1409</v>
      </c>
      <c r="AD138" s="8">
        <v>45698</v>
      </c>
      <c r="AE138" s="5">
        <v>600000</v>
      </c>
      <c r="AF138" s="5">
        <v>200000</v>
      </c>
      <c r="AG138" s="5">
        <v>400000</v>
      </c>
      <c r="AH138" s="5">
        <v>600000</v>
      </c>
      <c r="AI138" s="8">
        <v>45730</v>
      </c>
      <c r="AJ138" s="5">
        <v>200000</v>
      </c>
      <c r="AK138" s="9">
        <v>45729</v>
      </c>
      <c r="AL138" s="5">
        <v>400000</v>
      </c>
      <c r="AM138" s="5"/>
    </row>
    <row r="139" spans="1:39" x14ac:dyDescent="0.3">
      <c r="A139" s="5" t="s">
        <v>1410</v>
      </c>
      <c r="B139" s="5">
        <v>2025</v>
      </c>
      <c r="C139" s="5" t="s">
        <v>40</v>
      </c>
      <c r="D139" s="5" t="s">
        <v>94</v>
      </c>
      <c r="E139" s="5" t="s">
        <v>1322</v>
      </c>
      <c r="F139" s="5" t="s">
        <v>1411</v>
      </c>
      <c r="G139" s="7">
        <v>10</v>
      </c>
      <c r="H139" s="7" t="s">
        <v>117</v>
      </c>
      <c r="I139" s="8">
        <v>45671</v>
      </c>
      <c r="J139" s="8">
        <v>45671</v>
      </c>
      <c r="K139" s="5"/>
      <c r="L139" s="5" t="s">
        <v>218</v>
      </c>
      <c r="M139" s="5" t="s">
        <v>1322</v>
      </c>
      <c r="N139" s="5" t="s">
        <v>1412</v>
      </c>
      <c r="O139" s="5">
        <v>3</v>
      </c>
      <c r="P139" s="5">
        <v>3051899553</v>
      </c>
      <c r="Q139" s="5">
        <v>30518995530</v>
      </c>
      <c r="R139" s="5" t="s">
        <v>1413</v>
      </c>
      <c r="S139" s="5"/>
      <c r="T139" s="5" t="s">
        <v>1404</v>
      </c>
      <c r="U139" s="5" t="s">
        <v>1414</v>
      </c>
      <c r="V139" s="5" t="s">
        <v>1415</v>
      </c>
      <c r="W139" s="5" t="s">
        <v>1413</v>
      </c>
      <c r="X139" s="5" t="s">
        <v>78</v>
      </c>
      <c r="Y139" s="5" t="s">
        <v>1416</v>
      </c>
      <c r="Z139" s="5" t="s">
        <v>1417</v>
      </c>
      <c r="AA139" s="8">
        <v>45695</v>
      </c>
      <c r="AB139" s="5" t="s">
        <v>218</v>
      </c>
      <c r="AC139" s="5" t="s">
        <v>1417</v>
      </c>
      <c r="AD139" s="8">
        <v>45698</v>
      </c>
      <c r="AE139" s="5">
        <v>600000</v>
      </c>
      <c r="AF139" s="5">
        <v>200000</v>
      </c>
      <c r="AG139" s="5">
        <v>400000</v>
      </c>
      <c r="AH139" s="5">
        <v>600000</v>
      </c>
      <c r="AI139" s="8">
        <v>45705</v>
      </c>
      <c r="AJ139" s="5">
        <v>200000</v>
      </c>
      <c r="AK139" s="9">
        <v>45729</v>
      </c>
      <c r="AL139" s="5">
        <v>400000</v>
      </c>
      <c r="AM139" s="5"/>
    </row>
    <row r="140" spans="1:39" x14ac:dyDescent="0.3">
      <c r="A140" s="5" t="s">
        <v>1418</v>
      </c>
      <c r="B140" s="5">
        <v>2025</v>
      </c>
      <c r="C140" s="5" t="s">
        <v>40</v>
      </c>
      <c r="D140" s="5" t="s">
        <v>94</v>
      </c>
      <c r="E140" s="5" t="s">
        <v>1322</v>
      </c>
      <c r="F140" s="5" t="s">
        <v>1419</v>
      </c>
      <c r="G140" s="7">
        <v>11</v>
      </c>
      <c r="H140" s="7" t="s">
        <v>117</v>
      </c>
      <c r="I140" s="8">
        <v>45671</v>
      </c>
      <c r="J140" s="8">
        <v>45671</v>
      </c>
      <c r="K140" s="5"/>
      <c r="L140" s="5" t="s">
        <v>181</v>
      </c>
      <c r="M140" s="5" t="s">
        <v>1322</v>
      </c>
      <c r="N140" s="5" t="s">
        <v>1420</v>
      </c>
      <c r="O140" s="5">
        <v>2</v>
      </c>
      <c r="P140" s="5">
        <v>4162593328</v>
      </c>
      <c r="Q140" s="5">
        <v>41625933280</v>
      </c>
      <c r="R140" s="5" t="s">
        <v>1421</v>
      </c>
      <c r="S140" s="5"/>
      <c r="T140" s="5" t="s">
        <v>1422</v>
      </c>
      <c r="U140" s="5" t="s">
        <v>1423</v>
      </c>
      <c r="V140" s="5" t="s">
        <v>1424</v>
      </c>
      <c r="W140" s="5" t="s">
        <v>1421</v>
      </c>
      <c r="X140" s="5" t="s">
        <v>1425</v>
      </c>
      <c r="Y140" s="5" t="s">
        <v>1426</v>
      </c>
      <c r="Z140" s="5" t="s">
        <v>1427</v>
      </c>
      <c r="AA140" s="8">
        <v>45695</v>
      </c>
      <c r="AB140" s="5" t="s">
        <v>218</v>
      </c>
      <c r="AC140" s="5" t="s">
        <v>1427</v>
      </c>
      <c r="AD140" s="8">
        <v>45698</v>
      </c>
      <c r="AE140" s="5">
        <v>600000</v>
      </c>
      <c r="AF140" s="5">
        <v>200000</v>
      </c>
      <c r="AG140" s="5">
        <v>400000</v>
      </c>
      <c r="AH140" s="5">
        <v>600000</v>
      </c>
      <c r="AI140" s="8">
        <v>45707</v>
      </c>
      <c r="AJ140" s="5">
        <v>200000</v>
      </c>
      <c r="AK140" s="9">
        <v>45729</v>
      </c>
      <c r="AL140" s="5">
        <v>400000</v>
      </c>
      <c r="AM140" s="5"/>
    </row>
    <row r="141" spans="1:39" x14ac:dyDescent="0.3">
      <c r="A141" s="5" t="s">
        <v>1428</v>
      </c>
      <c r="B141" s="5">
        <v>2025</v>
      </c>
      <c r="C141" s="5" t="s">
        <v>40</v>
      </c>
      <c r="D141" s="5" t="s">
        <v>94</v>
      </c>
      <c r="E141" s="5" t="s">
        <v>1322</v>
      </c>
      <c r="F141" s="5" t="s">
        <v>1429</v>
      </c>
      <c r="G141" s="7">
        <v>12</v>
      </c>
      <c r="H141" s="7" t="s">
        <v>128</v>
      </c>
      <c r="I141" s="8">
        <v>45672</v>
      </c>
      <c r="J141" s="8">
        <v>45672</v>
      </c>
      <c r="K141" s="5"/>
      <c r="L141" s="5" t="s">
        <v>97</v>
      </c>
      <c r="M141" s="5" t="s">
        <v>1322</v>
      </c>
      <c r="N141" s="5" t="s">
        <v>1430</v>
      </c>
      <c r="O141" s="5">
        <v>5</v>
      </c>
      <c r="P141" s="5">
        <v>3063170903</v>
      </c>
      <c r="Q141" s="5">
        <v>30631709030</v>
      </c>
      <c r="R141" s="5" t="s">
        <v>1431</v>
      </c>
      <c r="S141" s="5"/>
      <c r="T141" s="5" t="s">
        <v>1432</v>
      </c>
      <c r="U141" s="5" t="s">
        <v>1433</v>
      </c>
      <c r="V141" s="5" t="s">
        <v>1434</v>
      </c>
      <c r="W141" s="5" t="s">
        <v>1431</v>
      </c>
      <c r="X141" s="5" t="s">
        <v>78</v>
      </c>
      <c r="Y141" s="5" t="s">
        <v>1435</v>
      </c>
      <c r="Z141" s="5" t="s">
        <v>1436</v>
      </c>
      <c r="AA141" s="8">
        <v>45695</v>
      </c>
      <c r="AB141" s="5" t="s">
        <v>218</v>
      </c>
      <c r="AC141" s="5" t="s">
        <v>1436</v>
      </c>
      <c r="AD141" s="8">
        <v>45698</v>
      </c>
      <c r="AE141" s="5">
        <v>600000</v>
      </c>
      <c r="AF141" s="5">
        <v>200000</v>
      </c>
      <c r="AG141" s="5">
        <v>400000</v>
      </c>
      <c r="AH141" s="5">
        <v>600000</v>
      </c>
      <c r="AI141" s="8">
        <v>45698</v>
      </c>
      <c r="AJ141" s="5">
        <v>200000</v>
      </c>
      <c r="AK141" s="9">
        <v>45729</v>
      </c>
      <c r="AL141" s="5">
        <v>400000</v>
      </c>
      <c r="AM141" s="5"/>
    </row>
    <row r="142" spans="1:39" x14ac:dyDescent="0.3">
      <c r="A142" s="5" t="s">
        <v>1437</v>
      </c>
      <c r="B142" s="5">
        <v>2025</v>
      </c>
      <c r="C142" s="5" t="s">
        <v>40</v>
      </c>
      <c r="D142" s="5" t="s">
        <v>94</v>
      </c>
      <c r="E142" s="5" t="s">
        <v>1322</v>
      </c>
      <c r="F142" s="5" t="s">
        <v>1438</v>
      </c>
      <c r="G142" s="7">
        <v>13</v>
      </c>
      <c r="H142" s="7" t="s">
        <v>139</v>
      </c>
      <c r="I142" s="8">
        <v>45672</v>
      </c>
      <c r="J142" s="8">
        <v>45672</v>
      </c>
      <c r="K142" s="5"/>
      <c r="L142" s="5" t="s">
        <v>73</v>
      </c>
      <c r="M142" s="5" t="s">
        <v>1322</v>
      </c>
      <c r="N142" s="5" t="s">
        <v>1439</v>
      </c>
      <c r="O142" s="5">
        <v>10</v>
      </c>
      <c r="P142" s="5">
        <v>3148626636</v>
      </c>
      <c r="Q142" s="5">
        <v>31486266360</v>
      </c>
      <c r="R142" s="5" t="s">
        <v>1440</v>
      </c>
      <c r="S142" s="5"/>
      <c r="T142" s="5" t="s">
        <v>1441</v>
      </c>
      <c r="U142" s="5" t="s">
        <v>1442</v>
      </c>
      <c r="V142" s="5" t="s">
        <v>1443</v>
      </c>
      <c r="W142" s="5" t="s">
        <v>1444</v>
      </c>
      <c r="X142" s="5" t="s">
        <v>112</v>
      </c>
      <c r="Y142" s="5" t="s">
        <v>1445</v>
      </c>
      <c r="Z142" s="5" t="s">
        <v>1446</v>
      </c>
      <c r="AA142" s="8">
        <v>45695</v>
      </c>
      <c r="AB142" s="5" t="s">
        <v>218</v>
      </c>
      <c r="AC142" s="5" t="s">
        <v>1446</v>
      </c>
      <c r="AD142" s="8">
        <v>45698</v>
      </c>
      <c r="AE142" s="5">
        <v>600000</v>
      </c>
      <c r="AF142" s="5">
        <v>200000</v>
      </c>
      <c r="AG142" s="5">
        <v>400000</v>
      </c>
      <c r="AH142" s="5">
        <v>600000</v>
      </c>
      <c r="AI142" s="8">
        <v>45698</v>
      </c>
      <c r="AJ142" s="5">
        <v>200000</v>
      </c>
      <c r="AK142" s="9">
        <v>45729</v>
      </c>
      <c r="AL142" s="5">
        <v>400000</v>
      </c>
      <c r="AM142" s="5"/>
    </row>
    <row r="143" spans="1:39" x14ac:dyDescent="0.3">
      <c r="A143" s="5" t="s">
        <v>1447</v>
      </c>
      <c r="B143" s="5">
        <v>2025</v>
      </c>
      <c r="C143" s="5" t="s">
        <v>40</v>
      </c>
      <c r="D143" s="5" t="s">
        <v>94</v>
      </c>
      <c r="E143" s="5" t="s">
        <v>1322</v>
      </c>
      <c r="F143" s="5" t="s">
        <v>1448</v>
      </c>
      <c r="G143" s="7">
        <v>14</v>
      </c>
      <c r="H143" s="7" t="s">
        <v>148</v>
      </c>
      <c r="I143" s="8">
        <v>45672</v>
      </c>
      <c r="J143" s="8">
        <v>45672</v>
      </c>
      <c r="K143" s="5"/>
      <c r="L143" s="5" t="s">
        <v>218</v>
      </c>
      <c r="M143" s="5" t="s">
        <v>1322</v>
      </c>
      <c r="N143" s="5" t="s">
        <v>1449</v>
      </c>
      <c r="O143" s="5">
        <v>9</v>
      </c>
      <c r="P143" s="5">
        <v>3148134335</v>
      </c>
      <c r="Q143" s="5">
        <v>31481343350</v>
      </c>
      <c r="R143" s="5" t="s">
        <v>339</v>
      </c>
      <c r="S143" s="5"/>
      <c r="T143" s="5" t="s">
        <v>1450</v>
      </c>
      <c r="U143" s="5" t="s">
        <v>1451</v>
      </c>
      <c r="V143" s="5" t="s">
        <v>1452</v>
      </c>
      <c r="W143" s="5" t="s">
        <v>1453</v>
      </c>
      <c r="X143" s="5" t="s">
        <v>112</v>
      </c>
      <c r="Y143" s="5" t="s">
        <v>1454</v>
      </c>
      <c r="Z143" s="5" t="s">
        <v>1455</v>
      </c>
      <c r="AA143" s="8">
        <v>45695</v>
      </c>
      <c r="AB143" s="5" t="s">
        <v>218</v>
      </c>
      <c r="AC143" s="5" t="s">
        <v>1455</v>
      </c>
      <c r="AD143" s="8">
        <v>45698</v>
      </c>
      <c r="AE143" s="5">
        <v>600000</v>
      </c>
      <c r="AF143" s="5">
        <v>200000</v>
      </c>
      <c r="AG143" s="5">
        <v>400000</v>
      </c>
      <c r="AH143" s="5">
        <v>600000</v>
      </c>
      <c r="AI143" s="8">
        <v>45709</v>
      </c>
      <c r="AJ143" s="5">
        <v>200000</v>
      </c>
      <c r="AK143" s="9">
        <v>45729</v>
      </c>
      <c r="AL143" s="5">
        <v>400000</v>
      </c>
      <c r="AM143" s="5"/>
    </row>
    <row r="144" spans="1:39" x14ac:dyDescent="0.3">
      <c r="A144" s="5" t="s">
        <v>1456</v>
      </c>
      <c r="B144" s="5">
        <v>2025</v>
      </c>
      <c r="C144" s="5" t="s">
        <v>40</v>
      </c>
      <c r="D144" s="5" t="s">
        <v>94</v>
      </c>
      <c r="E144" s="5" t="s">
        <v>1322</v>
      </c>
      <c r="F144" s="5" t="s">
        <v>1457</v>
      </c>
      <c r="G144" s="7">
        <v>15</v>
      </c>
      <c r="H144" s="7" t="s">
        <v>158</v>
      </c>
      <c r="I144" s="8">
        <v>45672</v>
      </c>
      <c r="J144" s="8">
        <v>45672</v>
      </c>
      <c r="K144" s="5"/>
      <c r="L144" s="5" t="s">
        <v>46</v>
      </c>
      <c r="M144" s="5" t="s">
        <v>1322</v>
      </c>
      <c r="N144" s="5" t="s">
        <v>1458</v>
      </c>
      <c r="O144" s="5">
        <v>8</v>
      </c>
      <c r="P144" s="5">
        <v>3058190707</v>
      </c>
      <c r="Q144" s="5">
        <v>30581907070</v>
      </c>
      <c r="R144" s="5" t="s">
        <v>1459</v>
      </c>
      <c r="S144" s="5"/>
      <c r="T144" s="5" t="s">
        <v>1460</v>
      </c>
      <c r="U144" s="5" t="s">
        <v>1461</v>
      </c>
      <c r="V144" s="5" t="s">
        <v>1462</v>
      </c>
      <c r="W144" s="5" t="s">
        <v>1459</v>
      </c>
      <c r="X144" s="5" t="s">
        <v>78</v>
      </c>
      <c r="Y144" s="5" t="s">
        <v>1463</v>
      </c>
      <c r="Z144" s="5" t="s">
        <v>1464</v>
      </c>
      <c r="AA144" s="8">
        <v>45693</v>
      </c>
      <c r="AB144" s="5" t="s">
        <v>181</v>
      </c>
      <c r="AC144" s="5" t="s">
        <v>1464</v>
      </c>
      <c r="AD144" s="8">
        <v>45695</v>
      </c>
      <c r="AE144" s="5">
        <v>600000</v>
      </c>
      <c r="AF144" s="5">
        <v>200000</v>
      </c>
      <c r="AG144" s="5">
        <v>400000</v>
      </c>
      <c r="AH144" s="5">
        <v>600000</v>
      </c>
      <c r="AI144" s="8">
        <v>45698</v>
      </c>
      <c r="AJ144" s="5">
        <v>200000</v>
      </c>
      <c r="AK144" s="9">
        <v>45729</v>
      </c>
      <c r="AL144" s="5">
        <v>400000</v>
      </c>
      <c r="AM144" s="5"/>
    </row>
    <row r="145" spans="1:39" x14ac:dyDescent="0.3">
      <c r="A145" s="5" t="s">
        <v>1465</v>
      </c>
      <c r="B145" s="5">
        <v>2025</v>
      </c>
      <c r="C145" s="5" t="s">
        <v>40</v>
      </c>
      <c r="D145" s="5" t="s">
        <v>94</v>
      </c>
      <c r="E145" s="5" t="s">
        <v>1322</v>
      </c>
      <c r="F145" s="5" t="s">
        <v>1466</v>
      </c>
      <c r="G145" s="7">
        <v>16</v>
      </c>
      <c r="H145" s="7" t="s">
        <v>162</v>
      </c>
      <c r="I145" s="8">
        <v>45672</v>
      </c>
      <c r="J145" s="8">
        <v>45672</v>
      </c>
      <c r="K145" s="5"/>
      <c r="L145" s="5" t="s">
        <v>61</v>
      </c>
      <c r="M145" s="5" t="s">
        <v>1322</v>
      </c>
      <c r="N145" s="5" t="s">
        <v>1467</v>
      </c>
      <c r="O145" s="5">
        <v>20</v>
      </c>
      <c r="P145" s="5">
        <v>3058622015</v>
      </c>
      <c r="Q145" s="5">
        <v>30586220150</v>
      </c>
      <c r="R145" s="5" t="s">
        <v>1468</v>
      </c>
      <c r="S145" s="5"/>
      <c r="T145" s="5" t="s">
        <v>1469</v>
      </c>
      <c r="U145" s="5" t="s">
        <v>1470</v>
      </c>
      <c r="V145" s="5" t="s">
        <v>1471</v>
      </c>
      <c r="W145" s="5" t="s">
        <v>1472</v>
      </c>
      <c r="X145" s="5" t="s">
        <v>123</v>
      </c>
      <c r="Y145" s="5" t="s">
        <v>1473</v>
      </c>
      <c r="Z145" s="5" t="s">
        <v>1474</v>
      </c>
      <c r="AA145" s="8">
        <v>45693</v>
      </c>
      <c r="AB145" s="5" t="s">
        <v>181</v>
      </c>
      <c r="AC145" s="5" t="s">
        <v>1474</v>
      </c>
      <c r="AD145" s="8">
        <v>45695</v>
      </c>
      <c r="AE145" s="5">
        <v>600000</v>
      </c>
      <c r="AF145" s="5">
        <v>200000</v>
      </c>
      <c r="AG145" s="5">
        <v>400000</v>
      </c>
      <c r="AH145" s="5">
        <v>600000</v>
      </c>
      <c r="AI145" s="8">
        <v>45728</v>
      </c>
      <c r="AJ145" s="5">
        <v>200000</v>
      </c>
      <c r="AK145" s="9">
        <v>45729</v>
      </c>
      <c r="AL145" s="5">
        <v>400000</v>
      </c>
      <c r="AM145" s="5"/>
    </row>
    <row r="146" spans="1:39" x14ac:dyDescent="0.3">
      <c r="A146" s="5" t="s">
        <v>1475</v>
      </c>
      <c r="B146" s="5">
        <v>2025</v>
      </c>
      <c r="C146" s="5" t="s">
        <v>40</v>
      </c>
      <c r="D146" s="5" t="s">
        <v>94</v>
      </c>
      <c r="E146" s="5" t="s">
        <v>1322</v>
      </c>
      <c r="F146" s="5" t="s">
        <v>1476</v>
      </c>
      <c r="G146" s="7">
        <v>17</v>
      </c>
      <c r="H146" s="7" t="s">
        <v>162</v>
      </c>
      <c r="I146" s="8">
        <v>45672</v>
      </c>
      <c r="J146" s="8">
        <v>45672</v>
      </c>
      <c r="K146" s="5"/>
      <c r="L146" s="5" t="s">
        <v>181</v>
      </c>
      <c r="M146" s="5" t="s">
        <v>1322</v>
      </c>
      <c r="N146" s="5" t="s">
        <v>1477</v>
      </c>
      <c r="O146" s="5">
        <v>3</v>
      </c>
      <c r="P146" s="5">
        <v>3053045802</v>
      </c>
      <c r="Q146" s="5">
        <v>30530458020</v>
      </c>
      <c r="R146" s="5" t="s">
        <v>1478</v>
      </c>
      <c r="S146" s="5"/>
      <c r="T146" s="5" t="s">
        <v>1479</v>
      </c>
      <c r="U146" s="5" t="s">
        <v>1480</v>
      </c>
      <c r="V146" s="5" t="s">
        <v>1481</v>
      </c>
      <c r="W146" s="5" t="s">
        <v>1478</v>
      </c>
      <c r="X146" s="5" t="s">
        <v>78</v>
      </c>
      <c r="Y146" s="5" t="s">
        <v>1482</v>
      </c>
      <c r="Z146" s="5" t="s">
        <v>1483</v>
      </c>
      <c r="AA146" s="8">
        <v>45693</v>
      </c>
      <c r="AB146" s="5" t="s">
        <v>181</v>
      </c>
      <c r="AC146" s="5" t="s">
        <v>1484</v>
      </c>
      <c r="AD146" s="8">
        <v>45695</v>
      </c>
      <c r="AE146" s="5">
        <v>600000</v>
      </c>
      <c r="AF146" s="5">
        <v>200000</v>
      </c>
      <c r="AG146" s="5">
        <v>400000</v>
      </c>
      <c r="AH146" s="5">
        <v>600000</v>
      </c>
      <c r="AI146" s="8">
        <v>45846</v>
      </c>
      <c r="AJ146" s="5">
        <v>200000</v>
      </c>
      <c r="AK146" s="9">
        <v>45729</v>
      </c>
      <c r="AL146" s="5">
        <v>400000</v>
      </c>
      <c r="AM146" s="5"/>
    </row>
    <row r="147" spans="1:39" x14ac:dyDescent="0.3">
      <c r="A147" s="5" t="s">
        <v>1485</v>
      </c>
      <c r="B147" s="5">
        <v>2025</v>
      </c>
      <c r="C147" s="5" t="s">
        <v>40</v>
      </c>
      <c r="D147" s="5" t="s">
        <v>94</v>
      </c>
      <c r="E147" s="5" t="s">
        <v>1322</v>
      </c>
      <c r="F147" s="5" t="s">
        <v>1486</v>
      </c>
      <c r="G147" s="7">
        <v>18</v>
      </c>
      <c r="H147" s="7" t="s">
        <v>186</v>
      </c>
      <c r="I147" s="8">
        <v>45673</v>
      </c>
      <c r="J147" s="8">
        <v>45673</v>
      </c>
      <c r="K147" s="5"/>
      <c r="L147" s="5" t="s">
        <v>97</v>
      </c>
      <c r="M147" s="5" t="s">
        <v>1322</v>
      </c>
      <c r="N147" s="5" t="s">
        <v>1487</v>
      </c>
      <c r="O147" s="5">
        <v>12</v>
      </c>
      <c r="P147" s="5">
        <v>3068131720</v>
      </c>
      <c r="Q147" s="5">
        <v>30681317200</v>
      </c>
      <c r="R147" s="5" t="s">
        <v>1488</v>
      </c>
      <c r="S147" s="5"/>
      <c r="T147" s="5" t="s">
        <v>1489</v>
      </c>
      <c r="U147" s="5" t="s">
        <v>1490</v>
      </c>
      <c r="V147" s="5" t="s">
        <v>1491</v>
      </c>
      <c r="W147" s="5" t="s">
        <v>1488</v>
      </c>
      <c r="X147" s="5" t="s">
        <v>78</v>
      </c>
      <c r="Y147" s="5" t="s">
        <v>1492</v>
      </c>
      <c r="Z147" s="5" t="s">
        <v>1493</v>
      </c>
      <c r="AA147" s="8">
        <v>45695</v>
      </c>
      <c r="AB147" s="5" t="s">
        <v>218</v>
      </c>
      <c r="AC147" s="5" t="s">
        <v>1493</v>
      </c>
      <c r="AD147" s="8">
        <v>45698</v>
      </c>
      <c r="AE147" s="5">
        <v>600000</v>
      </c>
      <c r="AF147" s="5">
        <v>200000</v>
      </c>
      <c r="AG147" s="5">
        <v>400000</v>
      </c>
      <c r="AH147" s="5">
        <v>600000</v>
      </c>
      <c r="AI147" s="8">
        <v>45705</v>
      </c>
      <c r="AJ147" s="5">
        <v>200000</v>
      </c>
      <c r="AK147" s="9">
        <v>45729</v>
      </c>
      <c r="AL147" s="5">
        <v>400000</v>
      </c>
      <c r="AM147" s="5"/>
    </row>
    <row r="148" spans="1:39" x14ac:dyDescent="0.3">
      <c r="A148" s="5" t="s">
        <v>1494</v>
      </c>
      <c r="B148" s="5">
        <v>2025</v>
      </c>
      <c r="C148" s="5" t="s">
        <v>40</v>
      </c>
      <c r="D148" s="5" t="s">
        <v>94</v>
      </c>
      <c r="E148" s="5" t="s">
        <v>1322</v>
      </c>
      <c r="F148" s="5" t="s">
        <v>1495</v>
      </c>
      <c r="G148" s="7">
        <v>19</v>
      </c>
      <c r="H148" s="7" t="s">
        <v>186</v>
      </c>
      <c r="I148" s="8">
        <v>45673</v>
      </c>
      <c r="J148" s="8">
        <v>45673</v>
      </c>
      <c r="K148" s="5"/>
      <c r="L148" s="5" t="s">
        <v>73</v>
      </c>
      <c r="M148" s="5" t="s">
        <v>1322</v>
      </c>
      <c r="N148" s="5" t="s">
        <v>1496</v>
      </c>
      <c r="O148" s="5">
        <v>4</v>
      </c>
      <c r="P148" s="5">
        <v>3141420824</v>
      </c>
      <c r="Q148" s="5">
        <v>31414208240</v>
      </c>
      <c r="R148" s="5" t="s">
        <v>1497</v>
      </c>
      <c r="S148" s="5"/>
      <c r="T148" s="5" t="s">
        <v>1498</v>
      </c>
      <c r="U148" s="5" t="s">
        <v>1499</v>
      </c>
      <c r="V148" s="5" t="s">
        <v>1500</v>
      </c>
      <c r="W148" s="5" t="s">
        <v>1501</v>
      </c>
      <c r="X148" s="5" t="s">
        <v>134</v>
      </c>
      <c r="Y148" s="5" t="s">
        <v>1502</v>
      </c>
      <c r="Z148" s="5" t="s">
        <v>1503</v>
      </c>
      <c r="AA148" s="8">
        <v>45695</v>
      </c>
      <c r="AB148" s="5" t="s">
        <v>218</v>
      </c>
      <c r="AC148" s="5" t="s">
        <v>1503</v>
      </c>
      <c r="AD148" s="8">
        <v>45698</v>
      </c>
      <c r="AE148" s="5">
        <v>600000</v>
      </c>
      <c r="AF148" s="5">
        <v>200000</v>
      </c>
      <c r="AG148" s="5">
        <v>400000</v>
      </c>
      <c r="AH148" s="5">
        <v>600000</v>
      </c>
      <c r="AI148" s="8">
        <v>45733</v>
      </c>
      <c r="AJ148" s="5">
        <v>200000</v>
      </c>
      <c r="AK148" s="9">
        <v>45729</v>
      </c>
      <c r="AL148" s="5">
        <v>400000</v>
      </c>
      <c r="AM148" s="5"/>
    </row>
    <row r="149" spans="1:39" x14ac:dyDescent="0.3">
      <c r="A149" s="5" t="s">
        <v>1504</v>
      </c>
      <c r="B149" s="5">
        <v>2025</v>
      </c>
      <c r="C149" s="5" t="s">
        <v>40</v>
      </c>
      <c r="D149" s="5" t="s">
        <v>94</v>
      </c>
      <c r="E149" s="5" t="s">
        <v>1322</v>
      </c>
      <c r="F149" s="5" t="s">
        <v>1505</v>
      </c>
      <c r="G149" s="7">
        <v>20</v>
      </c>
      <c r="H149" s="7" t="s">
        <v>193</v>
      </c>
      <c r="I149" s="8">
        <v>45673</v>
      </c>
      <c r="J149" s="8">
        <v>45673</v>
      </c>
      <c r="K149" s="5"/>
      <c r="L149" s="5" t="s">
        <v>218</v>
      </c>
      <c r="M149" s="5" t="s">
        <v>1322</v>
      </c>
      <c r="N149" s="5" t="s">
        <v>1506</v>
      </c>
      <c r="O149" s="5">
        <v>9</v>
      </c>
      <c r="P149" s="5">
        <v>3060321618</v>
      </c>
      <c r="Q149" s="5">
        <v>30603216180</v>
      </c>
      <c r="R149" s="5" t="s">
        <v>1507</v>
      </c>
      <c r="S149" s="5"/>
      <c r="T149" s="5" t="s">
        <v>1508</v>
      </c>
      <c r="U149" s="5" t="s">
        <v>1509</v>
      </c>
      <c r="V149" s="5" t="s">
        <v>1510</v>
      </c>
      <c r="W149" s="5" t="s">
        <v>1507</v>
      </c>
      <c r="X149" s="5" t="s">
        <v>78</v>
      </c>
      <c r="Y149" s="5" t="s">
        <v>1511</v>
      </c>
      <c r="Z149" s="5" t="s">
        <v>1512</v>
      </c>
      <c r="AA149" s="8">
        <v>45695</v>
      </c>
      <c r="AB149" s="5" t="s">
        <v>218</v>
      </c>
      <c r="AC149" s="5" t="s">
        <v>1512</v>
      </c>
      <c r="AD149" s="8">
        <v>45698</v>
      </c>
      <c r="AE149" s="5">
        <v>600000</v>
      </c>
      <c r="AF149" s="5">
        <v>200000</v>
      </c>
      <c r="AG149" s="5">
        <v>400000</v>
      </c>
      <c r="AH149" s="5">
        <v>600000</v>
      </c>
      <c r="AI149" s="8">
        <v>45842</v>
      </c>
      <c r="AJ149" s="5">
        <v>200000</v>
      </c>
      <c r="AK149" s="9">
        <v>45729</v>
      </c>
      <c r="AL149" s="5">
        <v>400000</v>
      </c>
      <c r="AM149" s="5"/>
    </row>
    <row r="150" spans="1:39" x14ac:dyDescent="0.3">
      <c r="A150" s="5" t="s">
        <v>1513</v>
      </c>
      <c r="B150" s="5">
        <v>2025</v>
      </c>
      <c r="C150" s="5" t="s">
        <v>40</v>
      </c>
      <c r="D150" s="5" t="s">
        <v>94</v>
      </c>
      <c r="E150" s="5" t="s">
        <v>1322</v>
      </c>
      <c r="F150" s="5" t="s">
        <v>1514</v>
      </c>
      <c r="G150" s="7">
        <v>21</v>
      </c>
      <c r="H150" s="7" t="s">
        <v>193</v>
      </c>
      <c r="I150" s="8">
        <v>45673</v>
      </c>
      <c r="J150" s="8">
        <v>45673</v>
      </c>
      <c r="K150" s="5"/>
      <c r="L150" s="5" t="s">
        <v>46</v>
      </c>
      <c r="M150" s="5" t="s">
        <v>1322</v>
      </c>
      <c r="N150" s="5" t="s">
        <v>1515</v>
      </c>
      <c r="O150" s="5">
        <v>4</v>
      </c>
      <c r="P150" s="5">
        <v>3180150543</v>
      </c>
      <c r="Q150" s="5">
        <v>31801505430</v>
      </c>
      <c r="R150" s="5" t="s">
        <v>1516</v>
      </c>
      <c r="S150" s="5"/>
      <c r="T150" s="5" t="s">
        <v>1517</v>
      </c>
      <c r="U150" s="5" t="s">
        <v>1518</v>
      </c>
      <c r="V150" s="5" t="s">
        <v>1519</v>
      </c>
      <c r="W150" s="5" t="s">
        <v>1516</v>
      </c>
      <c r="X150" s="5" t="s">
        <v>78</v>
      </c>
      <c r="Y150" s="5" t="s">
        <v>1520</v>
      </c>
      <c r="Z150" s="5" t="s">
        <v>1521</v>
      </c>
      <c r="AA150" s="8">
        <v>45695</v>
      </c>
      <c r="AB150" s="5" t="s">
        <v>181</v>
      </c>
      <c r="AC150" s="5" t="s">
        <v>1522</v>
      </c>
      <c r="AD150" s="8">
        <v>45698</v>
      </c>
      <c r="AE150" s="5">
        <v>600000</v>
      </c>
      <c r="AF150" s="5">
        <v>200000</v>
      </c>
      <c r="AG150" s="5">
        <v>400000</v>
      </c>
      <c r="AH150" s="5">
        <v>600000</v>
      </c>
      <c r="AI150" s="8">
        <v>45698</v>
      </c>
      <c r="AJ150" s="5">
        <v>200000</v>
      </c>
      <c r="AK150" s="9">
        <v>45729</v>
      </c>
      <c r="AL150" s="5">
        <v>400000</v>
      </c>
      <c r="AM150" s="5"/>
    </row>
    <row r="151" spans="1:39" x14ac:dyDescent="0.3">
      <c r="A151" s="5" t="s">
        <v>1523</v>
      </c>
      <c r="B151" s="5">
        <v>2025</v>
      </c>
      <c r="C151" s="5" t="s">
        <v>40</v>
      </c>
      <c r="D151" s="5" t="s">
        <v>94</v>
      </c>
      <c r="E151" s="5" t="s">
        <v>1322</v>
      </c>
      <c r="F151" s="5" t="s">
        <v>1524</v>
      </c>
      <c r="G151" s="7">
        <v>22</v>
      </c>
      <c r="H151" s="7" t="s">
        <v>193</v>
      </c>
      <c r="I151" s="8">
        <v>45673</v>
      </c>
      <c r="J151" s="8">
        <v>45673</v>
      </c>
      <c r="K151" s="5"/>
      <c r="L151" s="5" t="s">
        <v>61</v>
      </c>
      <c r="M151" s="5" t="s">
        <v>1322</v>
      </c>
      <c r="N151" s="5" t="s">
        <v>1525</v>
      </c>
      <c r="O151" s="5">
        <v>3</v>
      </c>
      <c r="P151" s="5">
        <v>3142472092</v>
      </c>
      <c r="Q151" s="5">
        <v>31424720920</v>
      </c>
      <c r="R151" s="5" t="s">
        <v>1526</v>
      </c>
      <c r="S151" s="5"/>
      <c r="T151" s="5" t="s">
        <v>1517</v>
      </c>
      <c r="U151" s="5" t="s">
        <v>1527</v>
      </c>
      <c r="V151" s="5" t="s">
        <v>1528</v>
      </c>
      <c r="W151" s="5" t="s">
        <v>1526</v>
      </c>
      <c r="X151" s="5" t="s">
        <v>78</v>
      </c>
      <c r="Y151" s="5" t="s">
        <v>1529</v>
      </c>
      <c r="Z151" s="5" t="s">
        <v>1530</v>
      </c>
      <c r="AA151" s="8">
        <v>45695</v>
      </c>
      <c r="AB151" s="5" t="s">
        <v>181</v>
      </c>
      <c r="AC151" s="5" t="s">
        <v>1531</v>
      </c>
      <c r="AD151" s="8">
        <v>45698</v>
      </c>
      <c r="AE151" s="5">
        <v>600000</v>
      </c>
      <c r="AF151" s="5">
        <v>200000</v>
      </c>
      <c r="AG151" s="5">
        <v>400000</v>
      </c>
      <c r="AH151" s="5">
        <v>600000</v>
      </c>
      <c r="AI151" s="8">
        <v>45698</v>
      </c>
      <c r="AJ151" s="5">
        <v>200000</v>
      </c>
      <c r="AK151" s="9">
        <v>45729</v>
      </c>
      <c r="AL151" s="5">
        <v>400000</v>
      </c>
      <c r="AM151" s="5"/>
    </row>
    <row r="152" spans="1:39" x14ac:dyDescent="0.3">
      <c r="A152" s="5" t="s">
        <v>1532</v>
      </c>
      <c r="B152" s="5">
        <v>2025</v>
      </c>
      <c r="C152" s="5" t="s">
        <v>40</v>
      </c>
      <c r="D152" s="5" t="s">
        <v>94</v>
      </c>
      <c r="E152" s="5" t="s">
        <v>1322</v>
      </c>
      <c r="F152" s="5" t="s">
        <v>1533</v>
      </c>
      <c r="G152" s="7">
        <v>23</v>
      </c>
      <c r="H152" s="7" t="s">
        <v>205</v>
      </c>
      <c r="I152" s="8">
        <v>45673</v>
      </c>
      <c r="J152" s="8">
        <v>45673</v>
      </c>
      <c r="K152" s="5"/>
      <c r="L152" s="5" t="s">
        <v>181</v>
      </c>
      <c r="M152" s="5" t="s">
        <v>1322</v>
      </c>
      <c r="N152" s="5" t="s">
        <v>1534</v>
      </c>
      <c r="O152" s="5">
        <v>14</v>
      </c>
      <c r="P152" s="5">
        <v>3058137925</v>
      </c>
      <c r="Q152" s="5">
        <v>30581379250</v>
      </c>
      <c r="R152" s="5" t="s">
        <v>1535</v>
      </c>
      <c r="S152" s="5"/>
      <c r="T152" s="5" t="s">
        <v>1536</v>
      </c>
      <c r="U152" s="5" t="s">
        <v>1537</v>
      </c>
      <c r="V152" s="5" t="s">
        <v>1538</v>
      </c>
      <c r="W152" s="5" t="s">
        <v>1539</v>
      </c>
      <c r="X152" s="5" t="s">
        <v>1540</v>
      </c>
      <c r="Y152" s="5" t="s">
        <v>1541</v>
      </c>
      <c r="Z152" s="5" t="s">
        <v>1542</v>
      </c>
      <c r="AA152" s="8">
        <v>45701</v>
      </c>
      <c r="AB152" s="5" t="s">
        <v>181</v>
      </c>
      <c r="AC152" s="5" t="s">
        <v>1542</v>
      </c>
      <c r="AD152" s="8">
        <v>45705</v>
      </c>
      <c r="AE152" s="5">
        <v>600000</v>
      </c>
      <c r="AF152" s="5">
        <v>200000</v>
      </c>
      <c r="AG152" s="5">
        <v>400000</v>
      </c>
      <c r="AH152" s="5">
        <v>600000</v>
      </c>
      <c r="AI152" s="8">
        <v>45848</v>
      </c>
      <c r="AJ152" s="5">
        <v>200000</v>
      </c>
      <c r="AK152" s="9">
        <v>45729</v>
      </c>
      <c r="AL152" s="5">
        <v>400000</v>
      </c>
      <c r="AM152" s="5"/>
    </row>
    <row r="153" spans="1:39" x14ac:dyDescent="0.3">
      <c r="A153" s="5" t="s">
        <v>1543</v>
      </c>
      <c r="B153" s="5">
        <v>2025</v>
      </c>
      <c r="C153" s="5" t="s">
        <v>40</v>
      </c>
      <c r="D153" s="5" t="s">
        <v>94</v>
      </c>
      <c r="E153" s="5" t="s">
        <v>1322</v>
      </c>
      <c r="F153" s="5" t="s">
        <v>1544</v>
      </c>
      <c r="G153" s="7">
        <v>24</v>
      </c>
      <c r="H153" s="7" t="s">
        <v>217</v>
      </c>
      <c r="I153" s="8">
        <v>45674</v>
      </c>
      <c r="J153" s="8">
        <v>45674</v>
      </c>
      <c r="K153" s="5"/>
      <c r="L153" s="5" t="s">
        <v>97</v>
      </c>
      <c r="M153" s="5" t="s">
        <v>1322</v>
      </c>
      <c r="N153" s="5" t="s">
        <v>1545</v>
      </c>
      <c r="O153" s="5">
        <v>17</v>
      </c>
      <c r="P153" s="5">
        <v>5248701151</v>
      </c>
      <c r="Q153" s="5">
        <v>52487011510</v>
      </c>
      <c r="R153" s="5" t="s">
        <v>1546</v>
      </c>
      <c r="S153" s="5"/>
      <c r="T153" s="5" t="s">
        <v>1547</v>
      </c>
      <c r="U153" s="5" t="s">
        <v>1548</v>
      </c>
      <c r="V153" s="5" t="s">
        <v>1549</v>
      </c>
      <c r="W153" s="5" t="s">
        <v>1550</v>
      </c>
      <c r="X153" s="5"/>
      <c r="Y153" s="5" t="s">
        <v>1551</v>
      </c>
      <c r="Z153" s="5" t="s">
        <v>1521</v>
      </c>
      <c r="AA153" s="8"/>
      <c r="AB153" s="5"/>
      <c r="AC153" s="5" t="s">
        <v>1552</v>
      </c>
      <c r="AD153" s="8">
        <v>45705</v>
      </c>
      <c r="AE153" s="5">
        <v>600000</v>
      </c>
      <c r="AF153" s="5">
        <v>200000</v>
      </c>
      <c r="AG153" s="5">
        <v>400000</v>
      </c>
      <c r="AH153" s="5">
        <v>600000</v>
      </c>
      <c r="AI153" s="8">
        <v>45707</v>
      </c>
      <c r="AJ153" s="5">
        <v>200000</v>
      </c>
      <c r="AK153" s="9">
        <v>45729</v>
      </c>
      <c r="AL153" s="5">
        <v>400000</v>
      </c>
      <c r="AM153" s="5"/>
    </row>
    <row r="154" spans="1:39" x14ac:dyDescent="0.3">
      <c r="A154" s="5" t="s">
        <v>1553</v>
      </c>
      <c r="B154" s="5">
        <v>2025</v>
      </c>
      <c r="C154" s="5" t="s">
        <v>40</v>
      </c>
      <c r="D154" s="5" t="s">
        <v>94</v>
      </c>
      <c r="E154" s="5" t="s">
        <v>1322</v>
      </c>
      <c r="F154" s="5" t="s">
        <v>1554</v>
      </c>
      <c r="G154" s="7">
        <v>25</v>
      </c>
      <c r="H154" s="7" t="s">
        <v>230</v>
      </c>
      <c r="I154" s="8">
        <v>45674</v>
      </c>
      <c r="J154" s="8">
        <v>45674</v>
      </c>
      <c r="K154" s="5"/>
      <c r="L154" s="5" t="s">
        <v>73</v>
      </c>
      <c r="M154" s="5" t="s">
        <v>1322</v>
      </c>
      <c r="N154" s="5" t="s">
        <v>1555</v>
      </c>
      <c r="O154" s="5">
        <v>18</v>
      </c>
      <c r="P154" s="5">
        <v>3148622265</v>
      </c>
      <c r="Q154" s="5">
        <v>91405986771</v>
      </c>
      <c r="R154" s="5" t="s">
        <v>1556</v>
      </c>
      <c r="S154" s="5"/>
      <c r="T154" s="5" t="s">
        <v>1557</v>
      </c>
      <c r="U154" s="5" t="s">
        <v>1558</v>
      </c>
      <c r="V154" s="5" t="s">
        <v>1559</v>
      </c>
      <c r="W154" s="5" t="s">
        <v>1560</v>
      </c>
      <c r="X154" s="5" t="s">
        <v>461</v>
      </c>
      <c r="Y154" s="5" t="s">
        <v>1561</v>
      </c>
      <c r="Z154" s="5" t="s">
        <v>1562</v>
      </c>
      <c r="AA154" s="8"/>
      <c r="AB154" s="5"/>
      <c r="AC154" s="5" t="s">
        <v>1563</v>
      </c>
      <c r="AD154" s="8">
        <v>45705</v>
      </c>
      <c r="AE154" s="5">
        <v>600000</v>
      </c>
      <c r="AF154" s="5">
        <v>200000</v>
      </c>
      <c r="AG154" s="5">
        <v>400000</v>
      </c>
      <c r="AH154" s="5">
        <v>600000</v>
      </c>
      <c r="AI154" s="8">
        <v>45827</v>
      </c>
      <c r="AJ154" s="5">
        <v>200000</v>
      </c>
      <c r="AK154" s="9">
        <v>45729</v>
      </c>
      <c r="AL154" s="5">
        <v>400000</v>
      </c>
      <c r="AM154" s="5"/>
    </row>
    <row r="155" spans="1:39" x14ac:dyDescent="0.3">
      <c r="A155" s="5" t="s">
        <v>1564</v>
      </c>
      <c r="B155" s="5">
        <v>2025</v>
      </c>
      <c r="C155" s="5" t="s">
        <v>40</v>
      </c>
      <c r="D155" s="5" t="s">
        <v>94</v>
      </c>
      <c r="E155" s="5" t="s">
        <v>1322</v>
      </c>
      <c r="F155" s="5" t="s">
        <v>1565</v>
      </c>
      <c r="G155" s="7">
        <v>26</v>
      </c>
      <c r="H155" s="7" t="s">
        <v>240</v>
      </c>
      <c r="I155" s="8">
        <v>45674</v>
      </c>
      <c r="J155" s="8">
        <v>45674</v>
      </c>
      <c r="K155" s="5"/>
      <c r="L155" s="5" t="s">
        <v>61</v>
      </c>
      <c r="M155" s="5" t="s">
        <v>1322</v>
      </c>
      <c r="N155" s="5" t="s">
        <v>1566</v>
      </c>
      <c r="O155" s="5">
        <v>21</v>
      </c>
      <c r="P155" s="5">
        <v>3141227371</v>
      </c>
      <c r="Q155" s="5">
        <v>31412273710</v>
      </c>
      <c r="R155" s="5" t="s">
        <v>1567</v>
      </c>
      <c r="S155" s="5"/>
      <c r="T155" s="5" t="s">
        <v>1568</v>
      </c>
      <c r="U155" s="5" t="s">
        <v>1569</v>
      </c>
      <c r="V155" s="5" t="s">
        <v>1570</v>
      </c>
      <c r="W155" s="5" t="s">
        <v>1571</v>
      </c>
      <c r="X155" s="5" t="s">
        <v>134</v>
      </c>
      <c r="Y155" s="5" t="s">
        <v>1572</v>
      </c>
      <c r="Z155" s="5" t="s">
        <v>1573</v>
      </c>
      <c r="AA155" s="8"/>
      <c r="AB155" s="5"/>
      <c r="AC155" s="5" t="s">
        <v>1574</v>
      </c>
      <c r="AD155" s="8">
        <v>45705</v>
      </c>
      <c r="AE155" s="5">
        <v>750000</v>
      </c>
      <c r="AF155" s="5">
        <v>350000</v>
      </c>
      <c r="AG155" s="5">
        <v>400000</v>
      </c>
      <c r="AH155" s="5">
        <v>750000</v>
      </c>
      <c r="AI155" s="8">
        <v>45713</v>
      </c>
      <c r="AJ155" s="5">
        <v>350000</v>
      </c>
      <c r="AK155" s="9">
        <v>45729</v>
      </c>
      <c r="AL155" s="5">
        <v>400000</v>
      </c>
      <c r="AM155" s="5"/>
    </row>
    <row r="156" spans="1:39" x14ac:dyDescent="0.3">
      <c r="A156" s="5" t="s">
        <v>1575</v>
      </c>
      <c r="B156" s="5">
        <v>2025</v>
      </c>
      <c r="C156" s="5" t="s">
        <v>40</v>
      </c>
      <c r="D156" s="5"/>
      <c r="E156" s="5" t="s">
        <v>1322</v>
      </c>
      <c r="F156" s="5" t="s">
        <v>1576</v>
      </c>
      <c r="G156" s="7">
        <v>27</v>
      </c>
      <c r="H156" s="7" t="s">
        <v>260</v>
      </c>
      <c r="I156" s="8">
        <v>45674</v>
      </c>
      <c r="J156" s="8">
        <v>45674</v>
      </c>
      <c r="K156" s="5"/>
      <c r="L156" s="5" t="s">
        <v>46</v>
      </c>
      <c r="M156" s="5" t="s">
        <v>1322</v>
      </c>
      <c r="N156" s="5" t="s">
        <v>1577</v>
      </c>
      <c r="O156" s="5">
        <v>14</v>
      </c>
      <c r="P156" s="5">
        <v>3068119861</v>
      </c>
      <c r="Q156" s="5">
        <v>30681198610</v>
      </c>
      <c r="R156" s="5" t="s">
        <v>1578</v>
      </c>
      <c r="S156" s="5"/>
      <c r="T156" s="5" t="s">
        <v>1579</v>
      </c>
      <c r="U156" s="5" t="s">
        <v>1580</v>
      </c>
      <c r="V156" s="5" t="s">
        <v>1581</v>
      </c>
      <c r="W156" s="5" t="s">
        <v>1582</v>
      </c>
      <c r="X156" s="5" t="s">
        <v>461</v>
      </c>
      <c r="Y156" s="5" t="s">
        <v>1583</v>
      </c>
      <c r="Z156" s="5" t="s">
        <v>1584</v>
      </c>
      <c r="AA156" s="8">
        <v>45701</v>
      </c>
      <c r="AB156" s="5" t="s">
        <v>218</v>
      </c>
      <c r="AC156" s="5" t="s">
        <v>1585</v>
      </c>
      <c r="AD156" s="8">
        <v>45705</v>
      </c>
      <c r="AE156" s="5">
        <v>600000</v>
      </c>
      <c r="AF156" s="5">
        <v>200000</v>
      </c>
      <c r="AG156" s="5">
        <v>400000</v>
      </c>
      <c r="AH156" s="5">
        <v>600000</v>
      </c>
      <c r="AI156" s="8">
        <v>45867</v>
      </c>
      <c r="AJ156" s="5">
        <v>200000</v>
      </c>
      <c r="AK156" s="9">
        <v>45729</v>
      </c>
      <c r="AL156" s="5">
        <v>400000</v>
      </c>
      <c r="AM156" s="5"/>
    </row>
    <row r="157" spans="1:39" x14ac:dyDescent="0.3">
      <c r="A157" s="5" t="s">
        <v>1586</v>
      </c>
      <c r="B157" s="5">
        <v>2025</v>
      </c>
      <c r="C157" s="5" t="s">
        <v>40</v>
      </c>
      <c r="D157" s="5" t="s">
        <v>94</v>
      </c>
      <c r="E157" s="5" t="s">
        <v>1322</v>
      </c>
      <c r="F157" s="5" t="s">
        <v>1587</v>
      </c>
      <c r="G157" s="7">
        <v>28</v>
      </c>
      <c r="H157" s="7" t="s">
        <v>273</v>
      </c>
      <c r="I157" s="8">
        <v>45674</v>
      </c>
      <c r="J157" s="8">
        <v>45674</v>
      </c>
      <c r="K157" s="5"/>
      <c r="L157" s="5" t="s">
        <v>218</v>
      </c>
      <c r="M157" s="5" t="s">
        <v>1322</v>
      </c>
      <c r="N157" s="5" t="s">
        <v>1588</v>
      </c>
      <c r="O157" s="5">
        <v>10</v>
      </c>
      <c r="P157" s="5">
        <v>3142266015</v>
      </c>
      <c r="Q157" s="5">
        <v>31422660150</v>
      </c>
      <c r="R157" s="5" t="s">
        <v>1589</v>
      </c>
      <c r="S157" s="5"/>
      <c r="T157" s="5" t="s">
        <v>1590</v>
      </c>
      <c r="U157" s="5" t="s">
        <v>1591</v>
      </c>
      <c r="V157" s="5" t="s">
        <v>1592</v>
      </c>
      <c r="W157" s="5" t="s">
        <v>1593</v>
      </c>
      <c r="X157" s="5" t="s">
        <v>1594</v>
      </c>
      <c r="Y157" s="5" t="s">
        <v>1595</v>
      </c>
      <c r="Z157" s="5" t="s">
        <v>1596</v>
      </c>
      <c r="AA157" s="8">
        <v>45701</v>
      </c>
      <c r="AB157" s="5" t="s">
        <v>218</v>
      </c>
      <c r="AC157" s="5" t="s">
        <v>1596</v>
      </c>
      <c r="AD157" s="8">
        <v>45705</v>
      </c>
      <c r="AE157" s="5">
        <v>600000</v>
      </c>
      <c r="AF157" s="5">
        <v>200000</v>
      </c>
      <c r="AG157" s="5">
        <v>400000</v>
      </c>
      <c r="AH157" s="5">
        <v>600000</v>
      </c>
      <c r="AI157" s="8">
        <v>45729</v>
      </c>
      <c r="AJ157" s="5">
        <v>200000</v>
      </c>
      <c r="AK157" s="9">
        <v>45729</v>
      </c>
      <c r="AL157" s="5">
        <v>400000</v>
      </c>
      <c r="AM157" s="5"/>
    </row>
    <row r="158" spans="1:39" x14ac:dyDescent="0.3">
      <c r="A158" s="5" t="s">
        <v>1597</v>
      </c>
      <c r="B158" s="5">
        <v>2025</v>
      </c>
      <c r="C158" s="5" t="s">
        <v>40</v>
      </c>
      <c r="D158" s="5" t="s">
        <v>94</v>
      </c>
      <c r="E158" s="5" t="s">
        <v>1322</v>
      </c>
      <c r="F158" s="5" t="s">
        <v>1598</v>
      </c>
      <c r="G158" s="7">
        <v>29</v>
      </c>
      <c r="H158" s="7" t="s">
        <v>285</v>
      </c>
      <c r="I158" s="8">
        <v>45674</v>
      </c>
      <c r="J158" s="8">
        <v>45674</v>
      </c>
      <c r="K158" s="5"/>
      <c r="L158" s="5" t="s">
        <v>181</v>
      </c>
      <c r="M158" s="5" t="s">
        <v>1322</v>
      </c>
      <c r="N158" s="5" t="s">
        <v>1599</v>
      </c>
      <c r="O158" s="5">
        <v>5</v>
      </c>
      <c r="P158" s="5">
        <v>7428601937</v>
      </c>
      <c r="Q158" s="5">
        <v>74286019370</v>
      </c>
      <c r="R158" s="5" t="s">
        <v>1600</v>
      </c>
      <c r="S158" s="5"/>
      <c r="T158" s="5" t="s">
        <v>1579</v>
      </c>
      <c r="U158" s="5" t="s">
        <v>1601</v>
      </c>
      <c r="V158" s="5" t="s">
        <v>1602</v>
      </c>
      <c r="W158" s="5" t="s">
        <v>1600</v>
      </c>
      <c r="X158" s="5" t="s">
        <v>78</v>
      </c>
      <c r="Y158" s="5" t="s">
        <v>1603</v>
      </c>
      <c r="Z158" s="5" t="s">
        <v>1604</v>
      </c>
      <c r="AA158" s="8">
        <v>45701</v>
      </c>
      <c r="AB158" s="5" t="s">
        <v>218</v>
      </c>
      <c r="AC158" s="5" t="s">
        <v>1604</v>
      </c>
      <c r="AD158" s="8">
        <v>45705</v>
      </c>
      <c r="AE158" s="5">
        <v>600000</v>
      </c>
      <c r="AF158" s="5">
        <v>200000</v>
      </c>
      <c r="AG158" s="5">
        <v>400000</v>
      </c>
      <c r="AH158" s="5">
        <v>600000</v>
      </c>
      <c r="AI158" s="8">
        <v>45706</v>
      </c>
      <c r="AJ158" s="5">
        <v>200000</v>
      </c>
      <c r="AK158" s="9">
        <v>45729</v>
      </c>
      <c r="AL158" s="5">
        <v>400000</v>
      </c>
      <c r="AM158" s="5"/>
    </row>
    <row r="159" spans="1:39" x14ac:dyDescent="0.3">
      <c r="A159" s="5" t="s">
        <v>1605</v>
      </c>
      <c r="B159" s="5">
        <v>2025</v>
      </c>
      <c r="C159" s="5" t="s">
        <v>40</v>
      </c>
      <c r="D159" s="5" t="s">
        <v>94</v>
      </c>
      <c r="E159" s="5" t="s">
        <v>1322</v>
      </c>
      <c r="F159" s="5" t="s">
        <v>1606</v>
      </c>
      <c r="G159" s="7">
        <v>30</v>
      </c>
      <c r="H159" s="7" t="s">
        <v>304</v>
      </c>
      <c r="I159" s="8">
        <v>45677</v>
      </c>
      <c r="J159" s="8">
        <v>45677</v>
      </c>
      <c r="K159" s="5"/>
      <c r="L159" s="5" t="s">
        <v>97</v>
      </c>
      <c r="M159" s="5" t="s">
        <v>1322</v>
      </c>
      <c r="N159" s="5" t="s">
        <v>1607</v>
      </c>
      <c r="O159" s="5">
        <v>8</v>
      </c>
      <c r="P159" s="5">
        <v>7382500675</v>
      </c>
      <c r="Q159" s="5">
        <v>73825006750</v>
      </c>
      <c r="R159" s="5" t="s">
        <v>1608</v>
      </c>
      <c r="S159" s="5"/>
      <c r="T159" s="5" t="s">
        <v>1609</v>
      </c>
      <c r="U159" s="5" t="s">
        <v>1610</v>
      </c>
      <c r="V159" s="5" t="s">
        <v>1611</v>
      </c>
      <c r="W159" s="5" t="s">
        <v>1608</v>
      </c>
      <c r="X159" s="5" t="s">
        <v>78</v>
      </c>
      <c r="Y159" s="5" t="s">
        <v>1612</v>
      </c>
      <c r="Z159" s="5" t="s">
        <v>1613</v>
      </c>
      <c r="AA159" s="8">
        <v>45701</v>
      </c>
      <c r="AB159" s="5" t="s">
        <v>61</v>
      </c>
      <c r="AC159" s="5" t="s">
        <v>1613</v>
      </c>
      <c r="AD159" s="8">
        <v>45705</v>
      </c>
      <c r="AE159" s="5">
        <v>600000</v>
      </c>
      <c r="AF159" s="5">
        <v>200000</v>
      </c>
      <c r="AG159" s="5">
        <v>400000</v>
      </c>
      <c r="AH159" s="5">
        <v>600000</v>
      </c>
      <c r="AI159" s="8">
        <v>45713</v>
      </c>
      <c r="AJ159" s="5">
        <v>200000</v>
      </c>
      <c r="AK159" s="9">
        <v>45729</v>
      </c>
      <c r="AL159" s="5">
        <v>400000</v>
      </c>
      <c r="AM159" s="5"/>
    </row>
    <row r="160" spans="1:39" x14ac:dyDescent="0.3">
      <c r="A160" s="5" t="s">
        <v>1614</v>
      </c>
      <c r="B160" s="5">
        <v>2025</v>
      </c>
      <c r="C160" s="5" t="s">
        <v>40</v>
      </c>
      <c r="D160" s="5" t="s">
        <v>1615</v>
      </c>
      <c r="E160" s="5" t="s">
        <v>1322</v>
      </c>
      <c r="F160" s="5" t="s">
        <v>1616</v>
      </c>
      <c r="G160" s="7">
        <v>31</v>
      </c>
      <c r="H160" s="7" t="s">
        <v>304</v>
      </c>
      <c r="I160" s="8">
        <v>45677</v>
      </c>
      <c r="J160" s="8">
        <v>45677</v>
      </c>
      <c r="K160" s="5"/>
      <c r="L160" s="5" t="s">
        <v>73</v>
      </c>
      <c r="M160" s="5" t="s">
        <v>1322</v>
      </c>
      <c r="N160" s="5" t="s">
        <v>1617</v>
      </c>
      <c r="O160" s="5">
        <v>2</v>
      </c>
      <c r="P160" s="5">
        <v>8754600756</v>
      </c>
      <c r="Q160" s="5">
        <v>87546007560</v>
      </c>
      <c r="R160" s="5" t="s">
        <v>1618</v>
      </c>
      <c r="S160" s="5"/>
      <c r="T160" s="5" t="s">
        <v>1619</v>
      </c>
      <c r="U160" s="5" t="s">
        <v>1620</v>
      </c>
      <c r="V160" s="5" t="s">
        <v>1620</v>
      </c>
      <c r="W160" s="5" t="s">
        <v>1618</v>
      </c>
      <c r="X160" s="5" t="s">
        <v>78</v>
      </c>
      <c r="Y160" s="5" t="s">
        <v>1621</v>
      </c>
      <c r="Z160" s="5" t="s">
        <v>1622</v>
      </c>
      <c r="AA160" s="8">
        <v>45701</v>
      </c>
      <c r="AB160" s="5" t="s">
        <v>61</v>
      </c>
      <c r="AC160" s="5"/>
      <c r="AD160" s="8">
        <v>45705</v>
      </c>
      <c r="AE160" s="5">
        <v>600000</v>
      </c>
      <c r="AF160" s="5">
        <v>200000</v>
      </c>
      <c r="AG160" s="5">
        <v>400000</v>
      </c>
      <c r="AH160" s="5">
        <v>600000</v>
      </c>
      <c r="AI160" s="8">
        <v>45705</v>
      </c>
      <c r="AJ160" s="5">
        <v>200000</v>
      </c>
      <c r="AK160" s="9">
        <v>45729</v>
      </c>
      <c r="AL160" s="5">
        <v>400000</v>
      </c>
      <c r="AM160" s="5"/>
    </row>
    <row r="161" spans="1:39" x14ac:dyDescent="0.3">
      <c r="A161" s="5" t="s">
        <v>1623</v>
      </c>
      <c r="B161" s="5">
        <v>2025</v>
      </c>
      <c r="C161" s="5" t="s">
        <v>40</v>
      </c>
      <c r="D161" s="5"/>
      <c r="E161" s="5" t="s">
        <v>1322</v>
      </c>
      <c r="F161" s="5" t="s">
        <v>1624</v>
      </c>
      <c r="G161" s="7">
        <v>32</v>
      </c>
      <c r="H161" s="7" t="s">
        <v>304</v>
      </c>
      <c r="I161" s="8">
        <v>45677</v>
      </c>
      <c r="J161" s="8">
        <v>45677</v>
      </c>
      <c r="K161" s="5"/>
      <c r="L161" s="5" t="s">
        <v>61</v>
      </c>
      <c r="M161" s="5" t="s">
        <v>1322</v>
      </c>
      <c r="N161" s="5" t="s">
        <v>1625</v>
      </c>
      <c r="O161" s="5">
        <v>1</v>
      </c>
      <c r="P161" s="5">
        <v>3053220955</v>
      </c>
      <c r="Q161" s="5">
        <v>30532209550</v>
      </c>
      <c r="R161" s="5" t="s">
        <v>1626</v>
      </c>
      <c r="S161" s="5"/>
      <c r="T161" s="5" t="s">
        <v>1627</v>
      </c>
      <c r="U161" s="5" t="s">
        <v>1628</v>
      </c>
      <c r="V161" s="5" t="s">
        <v>1629</v>
      </c>
      <c r="W161" s="5" t="s">
        <v>1626</v>
      </c>
      <c r="X161" s="5" t="s">
        <v>78</v>
      </c>
      <c r="Y161" s="5" t="s">
        <v>1630</v>
      </c>
      <c r="Z161" s="5" t="s">
        <v>1631</v>
      </c>
      <c r="AA161" s="8">
        <v>45701</v>
      </c>
      <c r="AB161" s="5" t="s">
        <v>61</v>
      </c>
      <c r="AC161" s="5" t="s">
        <v>1631</v>
      </c>
      <c r="AD161" s="8">
        <v>45705</v>
      </c>
      <c r="AE161" s="5">
        <v>600000</v>
      </c>
      <c r="AF161" s="5">
        <v>200000</v>
      </c>
      <c r="AG161" s="5">
        <v>400000</v>
      </c>
      <c r="AH161" s="5">
        <v>600000</v>
      </c>
      <c r="AI161" s="8">
        <v>45715</v>
      </c>
      <c r="AJ161" s="5">
        <v>200000</v>
      </c>
      <c r="AK161" s="9">
        <v>45729</v>
      </c>
      <c r="AL161" s="5">
        <v>400000</v>
      </c>
      <c r="AM161" s="5"/>
    </row>
    <row r="162" spans="1:39" x14ac:dyDescent="0.3">
      <c r="A162" s="5" t="s">
        <v>1632</v>
      </c>
      <c r="B162" s="5">
        <v>2025</v>
      </c>
      <c r="C162" s="5" t="s">
        <v>40</v>
      </c>
      <c r="D162" s="5" t="s">
        <v>94</v>
      </c>
      <c r="E162" s="5" t="s">
        <v>1322</v>
      </c>
      <c r="F162" s="5" t="s">
        <v>1633</v>
      </c>
      <c r="G162" s="7">
        <v>33</v>
      </c>
      <c r="H162" s="7" t="s">
        <v>327</v>
      </c>
      <c r="I162" s="8">
        <v>45677</v>
      </c>
      <c r="J162" s="8">
        <v>45677</v>
      </c>
      <c r="K162" s="5"/>
      <c r="L162" s="5" t="s">
        <v>46</v>
      </c>
      <c r="M162" s="5" t="s">
        <v>1322</v>
      </c>
      <c r="N162" s="5" t="s">
        <v>1634</v>
      </c>
      <c r="O162" s="5">
        <v>9</v>
      </c>
      <c r="P162" s="5">
        <v>3058165912</v>
      </c>
      <c r="Q162" s="5">
        <v>30581659120</v>
      </c>
      <c r="R162" s="5" t="s">
        <v>1635</v>
      </c>
      <c r="S162" s="5"/>
      <c r="T162" s="5" t="s">
        <v>1636</v>
      </c>
      <c r="U162" s="5" t="s">
        <v>1637</v>
      </c>
      <c r="V162" s="5" t="s">
        <v>1638</v>
      </c>
      <c r="W162" s="5" t="s">
        <v>1635</v>
      </c>
      <c r="X162" s="5" t="s">
        <v>78</v>
      </c>
      <c r="Y162" s="5" t="s">
        <v>1639</v>
      </c>
      <c r="Z162" s="5" t="s">
        <v>1640</v>
      </c>
      <c r="AA162" s="8">
        <v>45701</v>
      </c>
      <c r="AB162" s="5" t="s">
        <v>181</v>
      </c>
      <c r="AC162" s="5" t="s">
        <v>1640</v>
      </c>
      <c r="AD162" s="8">
        <v>45705</v>
      </c>
      <c r="AE162" s="5">
        <v>600000</v>
      </c>
      <c r="AF162" s="5">
        <v>200000</v>
      </c>
      <c r="AG162" s="5">
        <v>400000</v>
      </c>
      <c r="AH162" s="5">
        <v>600000</v>
      </c>
      <c r="AI162" s="8">
        <v>45706</v>
      </c>
      <c r="AJ162" s="5">
        <v>200000</v>
      </c>
      <c r="AK162" s="9">
        <v>45729</v>
      </c>
      <c r="AL162" s="5">
        <v>400000</v>
      </c>
      <c r="AM162" s="5"/>
    </row>
    <row r="163" spans="1:39" x14ac:dyDescent="0.3">
      <c r="A163" s="5" t="s">
        <v>1641</v>
      </c>
      <c r="B163" s="5">
        <v>2025</v>
      </c>
      <c r="C163" s="5" t="s">
        <v>40</v>
      </c>
      <c r="D163" s="5" t="s">
        <v>94</v>
      </c>
      <c r="E163" s="5" t="s">
        <v>1322</v>
      </c>
      <c r="F163" s="5" t="s">
        <v>1642</v>
      </c>
      <c r="G163" s="7">
        <v>34</v>
      </c>
      <c r="H163" s="7" t="s">
        <v>327</v>
      </c>
      <c r="I163" s="8">
        <v>45677</v>
      </c>
      <c r="J163" s="8">
        <v>45677</v>
      </c>
      <c r="K163" s="5"/>
      <c r="L163" s="5" t="s">
        <v>218</v>
      </c>
      <c r="M163" s="5" t="s">
        <v>1322</v>
      </c>
      <c r="N163" s="5" t="s">
        <v>1643</v>
      </c>
      <c r="O163" s="5">
        <v>2</v>
      </c>
      <c r="P163" s="5">
        <v>4401900059</v>
      </c>
      <c r="Q163" s="5">
        <v>44019000590</v>
      </c>
      <c r="R163" s="5" t="s">
        <v>1644</v>
      </c>
      <c r="S163" s="5"/>
      <c r="T163" s="5" t="s">
        <v>1636</v>
      </c>
      <c r="U163" s="5" t="s">
        <v>1645</v>
      </c>
      <c r="V163" s="5" t="s">
        <v>1646</v>
      </c>
      <c r="W163" s="5" t="s">
        <v>1647</v>
      </c>
      <c r="X163" s="5" t="s">
        <v>78</v>
      </c>
      <c r="Y163" s="5" t="s">
        <v>1648</v>
      </c>
      <c r="Z163" s="5" t="s">
        <v>1649</v>
      </c>
      <c r="AA163" s="8">
        <v>45705</v>
      </c>
      <c r="AB163" s="5" t="s">
        <v>181</v>
      </c>
      <c r="AC163" s="5" t="s">
        <v>1649</v>
      </c>
      <c r="AD163" s="8">
        <v>45707</v>
      </c>
      <c r="AE163" s="5">
        <v>600000</v>
      </c>
      <c r="AF163" s="5">
        <v>200000</v>
      </c>
      <c r="AG163" s="5">
        <v>400000</v>
      </c>
      <c r="AH163" s="5">
        <v>600000</v>
      </c>
      <c r="AI163" s="8">
        <v>46009</v>
      </c>
      <c r="AJ163" s="5">
        <v>200000</v>
      </c>
      <c r="AK163" s="9">
        <v>45729</v>
      </c>
      <c r="AL163" s="5">
        <v>400000</v>
      </c>
      <c r="AM163" s="5"/>
    </row>
    <row r="164" spans="1:39" x14ac:dyDescent="0.3">
      <c r="A164" s="5" t="s">
        <v>1650</v>
      </c>
      <c r="B164" s="5">
        <v>2025</v>
      </c>
      <c r="C164" s="5" t="s">
        <v>40</v>
      </c>
      <c r="D164" s="5" t="s">
        <v>94</v>
      </c>
      <c r="E164" s="5" t="s">
        <v>1322</v>
      </c>
      <c r="F164" s="5" t="s">
        <v>1651</v>
      </c>
      <c r="G164" s="7">
        <v>35</v>
      </c>
      <c r="H164" s="7" t="s">
        <v>333</v>
      </c>
      <c r="I164" s="8">
        <v>45677</v>
      </c>
      <c r="J164" s="8">
        <v>45677</v>
      </c>
      <c r="K164" s="5"/>
      <c r="L164" s="5" t="s">
        <v>181</v>
      </c>
      <c r="M164" s="5" t="s">
        <v>1322</v>
      </c>
      <c r="N164" s="5" t="s">
        <v>1652</v>
      </c>
      <c r="O164" s="5">
        <v>10</v>
      </c>
      <c r="P164" s="5">
        <v>1790302528</v>
      </c>
      <c r="Q164" s="5">
        <v>17903025280</v>
      </c>
      <c r="R164" s="5" t="s">
        <v>1653</v>
      </c>
      <c r="S164" s="5"/>
      <c r="T164" s="5" t="s">
        <v>1654</v>
      </c>
      <c r="U164" s="5" t="s">
        <v>1655</v>
      </c>
      <c r="V164" s="5" t="s">
        <v>1656</v>
      </c>
      <c r="W164" s="5" t="s">
        <v>1657</v>
      </c>
      <c r="X164" s="5" t="s">
        <v>112</v>
      </c>
      <c r="Y164" s="5" t="s">
        <v>1658</v>
      </c>
      <c r="Z164" s="5" t="s">
        <v>1659</v>
      </c>
      <c r="AA164" s="8">
        <v>45706</v>
      </c>
      <c r="AB164" s="5" t="s">
        <v>181</v>
      </c>
      <c r="AC164" s="5" t="s">
        <v>1659</v>
      </c>
      <c r="AD164" s="8">
        <v>45707</v>
      </c>
      <c r="AE164" s="5">
        <v>600000</v>
      </c>
      <c r="AF164" s="5">
        <v>200000</v>
      </c>
      <c r="AG164" s="5">
        <v>400000</v>
      </c>
      <c r="AH164" s="5">
        <v>600000</v>
      </c>
      <c r="AI164" s="8">
        <v>45894</v>
      </c>
      <c r="AJ164" s="5">
        <v>200000</v>
      </c>
      <c r="AK164" s="9">
        <v>45729</v>
      </c>
      <c r="AL164" s="5">
        <v>400000</v>
      </c>
      <c r="AM164" s="5" t="s">
        <v>1660</v>
      </c>
    </row>
    <row r="165" spans="1:39" x14ac:dyDescent="0.3">
      <c r="A165" s="5" t="s">
        <v>1661</v>
      </c>
      <c r="B165" s="5">
        <v>2025</v>
      </c>
      <c r="C165" s="5" t="s">
        <v>40</v>
      </c>
      <c r="D165" s="5" t="s">
        <v>94</v>
      </c>
      <c r="E165" s="5" t="s">
        <v>1322</v>
      </c>
      <c r="F165" s="5" t="s">
        <v>1662</v>
      </c>
      <c r="G165" s="7">
        <v>36</v>
      </c>
      <c r="H165" s="7" t="s">
        <v>344</v>
      </c>
      <c r="I165" s="8">
        <v>45678</v>
      </c>
      <c r="J165" s="8">
        <v>45678</v>
      </c>
      <c r="K165" s="5"/>
      <c r="L165" s="5" t="s">
        <v>97</v>
      </c>
      <c r="M165" s="5" t="s">
        <v>1322</v>
      </c>
      <c r="N165" s="5" t="s">
        <v>1663</v>
      </c>
      <c r="O165" s="5">
        <v>8</v>
      </c>
      <c r="P165" s="5">
        <v>3052481428</v>
      </c>
      <c r="Q165" s="5">
        <v>30524814280</v>
      </c>
      <c r="R165" s="5" t="s">
        <v>1664</v>
      </c>
      <c r="S165" s="5"/>
      <c r="T165" s="5" t="s">
        <v>1665</v>
      </c>
      <c r="U165" s="5" t="s">
        <v>1666</v>
      </c>
      <c r="V165" s="5" t="s">
        <v>1667</v>
      </c>
      <c r="W165" s="5" t="s">
        <v>1060</v>
      </c>
      <c r="X165" s="5" t="s">
        <v>112</v>
      </c>
      <c r="Y165" s="5" t="s">
        <v>1668</v>
      </c>
      <c r="Z165" s="5" t="s">
        <v>1669</v>
      </c>
      <c r="AA165" s="8">
        <v>45701</v>
      </c>
      <c r="AB165" s="5" t="s">
        <v>218</v>
      </c>
      <c r="AC165" s="5" t="s">
        <v>1669</v>
      </c>
      <c r="AD165" s="8">
        <v>45705</v>
      </c>
      <c r="AE165" s="5">
        <v>600000</v>
      </c>
      <c r="AF165" s="5">
        <v>200000</v>
      </c>
      <c r="AG165" s="5">
        <v>400000</v>
      </c>
      <c r="AH165" s="5">
        <v>600000</v>
      </c>
      <c r="AI165" s="8">
        <v>45712</v>
      </c>
      <c r="AJ165" s="5">
        <v>200000</v>
      </c>
      <c r="AK165" s="9">
        <v>45729</v>
      </c>
      <c r="AL165" s="5">
        <v>400000</v>
      </c>
      <c r="AM165" s="5"/>
    </row>
    <row r="166" spans="1:39" x14ac:dyDescent="0.3">
      <c r="A166" s="5" t="s">
        <v>1670</v>
      </c>
      <c r="B166" s="5">
        <v>2025</v>
      </c>
      <c r="C166" s="5" t="s">
        <v>40</v>
      </c>
      <c r="D166" s="5" t="s">
        <v>94</v>
      </c>
      <c r="E166" s="5" t="s">
        <v>1322</v>
      </c>
      <c r="F166" s="5" t="s">
        <v>1671</v>
      </c>
      <c r="G166" s="7">
        <v>37</v>
      </c>
      <c r="H166" s="7" t="s">
        <v>353</v>
      </c>
      <c r="I166" s="8">
        <v>45678</v>
      </c>
      <c r="J166" s="8">
        <v>45678</v>
      </c>
      <c r="K166" s="5"/>
      <c r="L166" s="5" t="s">
        <v>73</v>
      </c>
      <c r="M166" s="5" t="s">
        <v>1322</v>
      </c>
      <c r="N166" s="5" t="s">
        <v>1672</v>
      </c>
      <c r="O166" s="5">
        <v>11</v>
      </c>
      <c r="P166" s="5">
        <v>3052599003</v>
      </c>
      <c r="Q166" s="5">
        <v>30525990030</v>
      </c>
      <c r="R166" s="5" t="s">
        <v>1673</v>
      </c>
      <c r="S166" s="5"/>
      <c r="T166" s="5" t="s">
        <v>1674</v>
      </c>
      <c r="U166" s="5" t="s">
        <v>1675</v>
      </c>
      <c r="V166" s="5" t="s">
        <v>1676</v>
      </c>
      <c r="W166" s="5" t="s">
        <v>1677</v>
      </c>
      <c r="X166" s="5" t="s">
        <v>461</v>
      </c>
      <c r="Y166" s="5" t="s">
        <v>1678</v>
      </c>
      <c r="Z166" s="5" t="s">
        <v>1679</v>
      </c>
      <c r="AA166" s="8">
        <v>45701</v>
      </c>
      <c r="AB166" s="5" t="s">
        <v>218</v>
      </c>
      <c r="AC166" s="5" t="s">
        <v>1679</v>
      </c>
      <c r="AD166" s="8">
        <v>45705</v>
      </c>
      <c r="AE166" s="5">
        <v>600000</v>
      </c>
      <c r="AF166" s="5">
        <v>200000</v>
      </c>
      <c r="AG166" s="5">
        <v>400000</v>
      </c>
      <c r="AH166" s="5">
        <v>600000</v>
      </c>
      <c r="AI166" s="8">
        <v>45734</v>
      </c>
      <c r="AJ166" s="5">
        <v>200000</v>
      </c>
      <c r="AK166" s="9">
        <v>45729</v>
      </c>
      <c r="AL166" s="5">
        <v>400000</v>
      </c>
      <c r="AM166" s="5"/>
    </row>
    <row r="167" spans="1:39" x14ac:dyDescent="0.3">
      <c r="A167" s="5" t="s">
        <v>1680</v>
      </c>
      <c r="B167" s="5">
        <v>2025</v>
      </c>
      <c r="C167" s="5" t="s">
        <v>40</v>
      </c>
      <c r="D167" s="5" t="s">
        <v>94</v>
      </c>
      <c r="E167" s="5" t="s">
        <v>1322</v>
      </c>
      <c r="F167" s="5" t="s">
        <v>1681</v>
      </c>
      <c r="G167" s="7">
        <v>38</v>
      </c>
      <c r="H167" s="7" t="s">
        <v>372</v>
      </c>
      <c r="I167" s="8">
        <v>45678</v>
      </c>
      <c r="J167" s="8">
        <v>45678</v>
      </c>
      <c r="K167" s="5"/>
      <c r="L167" s="5" t="s">
        <v>218</v>
      </c>
      <c r="M167" s="5" t="s">
        <v>1322</v>
      </c>
      <c r="N167" s="5" t="s">
        <v>1682</v>
      </c>
      <c r="O167" s="5">
        <v>12</v>
      </c>
      <c r="P167" s="5">
        <v>7218800255</v>
      </c>
      <c r="Q167" s="5">
        <v>72188002550</v>
      </c>
      <c r="R167" s="5" t="s">
        <v>1683</v>
      </c>
      <c r="S167" s="5"/>
      <c r="T167" s="5" t="s">
        <v>1684</v>
      </c>
      <c r="U167" s="5" t="s">
        <v>1685</v>
      </c>
      <c r="V167" s="5" t="s">
        <v>1686</v>
      </c>
      <c r="W167" s="5" t="s">
        <v>1687</v>
      </c>
      <c r="X167" s="5" t="s">
        <v>461</v>
      </c>
      <c r="Y167" s="5" t="s">
        <v>1688</v>
      </c>
      <c r="Z167" s="5" t="s">
        <v>1689</v>
      </c>
      <c r="AA167" s="8">
        <v>45701</v>
      </c>
      <c r="AB167" s="5" t="s">
        <v>218</v>
      </c>
      <c r="AC167" s="5" t="s">
        <v>1690</v>
      </c>
      <c r="AD167" s="8">
        <v>45705</v>
      </c>
      <c r="AE167" s="5">
        <v>600000</v>
      </c>
      <c r="AF167" s="5">
        <v>200000</v>
      </c>
      <c r="AG167" s="5">
        <v>400000</v>
      </c>
      <c r="AH167" s="5">
        <v>600000</v>
      </c>
      <c r="AI167" s="8">
        <v>45707</v>
      </c>
      <c r="AJ167" s="5">
        <v>200000</v>
      </c>
      <c r="AK167" s="9">
        <v>45729</v>
      </c>
      <c r="AL167" s="5">
        <v>400000</v>
      </c>
      <c r="AM167" s="5"/>
    </row>
    <row r="168" spans="1:39" x14ac:dyDescent="0.3">
      <c r="A168" s="5" t="s">
        <v>1691</v>
      </c>
      <c r="B168" s="5">
        <v>2025</v>
      </c>
      <c r="C168" s="5" t="s">
        <v>40</v>
      </c>
      <c r="D168" s="5" t="s">
        <v>94</v>
      </c>
      <c r="E168" s="5" t="s">
        <v>1322</v>
      </c>
      <c r="F168" s="5" t="s">
        <v>1692</v>
      </c>
      <c r="G168" s="7">
        <v>39</v>
      </c>
      <c r="H168" s="7" t="s">
        <v>382</v>
      </c>
      <c r="I168" s="8">
        <v>45678</v>
      </c>
      <c r="J168" s="8">
        <v>45678</v>
      </c>
      <c r="K168" s="5"/>
      <c r="L168" s="5" t="s">
        <v>46</v>
      </c>
      <c r="M168" s="5" t="s">
        <v>1322</v>
      </c>
      <c r="N168" s="5" t="s">
        <v>1693</v>
      </c>
      <c r="O168" s="5">
        <v>5</v>
      </c>
      <c r="P168" s="5">
        <v>3142901893</v>
      </c>
      <c r="Q168" s="5">
        <v>31429018930</v>
      </c>
      <c r="R168" s="5" t="s">
        <v>1694</v>
      </c>
      <c r="S168" s="5"/>
      <c r="T168" s="5" t="s">
        <v>1695</v>
      </c>
      <c r="U168" s="5" t="s">
        <v>1696</v>
      </c>
      <c r="V168" s="5" t="s">
        <v>1697</v>
      </c>
      <c r="W168" s="5" t="s">
        <v>1698</v>
      </c>
      <c r="X168" s="5" t="s">
        <v>1699</v>
      </c>
      <c r="Y168" s="5" t="s">
        <v>1700</v>
      </c>
      <c r="Z168" s="5" t="s">
        <v>1701</v>
      </c>
      <c r="AA168" s="8">
        <v>45707</v>
      </c>
      <c r="AB168" s="5" t="s">
        <v>181</v>
      </c>
      <c r="AC168" s="5" t="s">
        <v>1701</v>
      </c>
      <c r="AD168" s="8">
        <v>45712</v>
      </c>
      <c r="AE168" s="5">
        <v>600000</v>
      </c>
      <c r="AF168" s="5">
        <v>200000</v>
      </c>
      <c r="AG168" s="5">
        <v>400000</v>
      </c>
      <c r="AH168" s="5">
        <v>600000</v>
      </c>
      <c r="AI168" s="8">
        <v>45819</v>
      </c>
      <c r="AJ168" s="5">
        <v>200000</v>
      </c>
      <c r="AK168" s="9">
        <v>45729</v>
      </c>
      <c r="AL168" s="5">
        <v>400000</v>
      </c>
      <c r="AM168" s="5"/>
    </row>
    <row r="169" spans="1:39" x14ac:dyDescent="0.3">
      <c r="A169" s="5" t="s">
        <v>1702</v>
      </c>
      <c r="B169" s="5">
        <v>2025</v>
      </c>
      <c r="C169" s="5" t="s">
        <v>40</v>
      </c>
      <c r="D169" s="5" t="s">
        <v>94</v>
      </c>
      <c r="E169" s="5" t="s">
        <v>1322</v>
      </c>
      <c r="F169" s="5" t="s">
        <v>1703</v>
      </c>
      <c r="G169" s="7">
        <v>40</v>
      </c>
      <c r="H169" s="7" t="s">
        <v>393</v>
      </c>
      <c r="I169" s="8">
        <v>45678</v>
      </c>
      <c r="J169" s="8">
        <v>45678</v>
      </c>
      <c r="K169" s="5"/>
      <c r="L169" s="5" t="s">
        <v>61</v>
      </c>
      <c r="M169" s="5" t="s">
        <v>1322</v>
      </c>
      <c r="N169" s="5" t="s">
        <v>1704</v>
      </c>
      <c r="O169" s="5">
        <v>8</v>
      </c>
      <c r="P169" s="5">
        <v>3053238775</v>
      </c>
      <c r="Q169" s="5">
        <v>30532387750</v>
      </c>
      <c r="R169" s="5" t="s">
        <v>1705</v>
      </c>
      <c r="S169" s="5"/>
      <c r="T169" s="5" t="s">
        <v>1706</v>
      </c>
      <c r="U169" s="5" t="s">
        <v>1707</v>
      </c>
      <c r="V169" s="5" t="s">
        <v>1708</v>
      </c>
      <c r="W169" s="5" t="s">
        <v>1705</v>
      </c>
      <c r="X169" s="5" t="s">
        <v>78</v>
      </c>
      <c r="Y169" s="5" t="s">
        <v>1709</v>
      </c>
      <c r="Z169" s="5" t="s">
        <v>1710</v>
      </c>
      <c r="AA169" s="8">
        <v>45707</v>
      </c>
      <c r="AB169" s="5" t="s">
        <v>181</v>
      </c>
      <c r="AC169" s="5" t="s">
        <v>1710</v>
      </c>
      <c r="AD169" s="8">
        <v>45712</v>
      </c>
      <c r="AE169" s="5">
        <v>600000</v>
      </c>
      <c r="AF169" s="5">
        <v>200000</v>
      </c>
      <c r="AG169" s="5">
        <v>400000</v>
      </c>
      <c r="AH169" s="5">
        <v>600000</v>
      </c>
      <c r="AI169" s="8">
        <v>45713</v>
      </c>
      <c r="AJ169" s="5">
        <v>200000</v>
      </c>
      <c r="AK169" s="9">
        <v>45729</v>
      </c>
      <c r="AL169" s="5">
        <v>400000</v>
      </c>
      <c r="AM169" s="5"/>
    </row>
    <row r="170" spans="1:39" x14ac:dyDescent="0.3">
      <c r="A170" s="5" t="s">
        <v>1711</v>
      </c>
      <c r="B170" s="5">
        <v>2025</v>
      </c>
      <c r="C170" s="5" t="s">
        <v>40</v>
      </c>
      <c r="D170" s="5" t="s">
        <v>94</v>
      </c>
      <c r="E170" s="5" t="s">
        <v>1322</v>
      </c>
      <c r="F170" s="5" t="s">
        <v>1712</v>
      </c>
      <c r="G170" s="7">
        <v>41</v>
      </c>
      <c r="H170" s="7" t="s">
        <v>404</v>
      </c>
      <c r="I170" s="8">
        <v>45678</v>
      </c>
      <c r="J170" s="8">
        <v>45678</v>
      </c>
      <c r="K170" s="5"/>
      <c r="L170" s="5" t="s">
        <v>181</v>
      </c>
      <c r="M170" s="5" t="s">
        <v>1322</v>
      </c>
      <c r="N170" s="5" t="s">
        <v>1713</v>
      </c>
      <c r="O170" s="5">
        <v>17</v>
      </c>
      <c r="P170" s="5">
        <v>3058189705</v>
      </c>
      <c r="Q170" s="5">
        <v>30581897050</v>
      </c>
      <c r="R170" s="5" t="s">
        <v>1714</v>
      </c>
      <c r="S170" s="5"/>
      <c r="T170" s="5" t="s">
        <v>1715</v>
      </c>
      <c r="U170" s="5" t="s">
        <v>1716</v>
      </c>
      <c r="V170" s="5" t="s">
        <v>1717</v>
      </c>
      <c r="W170" s="5" t="s">
        <v>1718</v>
      </c>
      <c r="X170" s="5" t="s">
        <v>461</v>
      </c>
      <c r="Y170" s="5" t="s">
        <v>1719</v>
      </c>
      <c r="Z170" s="5" t="s">
        <v>1720</v>
      </c>
      <c r="AA170" s="8">
        <v>45707</v>
      </c>
      <c r="AB170" s="5" t="s">
        <v>181</v>
      </c>
      <c r="AC170" s="5" t="s">
        <v>1720</v>
      </c>
      <c r="AD170" s="8">
        <v>45712</v>
      </c>
      <c r="AE170" s="5">
        <v>600000</v>
      </c>
      <c r="AF170" s="5">
        <v>200000</v>
      </c>
      <c r="AG170" s="5">
        <v>400000</v>
      </c>
      <c r="AH170" s="5">
        <v>600000</v>
      </c>
      <c r="AI170" s="8">
        <v>45867</v>
      </c>
      <c r="AJ170" s="5">
        <v>200000</v>
      </c>
      <c r="AK170" s="9">
        <v>45729</v>
      </c>
      <c r="AL170" s="5">
        <v>400000</v>
      </c>
      <c r="AM170" s="5"/>
    </row>
    <row r="171" spans="1:39" x14ac:dyDescent="0.3">
      <c r="A171" s="5" t="s">
        <v>1721</v>
      </c>
      <c r="B171" s="5">
        <v>2025</v>
      </c>
      <c r="C171" s="5" t="s">
        <v>40</v>
      </c>
      <c r="D171" s="5" t="s">
        <v>94</v>
      </c>
      <c r="E171" s="5" t="s">
        <v>1322</v>
      </c>
      <c r="F171" s="5" t="s">
        <v>1722</v>
      </c>
      <c r="G171" s="7">
        <v>42</v>
      </c>
      <c r="H171" s="7" t="s">
        <v>410</v>
      </c>
      <c r="I171" s="8">
        <v>45680</v>
      </c>
      <c r="J171" s="8">
        <v>45680</v>
      </c>
      <c r="K171" s="5"/>
      <c r="L171" s="5" t="s">
        <v>73</v>
      </c>
      <c r="M171" s="5" t="s">
        <v>1322</v>
      </c>
      <c r="N171" s="5" t="s">
        <v>1723</v>
      </c>
      <c r="O171" s="5">
        <v>13</v>
      </c>
      <c r="P171" s="5">
        <v>3142626215</v>
      </c>
      <c r="Q171" s="5">
        <v>31426262150</v>
      </c>
      <c r="R171" s="5" t="s">
        <v>1724</v>
      </c>
      <c r="S171" s="5"/>
      <c r="T171" s="5" t="s">
        <v>1725</v>
      </c>
      <c r="U171" s="5" t="s">
        <v>1726</v>
      </c>
      <c r="V171" s="5" t="s">
        <v>1727</v>
      </c>
      <c r="W171" s="5" t="s">
        <v>1728</v>
      </c>
      <c r="X171" s="5"/>
      <c r="Y171" s="5" t="s">
        <v>1729</v>
      </c>
      <c r="Z171" s="5" t="s">
        <v>1730</v>
      </c>
      <c r="AA171" s="8">
        <v>45701</v>
      </c>
      <c r="AB171" s="5" t="s">
        <v>218</v>
      </c>
      <c r="AC171" s="5" t="s">
        <v>1730</v>
      </c>
      <c r="AD171" s="8">
        <v>45705</v>
      </c>
      <c r="AE171" s="5">
        <v>600000</v>
      </c>
      <c r="AF171" s="5">
        <v>200000</v>
      </c>
      <c r="AG171" s="5">
        <v>400000</v>
      </c>
      <c r="AH171" s="5">
        <v>600000</v>
      </c>
      <c r="AI171" s="8">
        <v>45707</v>
      </c>
      <c r="AJ171" s="5">
        <v>200000</v>
      </c>
      <c r="AK171" s="9">
        <v>45729</v>
      </c>
      <c r="AL171" s="5">
        <v>400000</v>
      </c>
      <c r="AM171" s="5"/>
    </row>
    <row r="172" spans="1:39" x14ac:dyDescent="0.3">
      <c r="A172" s="5" t="s">
        <v>1731</v>
      </c>
      <c r="B172" s="5">
        <v>2025</v>
      </c>
      <c r="C172" s="5" t="s">
        <v>40</v>
      </c>
      <c r="D172" s="5" t="s">
        <v>94</v>
      </c>
      <c r="E172" s="5" t="s">
        <v>1322</v>
      </c>
      <c r="F172" s="5" t="s">
        <v>1732</v>
      </c>
      <c r="G172" s="7">
        <v>43</v>
      </c>
      <c r="H172" s="7" t="s">
        <v>423</v>
      </c>
      <c r="I172" s="8">
        <v>45680</v>
      </c>
      <c r="J172" s="8">
        <v>45680</v>
      </c>
      <c r="K172" s="5"/>
      <c r="L172" s="5" t="s">
        <v>218</v>
      </c>
      <c r="M172" s="5" t="s">
        <v>1322</v>
      </c>
      <c r="N172" s="5" t="s">
        <v>1733</v>
      </c>
      <c r="O172" s="5">
        <v>6</v>
      </c>
      <c r="P172" s="5">
        <v>3141285352</v>
      </c>
      <c r="Q172" s="5">
        <v>31412853520</v>
      </c>
      <c r="R172" s="5" t="s">
        <v>1734</v>
      </c>
      <c r="S172" s="5"/>
      <c r="T172" s="5" t="s">
        <v>1735</v>
      </c>
      <c r="U172" s="5" t="s">
        <v>1736</v>
      </c>
      <c r="V172" s="5" t="s">
        <v>1737</v>
      </c>
      <c r="W172" s="5" t="s">
        <v>1738</v>
      </c>
      <c r="X172" s="5" t="s">
        <v>78</v>
      </c>
      <c r="Y172" s="5" t="s">
        <v>1739</v>
      </c>
      <c r="Z172" s="5" t="s">
        <v>1740</v>
      </c>
      <c r="AA172" s="8">
        <v>45701</v>
      </c>
      <c r="AB172" s="5" t="s">
        <v>218</v>
      </c>
      <c r="AC172" s="5" t="s">
        <v>1740</v>
      </c>
      <c r="AD172" s="8">
        <v>45705</v>
      </c>
      <c r="AE172" s="5">
        <v>600000</v>
      </c>
      <c r="AF172" s="5">
        <v>200000</v>
      </c>
      <c r="AG172" s="5">
        <v>400000</v>
      </c>
      <c r="AH172" s="5">
        <v>600000</v>
      </c>
      <c r="AI172" s="8">
        <v>45706</v>
      </c>
      <c r="AJ172" s="5">
        <v>200000</v>
      </c>
      <c r="AK172" s="9">
        <v>45729</v>
      </c>
      <c r="AL172" s="5">
        <v>400000</v>
      </c>
      <c r="AM172" s="5"/>
    </row>
    <row r="173" spans="1:39" x14ac:dyDescent="0.3">
      <c r="A173" s="5" t="s">
        <v>1741</v>
      </c>
      <c r="B173" s="5">
        <v>2025</v>
      </c>
      <c r="C173" s="5" t="s">
        <v>40</v>
      </c>
      <c r="D173" s="5" t="s">
        <v>94</v>
      </c>
      <c r="E173" s="5" t="s">
        <v>1322</v>
      </c>
      <c r="F173" s="5" t="s">
        <v>1742</v>
      </c>
      <c r="G173" s="7">
        <v>44</v>
      </c>
      <c r="H173" s="7" t="s">
        <v>434</v>
      </c>
      <c r="I173" s="8">
        <v>45680</v>
      </c>
      <c r="J173" s="8">
        <v>45680</v>
      </c>
      <c r="K173" s="5"/>
      <c r="L173" s="5" t="s">
        <v>97</v>
      </c>
      <c r="M173" s="5" t="s">
        <v>1322</v>
      </c>
      <c r="N173" s="5" t="s">
        <v>1743</v>
      </c>
      <c r="O173" s="5">
        <v>18</v>
      </c>
      <c r="P173" s="5">
        <v>3148654087</v>
      </c>
      <c r="Q173" s="5">
        <v>31486540870</v>
      </c>
      <c r="R173" s="5" t="s">
        <v>1744</v>
      </c>
      <c r="S173" s="5"/>
      <c r="T173" s="5" t="s">
        <v>1745</v>
      </c>
      <c r="U173" s="5" t="s">
        <v>1746</v>
      </c>
      <c r="V173" s="5" t="s">
        <v>1747</v>
      </c>
      <c r="W173" s="5" t="s">
        <v>1748</v>
      </c>
      <c r="X173" s="5" t="s">
        <v>980</v>
      </c>
      <c r="Y173" s="5" t="s">
        <v>1749</v>
      </c>
      <c r="Z173" s="5" t="s">
        <v>1750</v>
      </c>
      <c r="AA173" s="8">
        <v>45707</v>
      </c>
      <c r="AB173" s="5" t="s">
        <v>181</v>
      </c>
      <c r="AC173" s="5" t="s">
        <v>1750</v>
      </c>
      <c r="AD173" s="8">
        <v>45712</v>
      </c>
      <c r="AE173" s="5">
        <v>600000</v>
      </c>
      <c r="AF173" s="5">
        <v>200000</v>
      </c>
      <c r="AG173" s="5">
        <v>400000</v>
      </c>
      <c r="AH173" s="5">
        <v>600000</v>
      </c>
      <c r="AI173" s="8">
        <v>45861</v>
      </c>
      <c r="AJ173" s="5">
        <v>200000</v>
      </c>
      <c r="AK173" s="9">
        <v>45729</v>
      </c>
      <c r="AL173" s="5">
        <v>400000</v>
      </c>
      <c r="AM173" s="5"/>
    </row>
    <row r="174" spans="1:39" x14ac:dyDescent="0.3">
      <c r="A174" s="5" t="s">
        <v>1751</v>
      </c>
      <c r="B174" s="5">
        <v>2025</v>
      </c>
      <c r="C174" s="5" t="s">
        <v>40</v>
      </c>
      <c r="D174" s="5" t="s">
        <v>94</v>
      </c>
      <c r="E174" s="5" t="s">
        <v>1322</v>
      </c>
      <c r="F174" s="5" t="s">
        <v>1752</v>
      </c>
      <c r="G174" s="7">
        <v>45</v>
      </c>
      <c r="H174" s="7" t="s">
        <v>455</v>
      </c>
      <c r="I174" s="8">
        <v>45680</v>
      </c>
      <c r="J174" s="8">
        <v>45680</v>
      </c>
      <c r="K174" s="5"/>
      <c r="L174" s="5" t="s">
        <v>46</v>
      </c>
      <c r="M174" s="5" t="s">
        <v>1322</v>
      </c>
      <c r="N174" s="5" t="s">
        <v>1753</v>
      </c>
      <c r="O174" s="5">
        <v>10</v>
      </c>
      <c r="P174" s="5">
        <v>3148641578</v>
      </c>
      <c r="Q174" s="5">
        <v>31486415780</v>
      </c>
      <c r="R174" s="5" t="s">
        <v>1754</v>
      </c>
      <c r="S174" s="5"/>
      <c r="T174" s="5" t="s">
        <v>1755</v>
      </c>
      <c r="U174" s="5" t="s">
        <v>1756</v>
      </c>
      <c r="V174" s="5" t="s">
        <v>1757</v>
      </c>
      <c r="W174" s="5" t="s">
        <v>1758</v>
      </c>
      <c r="X174" s="5" t="s">
        <v>78</v>
      </c>
      <c r="Y174" s="5" t="s">
        <v>1759</v>
      </c>
      <c r="Z174" s="5" t="s">
        <v>1760</v>
      </c>
      <c r="AA174" s="8">
        <v>45707</v>
      </c>
      <c r="AB174" s="5" t="s">
        <v>181</v>
      </c>
      <c r="AC174" s="5" t="s">
        <v>1760</v>
      </c>
      <c r="AD174" s="8">
        <v>45712</v>
      </c>
      <c r="AE174" s="5">
        <v>600000</v>
      </c>
      <c r="AF174" s="5">
        <v>200000</v>
      </c>
      <c r="AG174" s="5">
        <v>400000</v>
      </c>
      <c r="AH174" s="5">
        <v>600000</v>
      </c>
      <c r="AI174" s="8">
        <v>45713</v>
      </c>
      <c r="AJ174" s="5">
        <v>200000</v>
      </c>
      <c r="AK174" s="9">
        <v>45729</v>
      </c>
      <c r="AL174" s="5">
        <v>400000</v>
      </c>
      <c r="AM174" s="5"/>
    </row>
    <row r="175" spans="1:39" x14ac:dyDescent="0.3">
      <c r="A175" s="5" t="s">
        <v>1761</v>
      </c>
      <c r="B175" s="5">
        <v>2025</v>
      </c>
      <c r="C175" s="5" t="s">
        <v>40</v>
      </c>
      <c r="D175" s="5" t="s">
        <v>94</v>
      </c>
      <c r="E175" s="5" t="s">
        <v>1322</v>
      </c>
      <c r="F175" s="5" t="s">
        <v>1762</v>
      </c>
      <c r="G175" s="7">
        <v>46</v>
      </c>
      <c r="H175" s="7" t="s">
        <v>466</v>
      </c>
      <c r="I175" s="8">
        <v>45680</v>
      </c>
      <c r="J175" s="8">
        <v>45680</v>
      </c>
      <c r="K175" s="5"/>
      <c r="L175" s="5" t="s">
        <v>181</v>
      </c>
      <c r="M175" s="5" t="s">
        <v>1322</v>
      </c>
      <c r="N175" s="5" t="s">
        <v>1763</v>
      </c>
      <c r="O175" s="5">
        <v>16</v>
      </c>
      <c r="P175" s="5">
        <v>4188702122</v>
      </c>
      <c r="Q175" s="5">
        <v>41887021220</v>
      </c>
      <c r="R175" s="5" t="s">
        <v>1764</v>
      </c>
      <c r="S175" s="5"/>
      <c r="T175" s="5" t="s">
        <v>1765</v>
      </c>
      <c r="U175" s="5" t="s">
        <v>1766</v>
      </c>
      <c r="V175" s="5" t="s">
        <v>1767</v>
      </c>
      <c r="W175" s="5" t="s">
        <v>1768</v>
      </c>
      <c r="X175" s="5" t="s">
        <v>134</v>
      </c>
      <c r="Y175" s="5" t="s">
        <v>1769</v>
      </c>
      <c r="Z175" s="5" t="s">
        <v>1770</v>
      </c>
      <c r="AA175" s="8">
        <v>45707</v>
      </c>
      <c r="AB175" s="5" t="s">
        <v>181</v>
      </c>
      <c r="AC175" s="5" t="s">
        <v>1770</v>
      </c>
      <c r="AD175" s="8">
        <v>45712</v>
      </c>
      <c r="AE175" s="5">
        <v>600000</v>
      </c>
      <c r="AF175" s="5">
        <v>200000</v>
      </c>
      <c r="AG175" s="5">
        <v>400000</v>
      </c>
      <c r="AH175" s="5">
        <v>600000</v>
      </c>
      <c r="AI175" s="8">
        <v>45874</v>
      </c>
      <c r="AJ175" s="5">
        <v>200000</v>
      </c>
      <c r="AK175" s="9">
        <v>45729</v>
      </c>
      <c r="AL175" s="5">
        <v>400000</v>
      </c>
      <c r="AM175" s="5"/>
    </row>
    <row r="176" spans="1:39" x14ac:dyDescent="0.3">
      <c r="A176" s="5" t="s">
        <v>1771</v>
      </c>
      <c r="B176" s="5">
        <v>2025</v>
      </c>
      <c r="C176" s="5" t="s">
        <v>40</v>
      </c>
      <c r="D176" s="5"/>
      <c r="E176" s="5" t="s">
        <v>1322</v>
      </c>
      <c r="F176" s="5" t="s">
        <v>1772</v>
      </c>
      <c r="G176" s="7">
        <v>47</v>
      </c>
      <c r="H176" s="7" t="s">
        <v>466</v>
      </c>
      <c r="I176" s="8">
        <v>45681</v>
      </c>
      <c r="J176" s="8">
        <v>45681</v>
      </c>
      <c r="K176" s="5"/>
      <c r="L176" s="5" t="s">
        <v>97</v>
      </c>
      <c r="M176" s="5" t="s">
        <v>1322</v>
      </c>
      <c r="N176" s="5" t="s">
        <v>1773</v>
      </c>
      <c r="O176" s="5">
        <v>1</v>
      </c>
      <c r="P176" s="5">
        <v>8593101477</v>
      </c>
      <c r="Q176" s="5">
        <v>85931014770</v>
      </c>
      <c r="R176" s="5" t="s">
        <v>1774</v>
      </c>
      <c r="S176" s="5"/>
      <c r="T176" s="5" t="s">
        <v>1775</v>
      </c>
      <c r="U176" s="5" t="s">
        <v>1776</v>
      </c>
      <c r="V176" s="5" t="s">
        <v>1777</v>
      </c>
      <c r="W176" s="5" t="s">
        <v>1778</v>
      </c>
      <c r="X176" s="5" t="s">
        <v>78</v>
      </c>
      <c r="Y176" s="5" t="s">
        <v>1779</v>
      </c>
      <c r="Z176" s="5" t="s">
        <v>1780</v>
      </c>
      <c r="AA176" s="8">
        <v>45707</v>
      </c>
      <c r="AB176" s="5" t="s">
        <v>61</v>
      </c>
      <c r="AC176" s="5" t="s">
        <v>1780</v>
      </c>
      <c r="AD176" s="8">
        <v>45712</v>
      </c>
      <c r="AE176" s="5">
        <v>600000</v>
      </c>
      <c r="AF176" s="5">
        <v>200000</v>
      </c>
      <c r="AG176" s="5">
        <v>400000</v>
      </c>
      <c r="AH176" s="5">
        <v>600000</v>
      </c>
      <c r="AI176" s="8">
        <v>45896</v>
      </c>
      <c r="AJ176" s="5">
        <v>200000</v>
      </c>
      <c r="AK176" s="9">
        <v>45729</v>
      </c>
      <c r="AL176" s="5">
        <v>400000</v>
      </c>
      <c r="AM176" s="5"/>
    </row>
    <row r="177" spans="1:39" x14ac:dyDescent="0.3">
      <c r="A177" s="5" t="s">
        <v>1781</v>
      </c>
      <c r="B177" s="5">
        <v>2025</v>
      </c>
      <c r="C177" s="5" t="s">
        <v>40</v>
      </c>
      <c r="D177" s="5" t="s">
        <v>1615</v>
      </c>
      <c r="E177" s="5" t="s">
        <v>1322</v>
      </c>
      <c r="F177" s="5" t="s">
        <v>1782</v>
      </c>
      <c r="G177" s="7">
        <v>48</v>
      </c>
      <c r="H177" s="7" t="s">
        <v>466</v>
      </c>
      <c r="I177" s="8">
        <v>45681</v>
      </c>
      <c r="J177" s="8">
        <v>45681</v>
      </c>
      <c r="K177" s="5"/>
      <c r="L177" s="5" t="s">
        <v>73</v>
      </c>
      <c r="M177" s="5" t="s">
        <v>1322</v>
      </c>
      <c r="N177" s="5" t="s">
        <v>1783</v>
      </c>
      <c r="O177" s="5">
        <v>3</v>
      </c>
      <c r="P177" s="5">
        <v>6281801613</v>
      </c>
      <c r="Q177" s="5">
        <v>62818016130</v>
      </c>
      <c r="R177" s="5" t="s">
        <v>1784</v>
      </c>
      <c r="S177" s="5"/>
      <c r="T177" s="5" t="s">
        <v>1785</v>
      </c>
      <c r="U177" s="5" t="s">
        <v>1786</v>
      </c>
      <c r="V177" s="5" t="s">
        <v>1787</v>
      </c>
      <c r="W177" s="5" t="s">
        <v>1784</v>
      </c>
      <c r="X177" s="5" t="s">
        <v>78</v>
      </c>
      <c r="Y177" s="5" t="s">
        <v>1788</v>
      </c>
      <c r="Z177" s="5" t="s">
        <v>1789</v>
      </c>
      <c r="AA177" s="8">
        <v>45707</v>
      </c>
      <c r="AB177" s="5" t="s">
        <v>61</v>
      </c>
      <c r="AC177" s="5" t="s">
        <v>1790</v>
      </c>
      <c r="AD177" s="8">
        <v>45712</v>
      </c>
      <c r="AE177" s="5">
        <v>600000</v>
      </c>
      <c r="AF177" s="5">
        <v>200000</v>
      </c>
      <c r="AG177" s="5">
        <v>400000</v>
      </c>
      <c r="AH177" s="5">
        <v>600000</v>
      </c>
      <c r="AI177" s="8">
        <v>45869</v>
      </c>
      <c r="AJ177" s="5">
        <v>200000</v>
      </c>
      <c r="AK177" s="9">
        <v>45729</v>
      </c>
      <c r="AL177" s="5">
        <v>400000</v>
      </c>
      <c r="AM177" s="5"/>
    </row>
    <row r="178" spans="1:39" x14ac:dyDescent="0.3">
      <c r="A178" s="5" t="s">
        <v>1791</v>
      </c>
      <c r="B178" s="5">
        <v>2025</v>
      </c>
      <c r="C178" s="5" t="s">
        <v>40</v>
      </c>
      <c r="D178" s="5" t="s">
        <v>1615</v>
      </c>
      <c r="E178" s="5" t="s">
        <v>1322</v>
      </c>
      <c r="F178" s="5" t="s">
        <v>1792</v>
      </c>
      <c r="G178" s="7">
        <v>49</v>
      </c>
      <c r="H178" s="7" t="s">
        <v>466</v>
      </c>
      <c r="I178" s="8">
        <v>45681</v>
      </c>
      <c r="J178" s="8">
        <v>45681</v>
      </c>
      <c r="K178" s="5"/>
      <c r="L178" s="5" t="s">
        <v>61</v>
      </c>
      <c r="M178" s="5" t="s">
        <v>1322</v>
      </c>
      <c r="N178" s="5" t="s">
        <v>1793</v>
      </c>
      <c r="O178" s="5">
        <v>4</v>
      </c>
      <c r="P178" s="5">
        <v>1922100212</v>
      </c>
      <c r="Q178" s="5">
        <v>19221002120</v>
      </c>
      <c r="R178" s="5" t="s">
        <v>1794</v>
      </c>
      <c r="S178" s="5"/>
      <c r="T178" s="5" t="s">
        <v>1795</v>
      </c>
      <c r="U178" s="5" t="s">
        <v>1796</v>
      </c>
      <c r="V178" s="5" t="s">
        <v>1797</v>
      </c>
      <c r="W178" s="5" t="s">
        <v>1794</v>
      </c>
      <c r="X178" s="5" t="s">
        <v>78</v>
      </c>
      <c r="Y178" s="5" t="s">
        <v>1798</v>
      </c>
      <c r="Z178" s="5" t="s">
        <v>1799</v>
      </c>
      <c r="AA178" s="8">
        <v>45707</v>
      </c>
      <c r="AB178" s="5" t="s">
        <v>61</v>
      </c>
      <c r="AC178" s="5" t="s">
        <v>1799</v>
      </c>
      <c r="AD178" s="8">
        <v>45712</v>
      </c>
      <c r="AE178" s="5">
        <v>600000</v>
      </c>
      <c r="AF178" s="5">
        <v>200000</v>
      </c>
      <c r="AG178" s="5">
        <v>400000</v>
      </c>
      <c r="AH178" s="5">
        <v>600000</v>
      </c>
      <c r="AI178" s="8">
        <v>45713</v>
      </c>
      <c r="AJ178" s="5">
        <v>200000</v>
      </c>
      <c r="AK178" s="9">
        <v>45729</v>
      </c>
      <c r="AL178" s="5">
        <v>400000</v>
      </c>
      <c r="AM178" s="5"/>
    </row>
    <row r="179" spans="1:39" x14ac:dyDescent="0.3">
      <c r="A179" s="5" t="s">
        <v>1800</v>
      </c>
      <c r="B179" s="5">
        <v>2025</v>
      </c>
      <c r="C179" s="5" t="s">
        <v>40</v>
      </c>
      <c r="D179" s="5" t="s">
        <v>94</v>
      </c>
      <c r="E179" s="5" t="s">
        <v>1322</v>
      </c>
      <c r="F179" s="5" t="s">
        <v>1801</v>
      </c>
      <c r="G179" s="7">
        <v>50</v>
      </c>
      <c r="H179" s="7" t="s">
        <v>476</v>
      </c>
      <c r="I179" s="8">
        <v>45681</v>
      </c>
      <c r="J179" s="8">
        <v>45681</v>
      </c>
      <c r="K179" s="5"/>
      <c r="L179" s="5" t="s">
        <v>46</v>
      </c>
      <c r="M179" s="5" t="s">
        <v>1322</v>
      </c>
      <c r="N179" s="5" t="s">
        <v>1802</v>
      </c>
      <c r="O179" s="5">
        <v>13</v>
      </c>
      <c r="P179" s="5">
        <v>5903100375</v>
      </c>
      <c r="Q179" s="5">
        <v>59031003750</v>
      </c>
      <c r="R179" s="5" t="s">
        <v>1803</v>
      </c>
      <c r="S179" s="5"/>
      <c r="T179" s="5" t="s">
        <v>1804</v>
      </c>
      <c r="U179" s="5" t="s">
        <v>1805</v>
      </c>
      <c r="V179" s="5" t="s">
        <v>1806</v>
      </c>
      <c r="W179" s="5" t="s">
        <v>1803</v>
      </c>
      <c r="X179" s="5" t="s">
        <v>78</v>
      </c>
      <c r="Y179" s="5" t="s">
        <v>1807</v>
      </c>
      <c r="Z179" s="5" t="s">
        <v>1808</v>
      </c>
      <c r="AA179" s="8">
        <v>45706</v>
      </c>
      <c r="AB179" s="5" t="s">
        <v>218</v>
      </c>
      <c r="AC179" s="5" t="s">
        <v>1808</v>
      </c>
      <c r="AD179" s="8">
        <v>45707</v>
      </c>
      <c r="AE179" s="5">
        <v>600000</v>
      </c>
      <c r="AF179" s="5">
        <v>200000</v>
      </c>
      <c r="AG179" s="5">
        <v>400000</v>
      </c>
      <c r="AH179" s="5">
        <v>600000</v>
      </c>
      <c r="AI179" s="8">
        <v>45707</v>
      </c>
      <c r="AJ179" s="5">
        <v>200000</v>
      </c>
      <c r="AK179" s="9">
        <v>45729</v>
      </c>
      <c r="AL179" s="5">
        <v>400000</v>
      </c>
      <c r="AM179" s="5"/>
    </row>
    <row r="180" spans="1:39" x14ac:dyDescent="0.3">
      <c r="A180" s="5" t="s">
        <v>1809</v>
      </c>
      <c r="B180" s="5">
        <v>2025</v>
      </c>
      <c r="C180" s="5" t="s">
        <v>40</v>
      </c>
      <c r="D180" s="5" t="s">
        <v>94</v>
      </c>
      <c r="E180" s="5" t="s">
        <v>1322</v>
      </c>
      <c r="F180" s="5" t="s">
        <v>1810</v>
      </c>
      <c r="G180" s="7">
        <v>51</v>
      </c>
      <c r="H180" s="7" t="s">
        <v>486</v>
      </c>
      <c r="I180" s="8">
        <v>45681</v>
      </c>
      <c r="J180" s="8">
        <v>45681</v>
      </c>
      <c r="K180" s="5"/>
      <c r="L180" s="5" t="s">
        <v>218</v>
      </c>
      <c r="M180" s="5" t="s">
        <v>1322</v>
      </c>
      <c r="N180" s="5" t="s">
        <v>1811</v>
      </c>
      <c r="O180" s="5">
        <v>7</v>
      </c>
      <c r="P180" s="5">
        <v>3140169550</v>
      </c>
      <c r="Q180" s="5">
        <v>31401695500</v>
      </c>
      <c r="R180" s="5" t="s">
        <v>1812</v>
      </c>
      <c r="S180" s="5"/>
      <c r="T180" s="5" t="s">
        <v>1813</v>
      </c>
      <c r="U180" s="5" t="s">
        <v>1814</v>
      </c>
      <c r="V180" s="5" t="s">
        <v>1815</v>
      </c>
      <c r="W180" s="5" t="s">
        <v>1816</v>
      </c>
      <c r="X180" s="5" t="s">
        <v>66</v>
      </c>
      <c r="Y180" s="5" t="s">
        <v>1817</v>
      </c>
      <c r="Z180" s="5" t="s">
        <v>1818</v>
      </c>
      <c r="AA180" s="8">
        <v>45706</v>
      </c>
      <c r="AB180" s="5" t="s">
        <v>218</v>
      </c>
      <c r="AC180" s="5" t="s">
        <v>1818</v>
      </c>
      <c r="AD180" s="8">
        <v>45707</v>
      </c>
      <c r="AE180" s="5">
        <v>600000</v>
      </c>
      <c r="AF180" s="5">
        <v>200000</v>
      </c>
      <c r="AG180" s="5">
        <v>400000</v>
      </c>
      <c r="AH180" s="5">
        <v>600000</v>
      </c>
      <c r="AI180" s="8">
        <v>45707</v>
      </c>
      <c r="AJ180" s="5">
        <v>200000</v>
      </c>
      <c r="AK180" s="9">
        <v>45729</v>
      </c>
      <c r="AL180" s="5">
        <v>400000</v>
      </c>
      <c r="AM180" s="5"/>
    </row>
    <row r="181" spans="1:39" x14ac:dyDescent="0.3">
      <c r="A181" s="5" t="s">
        <v>1819</v>
      </c>
      <c r="B181" s="5">
        <v>2025</v>
      </c>
      <c r="C181" s="5" t="s">
        <v>40</v>
      </c>
      <c r="D181" s="5" t="s">
        <v>94</v>
      </c>
      <c r="E181" s="5" t="s">
        <v>1322</v>
      </c>
      <c r="F181" s="5" t="s">
        <v>1820</v>
      </c>
      <c r="G181" s="7">
        <v>52</v>
      </c>
      <c r="H181" s="7" t="s">
        <v>498</v>
      </c>
      <c r="I181" s="8">
        <v>45681</v>
      </c>
      <c r="J181" s="8">
        <v>45681</v>
      </c>
      <c r="K181" s="5"/>
      <c r="L181" s="5" t="s">
        <v>181</v>
      </c>
      <c r="M181" s="5" t="s">
        <v>1322</v>
      </c>
      <c r="N181" s="5" t="s">
        <v>1821</v>
      </c>
      <c r="O181" s="5">
        <v>7</v>
      </c>
      <c r="P181" s="5">
        <v>4274100625</v>
      </c>
      <c r="Q181" s="5">
        <v>42741006250</v>
      </c>
      <c r="R181" s="5" t="s">
        <v>1822</v>
      </c>
      <c r="S181" s="5"/>
      <c r="T181" s="5" t="s">
        <v>1804</v>
      </c>
      <c r="U181" s="5" t="s">
        <v>1823</v>
      </c>
      <c r="V181" s="5" t="s">
        <v>1824</v>
      </c>
      <c r="W181" s="5" t="s">
        <v>1825</v>
      </c>
      <c r="X181" s="5" t="s">
        <v>1594</v>
      </c>
      <c r="Y181" s="5" t="s">
        <v>1826</v>
      </c>
      <c r="Z181" s="5" t="s">
        <v>1827</v>
      </c>
      <c r="AA181" s="8">
        <v>45706</v>
      </c>
      <c r="AB181" s="5" t="s">
        <v>218</v>
      </c>
      <c r="AC181" s="5" t="s">
        <v>1827</v>
      </c>
      <c r="AD181" s="8">
        <v>45707</v>
      </c>
      <c r="AE181" s="5">
        <v>600000</v>
      </c>
      <c r="AF181" s="5">
        <v>200000</v>
      </c>
      <c r="AG181" s="5">
        <v>400000</v>
      </c>
      <c r="AH181" s="5">
        <v>600000</v>
      </c>
      <c r="AI181" s="8">
        <v>45707</v>
      </c>
      <c r="AJ181" s="5">
        <v>200000</v>
      </c>
      <c r="AK181" s="9">
        <v>45729</v>
      </c>
      <c r="AL181" s="5">
        <v>400000</v>
      </c>
      <c r="AM181" s="5"/>
    </row>
    <row r="182" spans="1:39" x14ac:dyDescent="0.3">
      <c r="A182" s="5" t="s">
        <v>1828</v>
      </c>
      <c r="B182" s="5">
        <v>2025</v>
      </c>
      <c r="C182" s="5" t="s">
        <v>40</v>
      </c>
      <c r="D182" s="5" t="s">
        <v>94</v>
      </c>
      <c r="E182" s="5" t="s">
        <v>1322</v>
      </c>
      <c r="F182" s="5" t="s">
        <v>1829</v>
      </c>
      <c r="G182" s="7">
        <v>53</v>
      </c>
      <c r="H182" s="7" t="s">
        <v>506</v>
      </c>
      <c r="I182" s="8">
        <v>45693</v>
      </c>
      <c r="J182" s="8">
        <v>45693</v>
      </c>
      <c r="K182" s="5"/>
      <c r="L182" s="5" t="s">
        <v>73</v>
      </c>
      <c r="M182" s="5" t="s">
        <v>1322</v>
      </c>
      <c r="N182" s="5" t="s">
        <v>1830</v>
      </c>
      <c r="O182" s="5">
        <v>22</v>
      </c>
      <c r="P182" s="5">
        <v>6878100785</v>
      </c>
      <c r="Q182" s="5">
        <v>11881160786</v>
      </c>
      <c r="R182" s="5" t="s">
        <v>1831</v>
      </c>
      <c r="S182" s="5"/>
      <c r="T182" s="5" t="s">
        <v>1832</v>
      </c>
      <c r="U182" s="5"/>
      <c r="V182" s="5"/>
      <c r="W182" s="5" t="s">
        <v>1833</v>
      </c>
      <c r="X182" s="5" t="s">
        <v>1834</v>
      </c>
      <c r="Y182" s="5" t="s">
        <v>1835</v>
      </c>
      <c r="Z182" s="5" t="s">
        <v>1836</v>
      </c>
      <c r="AA182" s="8">
        <v>45715</v>
      </c>
      <c r="AB182" s="5" t="s">
        <v>73</v>
      </c>
      <c r="AC182" s="5" t="s">
        <v>1836</v>
      </c>
      <c r="AD182" s="8">
        <v>45720</v>
      </c>
      <c r="AE182" s="5">
        <v>900000</v>
      </c>
      <c r="AF182" s="5">
        <v>900000</v>
      </c>
      <c r="AG182" s="5">
        <v>0</v>
      </c>
      <c r="AH182" s="5">
        <v>900000</v>
      </c>
      <c r="AI182" s="8">
        <v>45736</v>
      </c>
      <c r="AJ182" s="5">
        <v>900000</v>
      </c>
      <c r="AK182" s="9" t="s">
        <v>56</v>
      </c>
      <c r="AL182" s="5">
        <v>0</v>
      </c>
      <c r="AM182" s="5"/>
    </row>
    <row r="183" spans="1:39" x14ac:dyDescent="0.3">
      <c r="A183" s="5" t="s">
        <v>1837</v>
      </c>
      <c r="B183" s="5">
        <v>2025</v>
      </c>
      <c r="C183" s="5" t="s">
        <v>40</v>
      </c>
      <c r="D183" s="5" t="s">
        <v>71</v>
      </c>
      <c r="E183" s="5" t="s">
        <v>1322</v>
      </c>
      <c r="F183" s="5" t="s">
        <v>1838</v>
      </c>
      <c r="G183" s="7">
        <v>54</v>
      </c>
      <c r="H183" s="7" t="s">
        <v>517</v>
      </c>
      <c r="I183" s="8">
        <v>45695</v>
      </c>
      <c r="J183" s="8">
        <v>45695</v>
      </c>
      <c r="K183" s="5"/>
      <c r="L183" s="5" t="s">
        <v>73</v>
      </c>
      <c r="M183" s="5" t="s">
        <v>1322</v>
      </c>
      <c r="N183" s="5" t="s">
        <v>1839</v>
      </c>
      <c r="O183" s="5">
        <v>9</v>
      </c>
      <c r="P183" s="5">
        <v>3060278109</v>
      </c>
      <c r="Q183" s="5">
        <v>30602781090</v>
      </c>
      <c r="R183" s="5" t="s">
        <v>1840</v>
      </c>
      <c r="S183" s="5"/>
      <c r="T183" s="5" t="s">
        <v>1841</v>
      </c>
      <c r="U183" s="5" t="s">
        <v>1842</v>
      </c>
      <c r="V183" s="5" t="s">
        <v>1843</v>
      </c>
      <c r="W183" s="5" t="s">
        <v>1844</v>
      </c>
      <c r="X183" s="5" t="s">
        <v>78</v>
      </c>
      <c r="Y183" s="5" t="s">
        <v>1845</v>
      </c>
      <c r="Z183" s="5" t="s">
        <v>1846</v>
      </c>
      <c r="AA183" s="8">
        <v>45715</v>
      </c>
      <c r="AB183" s="5" t="s">
        <v>73</v>
      </c>
      <c r="AC183" s="5" t="s">
        <v>1846</v>
      </c>
      <c r="AD183" s="8">
        <v>45720</v>
      </c>
      <c r="AE183" s="5">
        <v>1900000</v>
      </c>
      <c r="AF183" s="5">
        <v>1500000</v>
      </c>
      <c r="AG183" s="5">
        <v>400000</v>
      </c>
      <c r="AH183" s="5">
        <v>1900000</v>
      </c>
      <c r="AI183" s="8">
        <v>45777</v>
      </c>
      <c r="AJ183" s="5">
        <v>1500000</v>
      </c>
      <c r="AK183" s="9">
        <v>45729</v>
      </c>
      <c r="AL183" s="5">
        <v>400000</v>
      </c>
      <c r="AM183" s="5"/>
    </row>
    <row r="184" spans="1:39" x14ac:dyDescent="0.3">
      <c r="A184" s="5" t="s">
        <v>1847</v>
      </c>
      <c r="B184" s="5">
        <v>2025</v>
      </c>
      <c r="C184" s="5" t="s">
        <v>40</v>
      </c>
      <c r="D184" s="5" t="s">
        <v>94</v>
      </c>
      <c r="E184" s="5" t="s">
        <v>1322</v>
      </c>
      <c r="F184" s="5" t="s">
        <v>1848</v>
      </c>
      <c r="G184" s="7">
        <v>55</v>
      </c>
      <c r="H184" s="7" t="s">
        <v>528</v>
      </c>
      <c r="I184" s="8">
        <v>45698</v>
      </c>
      <c r="J184" s="8">
        <v>45698</v>
      </c>
      <c r="K184" s="5"/>
      <c r="L184" s="5" t="s">
        <v>97</v>
      </c>
      <c r="M184" s="5" t="s">
        <v>1322</v>
      </c>
      <c r="N184" s="5" t="s">
        <v>1849</v>
      </c>
      <c r="O184" s="5">
        <v>10</v>
      </c>
      <c r="P184" s="5">
        <v>3142451985</v>
      </c>
      <c r="Q184" s="5">
        <v>31424519850</v>
      </c>
      <c r="R184" s="5" t="s">
        <v>1850</v>
      </c>
      <c r="S184" s="5"/>
      <c r="T184" s="5" t="s">
        <v>1851</v>
      </c>
      <c r="U184" s="5" t="s">
        <v>1852</v>
      </c>
      <c r="V184" s="5" t="s">
        <v>1853</v>
      </c>
      <c r="W184" s="5" t="s">
        <v>1854</v>
      </c>
      <c r="X184" s="5"/>
      <c r="Y184" s="5" t="s">
        <v>1855</v>
      </c>
      <c r="Z184" s="5" t="s">
        <v>1856</v>
      </c>
      <c r="AA184" s="8">
        <v>45715</v>
      </c>
      <c r="AB184" s="5" t="s">
        <v>61</v>
      </c>
      <c r="AC184" s="5" t="s">
        <v>1856</v>
      </c>
      <c r="AD184" s="8">
        <v>45723</v>
      </c>
      <c r="AE184" s="5">
        <v>600000</v>
      </c>
      <c r="AF184" s="5">
        <v>200000</v>
      </c>
      <c r="AG184" s="5">
        <v>400000</v>
      </c>
      <c r="AH184" s="5">
        <v>600000</v>
      </c>
      <c r="AI184" s="8">
        <v>45876</v>
      </c>
      <c r="AJ184" s="5">
        <v>200000</v>
      </c>
      <c r="AK184" s="9">
        <v>45729</v>
      </c>
      <c r="AL184" s="5">
        <v>400000</v>
      </c>
      <c r="AM184" s="5"/>
    </row>
    <row r="185" spans="1:39" x14ac:dyDescent="0.3">
      <c r="A185" s="5" t="s">
        <v>1857</v>
      </c>
      <c r="B185" s="5">
        <v>2025</v>
      </c>
      <c r="C185" s="5" t="s">
        <v>40</v>
      </c>
      <c r="D185" s="5" t="s">
        <v>94</v>
      </c>
      <c r="E185" s="5" t="s">
        <v>1322</v>
      </c>
      <c r="F185" s="5" t="s">
        <v>1858</v>
      </c>
      <c r="G185" s="7">
        <v>56</v>
      </c>
      <c r="H185" s="7" t="s">
        <v>528</v>
      </c>
      <c r="I185" s="8">
        <v>45698</v>
      </c>
      <c r="J185" s="8">
        <v>45698</v>
      </c>
      <c r="K185" s="5"/>
      <c r="L185" s="5" t="s">
        <v>73</v>
      </c>
      <c r="M185" s="5" t="s">
        <v>1322</v>
      </c>
      <c r="N185" s="5" t="s">
        <v>1859</v>
      </c>
      <c r="O185" s="5">
        <v>3</v>
      </c>
      <c r="P185" s="5">
        <v>5554400256</v>
      </c>
      <c r="Q185" s="5">
        <v>55544002560</v>
      </c>
      <c r="R185" s="5" t="s">
        <v>1860</v>
      </c>
      <c r="S185" s="5"/>
      <c r="T185" s="5" t="s">
        <v>1861</v>
      </c>
      <c r="U185" s="5" t="s">
        <v>1862</v>
      </c>
      <c r="V185" s="5" t="s">
        <v>1863</v>
      </c>
      <c r="W185" s="5" t="s">
        <v>1860</v>
      </c>
      <c r="X185" s="5" t="s">
        <v>78</v>
      </c>
      <c r="Y185" s="5" t="s">
        <v>1864</v>
      </c>
      <c r="Z185" s="5" t="s">
        <v>1865</v>
      </c>
      <c r="AA185" s="8">
        <v>45715</v>
      </c>
      <c r="AB185" s="5" t="s">
        <v>61</v>
      </c>
      <c r="AC185" s="5" t="s">
        <v>1865</v>
      </c>
      <c r="AD185" s="8">
        <v>45723</v>
      </c>
      <c r="AE185" s="5">
        <v>600000</v>
      </c>
      <c r="AF185" s="5">
        <v>200000</v>
      </c>
      <c r="AG185" s="5">
        <v>400000</v>
      </c>
      <c r="AH185" s="5">
        <v>600000</v>
      </c>
      <c r="AI185" s="8">
        <v>45726</v>
      </c>
      <c r="AJ185" s="5">
        <v>200000</v>
      </c>
      <c r="AK185" s="9">
        <v>45729</v>
      </c>
      <c r="AL185" s="5">
        <v>400000</v>
      </c>
      <c r="AM185" s="5"/>
    </row>
    <row r="186" spans="1:39" x14ac:dyDescent="0.3">
      <c r="A186" s="5" t="s">
        <v>1866</v>
      </c>
      <c r="B186" s="5">
        <v>2025</v>
      </c>
      <c r="C186" s="5" t="s">
        <v>40</v>
      </c>
      <c r="D186" s="5" t="s">
        <v>94</v>
      </c>
      <c r="E186" s="5" t="s">
        <v>1322</v>
      </c>
      <c r="F186" s="5" t="s">
        <v>1867</v>
      </c>
      <c r="G186" s="7">
        <v>57</v>
      </c>
      <c r="H186" s="7" t="s">
        <v>538</v>
      </c>
      <c r="I186" s="8">
        <v>45698</v>
      </c>
      <c r="J186" s="8">
        <v>45698</v>
      </c>
      <c r="K186" s="5"/>
      <c r="L186" s="5" t="s">
        <v>61</v>
      </c>
      <c r="M186" s="5" t="s">
        <v>1322</v>
      </c>
      <c r="N186" s="5" t="s">
        <v>1868</v>
      </c>
      <c r="O186" s="5">
        <v>16</v>
      </c>
      <c r="P186" s="5">
        <v>3148605849</v>
      </c>
      <c r="Q186" s="5">
        <v>31486058490</v>
      </c>
      <c r="R186" s="5" t="s">
        <v>1869</v>
      </c>
      <c r="S186" s="5"/>
      <c r="T186" s="5" t="s">
        <v>1870</v>
      </c>
      <c r="U186" s="5" t="s">
        <v>1871</v>
      </c>
      <c r="V186" s="5" t="s">
        <v>1872</v>
      </c>
      <c r="W186" s="5" t="s">
        <v>1873</v>
      </c>
      <c r="X186" s="5" t="s">
        <v>1594</v>
      </c>
      <c r="Y186" s="5" t="s">
        <v>1874</v>
      </c>
      <c r="Z186" s="5" t="s">
        <v>1875</v>
      </c>
      <c r="AA186" s="8">
        <v>45715</v>
      </c>
      <c r="AB186" s="5" t="s">
        <v>61</v>
      </c>
      <c r="AC186" s="5" t="s">
        <v>1875</v>
      </c>
      <c r="AD186" s="8">
        <v>45723</v>
      </c>
      <c r="AE186" s="5">
        <v>600000</v>
      </c>
      <c r="AF186" s="5">
        <v>200000</v>
      </c>
      <c r="AG186" s="5">
        <v>400000</v>
      </c>
      <c r="AH186" s="5">
        <v>600000</v>
      </c>
      <c r="AI186" s="8">
        <v>45747</v>
      </c>
      <c r="AJ186" s="5">
        <v>200000</v>
      </c>
      <c r="AK186" s="9">
        <v>45729</v>
      </c>
      <c r="AL186" s="5">
        <v>400000</v>
      </c>
      <c r="AM186" s="5"/>
    </row>
    <row r="187" spans="1:39" x14ac:dyDescent="0.3">
      <c r="A187" s="5" t="s">
        <v>1876</v>
      </c>
      <c r="B187" s="5">
        <v>2025</v>
      </c>
      <c r="C187" s="5" t="s">
        <v>40</v>
      </c>
      <c r="D187" s="5" t="s">
        <v>94</v>
      </c>
      <c r="E187" s="5" t="s">
        <v>1322</v>
      </c>
      <c r="F187" s="5" t="s">
        <v>1877</v>
      </c>
      <c r="G187" s="7">
        <v>58</v>
      </c>
      <c r="H187" s="7" t="s">
        <v>538</v>
      </c>
      <c r="I187" s="8">
        <v>45698</v>
      </c>
      <c r="J187" s="8">
        <v>45698</v>
      </c>
      <c r="K187" s="5"/>
      <c r="L187" s="5" t="s">
        <v>46</v>
      </c>
      <c r="M187" s="5" t="s">
        <v>1322</v>
      </c>
      <c r="N187" s="5" t="s">
        <v>1878</v>
      </c>
      <c r="O187" s="5">
        <v>3</v>
      </c>
      <c r="P187" s="5">
        <v>3052862491</v>
      </c>
      <c r="Q187" s="5">
        <v>30528624910</v>
      </c>
      <c r="R187" s="5" t="s">
        <v>1879</v>
      </c>
      <c r="S187" s="5"/>
      <c r="T187" s="5" t="s">
        <v>1880</v>
      </c>
      <c r="U187" s="5" t="s">
        <v>1881</v>
      </c>
      <c r="V187" s="5" t="s">
        <v>1882</v>
      </c>
      <c r="W187" s="5" t="s">
        <v>1879</v>
      </c>
      <c r="X187" s="5" t="s">
        <v>78</v>
      </c>
      <c r="Y187" s="5" t="s">
        <v>1883</v>
      </c>
      <c r="Z187" s="5" t="s">
        <v>1884</v>
      </c>
      <c r="AA187" s="8">
        <v>45720</v>
      </c>
      <c r="AB187" s="5" t="s">
        <v>181</v>
      </c>
      <c r="AC187" s="5" t="s">
        <v>1884</v>
      </c>
      <c r="AD187" s="8">
        <v>45723</v>
      </c>
      <c r="AE187" s="5">
        <v>600000</v>
      </c>
      <c r="AF187" s="5">
        <v>200000</v>
      </c>
      <c r="AG187" s="5">
        <v>400000</v>
      </c>
      <c r="AH187" s="5">
        <v>600000</v>
      </c>
      <c r="AI187" s="8">
        <v>45861</v>
      </c>
      <c r="AJ187" s="5">
        <v>200000</v>
      </c>
      <c r="AK187" s="9">
        <v>45762</v>
      </c>
      <c r="AL187" s="5">
        <v>400000</v>
      </c>
      <c r="AM187" s="5"/>
    </row>
    <row r="188" spans="1:39" x14ac:dyDescent="0.3">
      <c r="A188" s="5" t="s">
        <v>1885</v>
      </c>
      <c r="B188" s="5">
        <v>2025</v>
      </c>
      <c r="C188" s="5" t="s">
        <v>40</v>
      </c>
      <c r="D188" s="5" t="s">
        <v>94</v>
      </c>
      <c r="E188" s="5" t="s">
        <v>1322</v>
      </c>
      <c r="F188" s="5" t="s">
        <v>1886</v>
      </c>
      <c r="G188" s="7">
        <v>59</v>
      </c>
      <c r="H188" s="7" t="s">
        <v>538</v>
      </c>
      <c r="I188" s="8">
        <v>45698</v>
      </c>
      <c r="J188" s="8">
        <v>45698</v>
      </c>
      <c r="K188" s="5"/>
      <c r="L188" s="5" t="s">
        <v>218</v>
      </c>
      <c r="M188" s="5" t="s">
        <v>1322</v>
      </c>
      <c r="N188" s="5" t="s">
        <v>1887</v>
      </c>
      <c r="O188" s="5">
        <v>3</v>
      </c>
      <c r="P188" s="5">
        <v>3053255662</v>
      </c>
      <c r="Q188" s="5">
        <v>30532556620</v>
      </c>
      <c r="R188" s="5" t="s">
        <v>1888</v>
      </c>
      <c r="S188" s="5"/>
      <c r="T188" s="5" t="s">
        <v>1889</v>
      </c>
      <c r="U188" s="5" t="s">
        <v>1890</v>
      </c>
      <c r="V188" s="5" t="s">
        <v>1891</v>
      </c>
      <c r="W188" s="5" t="s">
        <v>1888</v>
      </c>
      <c r="X188" s="5" t="s">
        <v>78</v>
      </c>
      <c r="Y188" s="5" t="s">
        <v>1892</v>
      </c>
      <c r="Z188" s="5" t="s">
        <v>1893</v>
      </c>
      <c r="AA188" s="8">
        <v>45720</v>
      </c>
      <c r="AB188" s="5" t="s">
        <v>181</v>
      </c>
      <c r="AC188" s="5" t="s">
        <v>1893</v>
      </c>
      <c r="AD188" s="8">
        <v>45723</v>
      </c>
      <c r="AE188" s="5">
        <v>600000</v>
      </c>
      <c r="AF188" s="5">
        <v>200000</v>
      </c>
      <c r="AG188" s="5">
        <v>400000</v>
      </c>
      <c r="AH188" s="5">
        <v>600000</v>
      </c>
      <c r="AI188" s="8">
        <v>45729</v>
      </c>
      <c r="AJ188" s="5">
        <v>200000</v>
      </c>
      <c r="AK188" s="9">
        <v>45762</v>
      </c>
      <c r="AL188" s="5">
        <v>400000</v>
      </c>
      <c r="AM188" s="5"/>
    </row>
    <row r="189" spans="1:39" x14ac:dyDescent="0.3">
      <c r="A189" s="5" t="s">
        <v>1894</v>
      </c>
      <c r="B189" s="5">
        <v>2025</v>
      </c>
      <c r="C189" s="5" t="s">
        <v>40</v>
      </c>
      <c r="D189" s="5" t="s">
        <v>94</v>
      </c>
      <c r="E189" s="5" t="s">
        <v>1322</v>
      </c>
      <c r="F189" s="5" t="s">
        <v>1895</v>
      </c>
      <c r="G189" s="7">
        <v>60</v>
      </c>
      <c r="H189" s="7" t="s">
        <v>546</v>
      </c>
      <c r="I189" s="8">
        <v>45698</v>
      </c>
      <c r="J189" s="8">
        <v>45698</v>
      </c>
      <c r="K189" s="5"/>
      <c r="L189" s="5" t="s">
        <v>181</v>
      </c>
      <c r="M189" s="5" t="s">
        <v>1322</v>
      </c>
      <c r="N189" s="5" t="s">
        <v>1896</v>
      </c>
      <c r="O189" s="5">
        <v>6</v>
      </c>
      <c r="P189" s="5">
        <v>3052331936</v>
      </c>
      <c r="Q189" s="5">
        <v>92336241771</v>
      </c>
      <c r="R189" s="5" t="s">
        <v>1897</v>
      </c>
      <c r="S189" s="5"/>
      <c r="T189" s="5" t="s">
        <v>1898</v>
      </c>
      <c r="U189" s="5" t="s">
        <v>1899</v>
      </c>
      <c r="V189" s="5" t="s">
        <v>1900</v>
      </c>
      <c r="W189" s="5" t="s">
        <v>1897</v>
      </c>
      <c r="X189" s="5" t="s">
        <v>78</v>
      </c>
      <c r="Y189" s="5" t="s">
        <v>1901</v>
      </c>
      <c r="Z189" s="5" t="s">
        <v>1902</v>
      </c>
      <c r="AA189" s="8">
        <v>45720</v>
      </c>
      <c r="AB189" s="5" t="s">
        <v>181</v>
      </c>
      <c r="AC189" s="5" t="s">
        <v>1902</v>
      </c>
      <c r="AD189" s="8">
        <v>45723</v>
      </c>
      <c r="AE189" s="5">
        <v>600000</v>
      </c>
      <c r="AF189" s="5">
        <v>200000</v>
      </c>
      <c r="AG189" s="5">
        <v>400000</v>
      </c>
      <c r="AH189" s="5">
        <v>600000</v>
      </c>
      <c r="AI189" s="8">
        <v>45842</v>
      </c>
      <c r="AJ189" s="5">
        <v>200000</v>
      </c>
      <c r="AK189" s="9">
        <v>45762</v>
      </c>
      <c r="AL189" s="5">
        <v>400000</v>
      </c>
      <c r="AM189" s="5"/>
    </row>
    <row r="190" spans="1:39" x14ac:dyDescent="0.3">
      <c r="A190" s="5" t="s">
        <v>1903</v>
      </c>
      <c r="B190" s="5">
        <v>2025</v>
      </c>
      <c r="C190" s="5" t="s">
        <v>40</v>
      </c>
      <c r="D190" s="5" t="s">
        <v>94</v>
      </c>
      <c r="E190" s="5" t="s">
        <v>1322</v>
      </c>
      <c r="F190" s="5" t="s">
        <v>1904</v>
      </c>
      <c r="G190" s="7">
        <v>61</v>
      </c>
      <c r="H190" s="7" t="s">
        <v>557</v>
      </c>
      <c r="I190" s="8">
        <v>45699</v>
      </c>
      <c r="J190" s="8">
        <v>45699</v>
      </c>
      <c r="K190" s="5"/>
      <c r="L190" s="5" t="s">
        <v>46</v>
      </c>
      <c r="M190" s="5" t="s">
        <v>1322</v>
      </c>
      <c r="N190" s="5" t="s">
        <v>1905</v>
      </c>
      <c r="O190" s="5">
        <v>31</v>
      </c>
      <c r="P190" s="5">
        <v>3728802425</v>
      </c>
      <c r="Q190" s="5">
        <v>92230124771</v>
      </c>
      <c r="R190" s="5" t="s">
        <v>1906</v>
      </c>
      <c r="S190" s="5"/>
      <c r="T190" s="5" t="s">
        <v>1907</v>
      </c>
      <c r="U190" s="5" t="s">
        <v>1908</v>
      </c>
      <c r="V190" s="5" t="s">
        <v>1909</v>
      </c>
      <c r="W190" s="5" t="s">
        <v>1910</v>
      </c>
      <c r="X190" s="5" t="s">
        <v>66</v>
      </c>
      <c r="Y190" s="5" t="s">
        <v>1911</v>
      </c>
      <c r="Z190" s="5" t="s">
        <v>1912</v>
      </c>
      <c r="AA190" s="8">
        <v>45720</v>
      </c>
      <c r="AB190" s="5" t="s">
        <v>181</v>
      </c>
      <c r="AC190" s="5" t="s">
        <v>1912</v>
      </c>
      <c r="AD190" s="8">
        <v>45723</v>
      </c>
      <c r="AE190" s="5">
        <v>750000</v>
      </c>
      <c r="AF190" s="5">
        <v>350000</v>
      </c>
      <c r="AG190" s="5">
        <v>400000</v>
      </c>
      <c r="AH190" s="5">
        <v>750000</v>
      </c>
      <c r="AI190" s="8">
        <v>45747</v>
      </c>
      <c r="AJ190" s="5">
        <v>350000</v>
      </c>
      <c r="AK190" s="9">
        <v>45762</v>
      </c>
      <c r="AL190" s="5">
        <v>400000</v>
      </c>
      <c r="AM190" s="5"/>
    </row>
    <row r="191" spans="1:39" x14ac:dyDescent="0.3">
      <c r="A191" s="5" t="s">
        <v>1913</v>
      </c>
      <c r="B191" s="5">
        <v>2025</v>
      </c>
      <c r="C191" s="5" t="s">
        <v>40</v>
      </c>
      <c r="D191" s="5" t="s">
        <v>94</v>
      </c>
      <c r="E191" s="5" t="s">
        <v>1322</v>
      </c>
      <c r="F191" s="5" t="s">
        <v>1914</v>
      </c>
      <c r="G191" s="7">
        <v>62</v>
      </c>
      <c r="H191" s="7" t="s">
        <v>569</v>
      </c>
      <c r="I191" s="8">
        <v>45699</v>
      </c>
      <c r="J191" s="8">
        <v>45699</v>
      </c>
      <c r="K191" s="5"/>
      <c r="L191" s="5" t="s">
        <v>61</v>
      </c>
      <c r="M191" s="5" t="s">
        <v>1322</v>
      </c>
      <c r="N191" s="5" t="s">
        <v>1915</v>
      </c>
      <c r="O191" s="5">
        <v>8</v>
      </c>
      <c r="P191" s="5">
        <v>3210400394</v>
      </c>
      <c r="Q191" s="5">
        <v>32104003940</v>
      </c>
      <c r="R191" s="5" t="s">
        <v>1916</v>
      </c>
      <c r="S191" s="5"/>
      <c r="T191" s="5" t="s">
        <v>1917</v>
      </c>
      <c r="U191" s="5" t="s">
        <v>1918</v>
      </c>
      <c r="V191" s="5" t="s">
        <v>1919</v>
      </c>
      <c r="W191" s="5" t="s">
        <v>1916</v>
      </c>
      <c r="X191" s="5" t="s">
        <v>78</v>
      </c>
      <c r="Y191" s="5" t="s">
        <v>1920</v>
      </c>
      <c r="Z191" s="5" t="s">
        <v>1921</v>
      </c>
      <c r="AA191" s="8">
        <v>45720</v>
      </c>
      <c r="AB191" s="5" t="s">
        <v>181</v>
      </c>
      <c r="AC191" s="5" t="s">
        <v>1921</v>
      </c>
      <c r="AD191" s="8">
        <v>45723</v>
      </c>
      <c r="AE191" s="5">
        <v>600000</v>
      </c>
      <c r="AF191" s="5">
        <v>200000</v>
      </c>
      <c r="AG191" s="5">
        <v>400000</v>
      </c>
      <c r="AH191" s="5">
        <v>600000</v>
      </c>
      <c r="AI191" s="8">
        <v>45728</v>
      </c>
      <c r="AJ191" s="5">
        <v>200000</v>
      </c>
      <c r="AK191" s="9">
        <v>45762</v>
      </c>
      <c r="AL191" s="5">
        <v>400000</v>
      </c>
      <c r="AM191" s="5"/>
    </row>
    <row r="192" spans="1:39" x14ac:dyDescent="0.3">
      <c r="A192" s="5" t="s">
        <v>1922</v>
      </c>
      <c r="B192" s="5">
        <v>2025</v>
      </c>
      <c r="C192" s="5" t="s">
        <v>40</v>
      </c>
      <c r="D192" s="5" t="s">
        <v>94</v>
      </c>
      <c r="E192" s="5" t="s">
        <v>1322</v>
      </c>
      <c r="F192" s="5" t="s">
        <v>1923</v>
      </c>
      <c r="G192" s="7">
        <v>63</v>
      </c>
      <c r="H192" s="7" t="s">
        <v>580</v>
      </c>
      <c r="I192" s="8">
        <v>45699</v>
      </c>
      <c r="J192" s="8">
        <v>45699</v>
      </c>
      <c r="K192" s="5"/>
      <c r="L192" s="5" t="s">
        <v>181</v>
      </c>
      <c r="M192" s="5" t="s">
        <v>1322</v>
      </c>
      <c r="N192" s="5" t="s">
        <v>1924</v>
      </c>
      <c r="O192" s="5">
        <v>6</v>
      </c>
      <c r="P192" s="5">
        <v>3140522586</v>
      </c>
      <c r="Q192" s="5">
        <v>31405225860</v>
      </c>
      <c r="R192" s="5" t="s">
        <v>1925</v>
      </c>
      <c r="S192" s="5"/>
      <c r="T192" s="5" t="s">
        <v>1926</v>
      </c>
      <c r="U192" s="5" t="s">
        <v>1927</v>
      </c>
      <c r="V192" s="5" t="s">
        <v>1928</v>
      </c>
      <c r="W192" s="5" t="s">
        <v>1929</v>
      </c>
      <c r="X192" s="5" t="s">
        <v>78</v>
      </c>
      <c r="Y192" s="5" t="s">
        <v>1930</v>
      </c>
      <c r="Z192" s="5" t="s">
        <v>1931</v>
      </c>
      <c r="AA192" s="8">
        <v>45720</v>
      </c>
      <c r="AB192" s="5" t="s">
        <v>181</v>
      </c>
      <c r="AC192" s="5" t="s">
        <v>1931</v>
      </c>
      <c r="AD192" s="8">
        <v>45723</v>
      </c>
      <c r="AE192" s="5">
        <v>600000</v>
      </c>
      <c r="AF192" s="5">
        <v>200000</v>
      </c>
      <c r="AG192" s="5">
        <v>400000</v>
      </c>
      <c r="AH192" s="5">
        <v>600000</v>
      </c>
      <c r="AI192" s="8">
        <v>45727</v>
      </c>
      <c r="AJ192" s="5">
        <v>200000</v>
      </c>
      <c r="AK192" s="9">
        <v>45762</v>
      </c>
      <c r="AL192" s="5">
        <v>400000</v>
      </c>
      <c r="AM192" s="5"/>
    </row>
    <row r="193" spans="1:39" x14ac:dyDescent="0.3">
      <c r="A193" s="5" t="s">
        <v>1932</v>
      </c>
      <c r="B193" s="5">
        <v>2025</v>
      </c>
      <c r="C193" s="5" t="s">
        <v>40</v>
      </c>
      <c r="D193" s="5" t="s">
        <v>94</v>
      </c>
      <c r="E193" s="5" t="s">
        <v>1322</v>
      </c>
      <c r="F193" s="5" t="s">
        <v>1933</v>
      </c>
      <c r="G193" s="7">
        <v>64</v>
      </c>
      <c r="H193" s="7" t="s">
        <v>588</v>
      </c>
      <c r="I193" s="8">
        <v>45699</v>
      </c>
      <c r="J193" s="8">
        <v>45699</v>
      </c>
      <c r="K193" s="5"/>
      <c r="L193" s="5" t="s">
        <v>97</v>
      </c>
      <c r="M193" s="5" t="s">
        <v>1322</v>
      </c>
      <c r="N193" s="5" t="s">
        <v>1934</v>
      </c>
      <c r="O193" s="5">
        <v>12</v>
      </c>
      <c r="P193" s="5">
        <v>5318101948</v>
      </c>
      <c r="Q193" s="5">
        <v>53181019480</v>
      </c>
      <c r="R193" s="5" t="s">
        <v>1935</v>
      </c>
      <c r="S193" s="5"/>
      <c r="T193" s="5" t="s">
        <v>1936</v>
      </c>
      <c r="U193" s="5" t="s">
        <v>1937</v>
      </c>
      <c r="V193" s="5" t="s">
        <v>1938</v>
      </c>
      <c r="W193" s="5" t="s">
        <v>1939</v>
      </c>
      <c r="X193" s="5" t="s">
        <v>178</v>
      </c>
      <c r="Y193" s="5" t="s">
        <v>1940</v>
      </c>
      <c r="Z193" s="5" t="s">
        <v>1941</v>
      </c>
      <c r="AA193" s="8">
        <v>45716</v>
      </c>
      <c r="AB193" s="5" t="s">
        <v>218</v>
      </c>
      <c r="AC193" s="5" t="s">
        <v>1941</v>
      </c>
      <c r="AD193" s="8">
        <v>45723</v>
      </c>
      <c r="AE193" s="5">
        <v>600000</v>
      </c>
      <c r="AF193" s="5">
        <v>200000</v>
      </c>
      <c r="AG193" s="5">
        <v>400000</v>
      </c>
      <c r="AH193" s="5">
        <v>600000</v>
      </c>
      <c r="AI193" s="8">
        <v>45748</v>
      </c>
      <c r="AJ193" s="5">
        <v>200000</v>
      </c>
      <c r="AK193" s="9">
        <v>45729</v>
      </c>
      <c r="AL193" s="5">
        <v>400000</v>
      </c>
      <c r="AM193" s="5"/>
    </row>
    <row r="194" spans="1:39" x14ac:dyDescent="0.3">
      <c r="A194" s="5" t="s">
        <v>1942</v>
      </c>
      <c r="B194" s="5">
        <v>2025</v>
      </c>
      <c r="C194" s="5" t="s">
        <v>40</v>
      </c>
      <c r="D194" s="5" t="s">
        <v>94</v>
      </c>
      <c r="E194" s="5" t="s">
        <v>1322</v>
      </c>
      <c r="F194" s="5" t="s">
        <v>1943</v>
      </c>
      <c r="G194" s="7">
        <v>65</v>
      </c>
      <c r="H194" s="7" t="s">
        <v>600</v>
      </c>
      <c r="I194" s="8">
        <v>45699</v>
      </c>
      <c r="J194" s="8">
        <v>45699</v>
      </c>
      <c r="K194" s="5"/>
      <c r="L194" s="5" t="s">
        <v>73</v>
      </c>
      <c r="M194" s="5" t="s">
        <v>1322</v>
      </c>
      <c r="N194" s="5" t="s">
        <v>1944</v>
      </c>
      <c r="O194" s="5">
        <v>8</v>
      </c>
      <c r="P194" s="5">
        <v>3058632584</v>
      </c>
      <c r="Q194" s="5">
        <v>30586325840</v>
      </c>
      <c r="R194" s="5" t="s">
        <v>1945</v>
      </c>
      <c r="S194" s="5"/>
      <c r="T194" s="5" t="s">
        <v>1936</v>
      </c>
      <c r="U194" s="5" t="s">
        <v>1946</v>
      </c>
      <c r="V194" s="5" t="s">
        <v>1947</v>
      </c>
      <c r="W194" s="5" t="s">
        <v>1948</v>
      </c>
      <c r="X194" s="5"/>
      <c r="Y194" s="5" t="s">
        <v>1949</v>
      </c>
      <c r="Z194" s="5" t="s">
        <v>1950</v>
      </c>
      <c r="AA194" s="8">
        <v>45716</v>
      </c>
      <c r="AB194" s="5" t="s">
        <v>218</v>
      </c>
      <c r="AC194" s="5" t="s">
        <v>1950</v>
      </c>
      <c r="AD194" s="8">
        <v>45723</v>
      </c>
      <c r="AE194" s="5">
        <v>600000</v>
      </c>
      <c r="AF194" s="5">
        <v>200000</v>
      </c>
      <c r="AG194" s="5">
        <v>400000</v>
      </c>
      <c r="AH194" s="5">
        <v>600000</v>
      </c>
      <c r="AI194" s="8">
        <v>45750</v>
      </c>
      <c r="AJ194" s="5">
        <v>200000</v>
      </c>
      <c r="AK194" s="9">
        <v>45729</v>
      </c>
      <c r="AL194" s="5">
        <v>400000</v>
      </c>
      <c r="AM194" s="5"/>
    </row>
    <row r="195" spans="1:39" x14ac:dyDescent="0.3">
      <c r="A195" s="5" t="s">
        <v>1951</v>
      </c>
      <c r="B195" s="5">
        <v>2025</v>
      </c>
      <c r="C195" s="5" t="s">
        <v>40</v>
      </c>
      <c r="D195" s="5" t="s">
        <v>94</v>
      </c>
      <c r="E195" s="5" t="s">
        <v>1322</v>
      </c>
      <c r="F195" s="5" t="s">
        <v>1952</v>
      </c>
      <c r="G195" s="7">
        <v>66</v>
      </c>
      <c r="H195" s="7" t="s">
        <v>611</v>
      </c>
      <c r="I195" s="8">
        <v>45699</v>
      </c>
      <c r="J195" s="8">
        <v>45699</v>
      </c>
      <c r="K195" s="5"/>
      <c r="L195" s="5" t="s">
        <v>218</v>
      </c>
      <c r="M195" s="5" t="s">
        <v>1322</v>
      </c>
      <c r="N195" s="5" t="s">
        <v>1953</v>
      </c>
      <c r="O195" s="5">
        <v>17</v>
      </c>
      <c r="P195" s="5">
        <v>3718703195</v>
      </c>
      <c r="Q195" s="5">
        <v>37187031950</v>
      </c>
      <c r="R195" s="5" t="s">
        <v>1954</v>
      </c>
      <c r="S195" s="5"/>
      <c r="T195" s="5" t="s">
        <v>1955</v>
      </c>
      <c r="U195" s="5" t="s">
        <v>1956</v>
      </c>
      <c r="V195" s="5" t="s">
        <v>1957</v>
      </c>
      <c r="W195" s="5" t="s">
        <v>1958</v>
      </c>
      <c r="X195" s="5" t="s">
        <v>112</v>
      </c>
      <c r="Y195" s="5" t="s">
        <v>1959</v>
      </c>
      <c r="Z195" s="5" t="s">
        <v>1960</v>
      </c>
      <c r="AA195" s="8">
        <v>45716</v>
      </c>
      <c r="AB195" s="5" t="s">
        <v>218</v>
      </c>
      <c r="AC195" s="5" t="s">
        <v>1960</v>
      </c>
      <c r="AD195" s="8">
        <v>45723</v>
      </c>
      <c r="AE195" s="5">
        <v>1200000</v>
      </c>
      <c r="AF195" s="5">
        <v>200000</v>
      </c>
      <c r="AG195" s="5">
        <v>1000000</v>
      </c>
      <c r="AH195" s="5">
        <v>1200000</v>
      </c>
      <c r="AI195" s="8">
        <v>45840</v>
      </c>
      <c r="AJ195" s="5">
        <v>200000</v>
      </c>
      <c r="AK195" s="9">
        <v>45729</v>
      </c>
      <c r="AL195" s="5">
        <v>1000000</v>
      </c>
      <c r="AM195" s="5" t="s">
        <v>1961</v>
      </c>
    </row>
    <row r="196" spans="1:39" x14ac:dyDescent="0.3">
      <c r="A196" s="5" t="s">
        <v>1962</v>
      </c>
      <c r="B196" s="5">
        <v>2025</v>
      </c>
      <c r="C196" s="5" t="s">
        <v>40</v>
      </c>
      <c r="D196" s="5" t="s">
        <v>94</v>
      </c>
      <c r="E196" s="5" t="s">
        <v>1322</v>
      </c>
      <c r="F196" s="5" t="s">
        <v>1963</v>
      </c>
      <c r="G196" s="7">
        <v>67</v>
      </c>
      <c r="H196" s="7" t="s">
        <v>624</v>
      </c>
      <c r="I196" s="8">
        <v>45700</v>
      </c>
      <c r="J196" s="8">
        <v>45700</v>
      </c>
      <c r="K196" s="5"/>
      <c r="L196" s="5" t="s">
        <v>97</v>
      </c>
      <c r="M196" s="5" t="s">
        <v>1322</v>
      </c>
      <c r="N196" s="5" t="s">
        <v>1964</v>
      </c>
      <c r="O196" s="5">
        <v>45</v>
      </c>
      <c r="P196" s="5">
        <v>3148626446</v>
      </c>
      <c r="Q196" s="5">
        <v>31486264460</v>
      </c>
      <c r="R196" s="5" t="s">
        <v>1965</v>
      </c>
      <c r="S196" s="5"/>
      <c r="T196" s="5" t="s">
        <v>1966</v>
      </c>
      <c r="U196" s="5" t="s">
        <v>1967</v>
      </c>
      <c r="V196" s="5" t="s">
        <v>1968</v>
      </c>
      <c r="W196" s="5" t="s">
        <v>1969</v>
      </c>
      <c r="X196" s="5"/>
      <c r="Y196" s="5" t="s">
        <v>1970</v>
      </c>
      <c r="Z196" s="5" t="s">
        <v>1971</v>
      </c>
      <c r="AA196" s="8">
        <v>45716</v>
      </c>
      <c r="AB196" s="5" t="s">
        <v>218</v>
      </c>
      <c r="AC196" s="5" t="s">
        <v>1971</v>
      </c>
      <c r="AD196" s="8">
        <v>45723</v>
      </c>
      <c r="AE196" s="5">
        <v>750000</v>
      </c>
      <c r="AF196" s="5">
        <v>350000</v>
      </c>
      <c r="AG196" s="5">
        <v>400000</v>
      </c>
      <c r="AH196" s="5">
        <v>750000</v>
      </c>
      <c r="AI196" s="8">
        <v>45761</v>
      </c>
      <c r="AJ196" s="5">
        <v>350000</v>
      </c>
      <c r="AK196" s="9">
        <v>45729</v>
      </c>
      <c r="AL196" s="5">
        <v>400000</v>
      </c>
      <c r="AM196" s="5"/>
    </row>
    <row r="197" spans="1:39" x14ac:dyDescent="0.3">
      <c r="A197" s="5" t="s">
        <v>1972</v>
      </c>
      <c r="B197" s="5">
        <v>2025</v>
      </c>
      <c r="C197" s="5" t="s">
        <v>40</v>
      </c>
      <c r="D197" s="5" t="s">
        <v>94</v>
      </c>
      <c r="E197" s="5" t="s">
        <v>1322</v>
      </c>
      <c r="F197" s="5" t="s">
        <v>1973</v>
      </c>
      <c r="G197" s="7">
        <v>68</v>
      </c>
      <c r="H197" s="7" t="s">
        <v>633</v>
      </c>
      <c r="I197" s="8">
        <v>45700</v>
      </c>
      <c r="J197" s="8">
        <v>45700</v>
      </c>
      <c r="K197" s="5"/>
      <c r="L197" s="5" t="s">
        <v>73</v>
      </c>
      <c r="M197" s="5" t="s">
        <v>1322</v>
      </c>
      <c r="N197" s="5" t="s">
        <v>1974</v>
      </c>
      <c r="O197" s="5">
        <v>8</v>
      </c>
      <c r="P197" s="5">
        <v>3148552194</v>
      </c>
      <c r="Q197" s="5">
        <v>31485521940</v>
      </c>
      <c r="R197" s="5" t="s">
        <v>1965</v>
      </c>
      <c r="S197" s="5"/>
      <c r="T197" s="5" t="s">
        <v>1975</v>
      </c>
      <c r="U197" s="5" t="s">
        <v>1976</v>
      </c>
      <c r="V197" s="5" t="s">
        <v>1977</v>
      </c>
      <c r="W197" s="5" t="s">
        <v>1978</v>
      </c>
      <c r="X197" s="5" t="s">
        <v>168</v>
      </c>
      <c r="Y197" s="5" t="s">
        <v>1979</v>
      </c>
      <c r="Z197" s="5" t="s">
        <v>1980</v>
      </c>
      <c r="AA197" s="8">
        <v>45716</v>
      </c>
      <c r="AB197" s="5" t="s">
        <v>218</v>
      </c>
      <c r="AC197" s="5" t="s">
        <v>1980</v>
      </c>
      <c r="AD197" s="8">
        <v>45723</v>
      </c>
      <c r="AE197" s="5">
        <v>600000</v>
      </c>
      <c r="AF197" s="5">
        <v>200000</v>
      </c>
      <c r="AG197" s="5">
        <v>400000</v>
      </c>
      <c r="AH197" s="5">
        <v>600000</v>
      </c>
      <c r="AI197" s="8">
        <v>45755</v>
      </c>
      <c r="AJ197" s="5">
        <v>200000</v>
      </c>
      <c r="AK197" s="9">
        <v>45729</v>
      </c>
      <c r="AL197" s="5">
        <v>400000</v>
      </c>
      <c r="AM197" s="5"/>
    </row>
    <row r="198" spans="1:39" x14ac:dyDescent="0.3">
      <c r="A198" s="5" t="s">
        <v>1981</v>
      </c>
      <c r="B198" s="5">
        <v>2025</v>
      </c>
      <c r="C198" s="5" t="s">
        <v>40</v>
      </c>
      <c r="D198" s="5" t="s">
        <v>94</v>
      </c>
      <c r="E198" s="5" t="s">
        <v>1322</v>
      </c>
      <c r="F198" s="5" t="s">
        <v>1982</v>
      </c>
      <c r="G198" s="7">
        <v>69</v>
      </c>
      <c r="H198" s="7" t="s">
        <v>644</v>
      </c>
      <c r="I198" s="8">
        <v>45700</v>
      </c>
      <c r="J198" s="8">
        <v>45700</v>
      </c>
      <c r="K198" s="5"/>
      <c r="L198" s="5" t="s">
        <v>218</v>
      </c>
      <c r="M198" s="5" t="s">
        <v>1322</v>
      </c>
      <c r="N198" s="5" t="s">
        <v>1983</v>
      </c>
      <c r="O198" s="5">
        <v>13</v>
      </c>
      <c r="P198" s="5">
        <v>3142222133</v>
      </c>
      <c r="Q198" s="5">
        <v>31422221330</v>
      </c>
      <c r="R198" s="5" t="s">
        <v>1984</v>
      </c>
      <c r="S198" s="5"/>
      <c r="T198" s="5" t="s">
        <v>1985</v>
      </c>
      <c r="U198" s="5" t="s">
        <v>1986</v>
      </c>
      <c r="V198" s="5" t="s">
        <v>1987</v>
      </c>
      <c r="W198" s="5" t="s">
        <v>1984</v>
      </c>
      <c r="X198" s="5" t="s">
        <v>78</v>
      </c>
      <c r="Y198" s="5" t="s">
        <v>1988</v>
      </c>
      <c r="Z198" s="5" t="s">
        <v>1989</v>
      </c>
      <c r="AA198" s="8">
        <v>45716</v>
      </c>
      <c r="AB198" s="5" t="s">
        <v>218</v>
      </c>
      <c r="AC198" s="5" t="s">
        <v>1989</v>
      </c>
      <c r="AD198" s="8">
        <v>45723</v>
      </c>
      <c r="AE198" s="5">
        <v>600000</v>
      </c>
      <c r="AF198" s="5">
        <v>200000</v>
      </c>
      <c r="AG198" s="5">
        <v>400000</v>
      </c>
      <c r="AH198" s="5">
        <v>400000</v>
      </c>
      <c r="AI198" s="8"/>
      <c r="AJ198" s="5">
        <v>0</v>
      </c>
      <c r="AK198" s="9">
        <v>45729</v>
      </c>
      <c r="AL198" s="5">
        <v>400000</v>
      </c>
      <c r="AM198" s="5"/>
    </row>
    <row r="199" spans="1:39" x14ac:dyDescent="0.3">
      <c r="A199" s="5" t="s">
        <v>1990</v>
      </c>
      <c r="B199" s="5">
        <v>2025</v>
      </c>
      <c r="C199" s="5" t="s">
        <v>40</v>
      </c>
      <c r="D199" s="5" t="s">
        <v>94</v>
      </c>
      <c r="E199" s="5" t="s">
        <v>1322</v>
      </c>
      <c r="F199" s="5" t="s">
        <v>1991</v>
      </c>
      <c r="G199" s="7">
        <v>70</v>
      </c>
      <c r="H199" s="7" t="s">
        <v>654</v>
      </c>
      <c r="I199" s="8">
        <v>45700</v>
      </c>
      <c r="J199" s="8">
        <v>45700</v>
      </c>
      <c r="K199" s="5"/>
      <c r="L199" s="5" t="s">
        <v>46</v>
      </c>
      <c r="M199" s="5" t="s">
        <v>1322</v>
      </c>
      <c r="N199" s="5" t="s">
        <v>1992</v>
      </c>
      <c r="O199" s="5">
        <v>51</v>
      </c>
      <c r="P199" s="5">
        <v>2428701579</v>
      </c>
      <c r="Q199" s="5">
        <v>24287015790</v>
      </c>
      <c r="R199" s="5" t="s">
        <v>1993</v>
      </c>
      <c r="S199" s="5"/>
      <c r="T199" s="5" t="s">
        <v>1994</v>
      </c>
      <c r="U199" s="5" t="s">
        <v>1995</v>
      </c>
      <c r="V199" s="5" t="s">
        <v>1996</v>
      </c>
      <c r="W199" s="5" t="s">
        <v>1958</v>
      </c>
      <c r="X199" s="5" t="s">
        <v>112</v>
      </c>
      <c r="Y199" s="5" t="s">
        <v>1959</v>
      </c>
      <c r="Z199" s="5" t="s">
        <v>1997</v>
      </c>
      <c r="AA199" s="8">
        <v>45721</v>
      </c>
      <c r="AB199" s="5" t="s">
        <v>181</v>
      </c>
      <c r="AC199" s="5" t="s">
        <v>1997</v>
      </c>
      <c r="AD199" s="8">
        <v>45723</v>
      </c>
      <c r="AE199" s="5">
        <v>750000</v>
      </c>
      <c r="AF199" s="5">
        <v>750000</v>
      </c>
      <c r="AG199" s="5">
        <v>0</v>
      </c>
      <c r="AH199" s="5">
        <v>750000</v>
      </c>
      <c r="AI199" s="8">
        <v>45840</v>
      </c>
      <c r="AJ199" s="5">
        <v>750000</v>
      </c>
      <c r="AK199" s="9" t="s">
        <v>56</v>
      </c>
      <c r="AL199" s="5">
        <v>0</v>
      </c>
      <c r="AM199" s="5"/>
    </row>
    <row r="200" spans="1:39" x14ac:dyDescent="0.3">
      <c r="A200" s="5" t="s">
        <v>1998</v>
      </c>
      <c r="B200" s="5">
        <v>2025</v>
      </c>
      <c r="C200" s="5" t="s">
        <v>40</v>
      </c>
      <c r="D200" s="5" t="s">
        <v>94</v>
      </c>
      <c r="E200" s="5" t="s">
        <v>1322</v>
      </c>
      <c r="F200" s="5" t="s">
        <v>1999</v>
      </c>
      <c r="G200" s="7">
        <v>71</v>
      </c>
      <c r="H200" s="7" t="s">
        <v>664</v>
      </c>
      <c r="I200" s="8">
        <v>45700</v>
      </c>
      <c r="J200" s="8">
        <v>45700</v>
      </c>
      <c r="K200" s="5"/>
      <c r="L200" s="5" t="s">
        <v>61</v>
      </c>
      <c r="M200" s="5" t="s">
        <v>1322</v>
      </c>
      <c r="N200" s="5" t="s">
        <v>2000</v>
      </c>
      <c r="O200" s="5">
        <v>8</v>
      </c>
      <c r="P200" s="5">
        <v>4454100448</v>
      </c>
      <c r="Q200" s="5">
        <v>44541004480</v>
      </c>
      <c r="R200" s="5" t="s">
        <v>2001</v>
      </c>
      <c r="S200" s="5"/>
      <c r="T200" s="5" t="s">
        <v>2002</v>
      </c>
      <c r="U200" s="5" t="s">
        <v>2003</v>
      </c>
      <c r="V200" s="5" t="s">
        <v>2004</v>
      </c>
      <c r="W200" s="5" t="s">
        <v>2005</v>
      </c>
      <c r="X200" s="5" t="s">
        <v>980</v>
      </c>
      <c r="Y200" s="5" t="s">
        <v>2006</v>
      </c>
      <c r="Z200" s="5" t="s">
        <v>2007</v>
      </c>
      <c r="AA200" s="8">
        <v>45721</v>
      </c>
      <c r="AB200" s="5" t="s">
        <v>181</v>
      </c>
      <c r="AC200" s="5" t="s">
        <v>2007</v>
      </c>
      <c r="AD200" s="8">
        <v>45723</v>
      </c>
      <c r="AE200" s="5">
        <v>600000</v>
      </c>
      <c r="AF200" s="5">
        <v>200000</v>
      </c>
      <c r="AG200" s="5">
        <v>400000</v>
      </c>
      <c r="AH200" s="5">
        <v>600000</v>
      </c>
      <c r="AI200" s="8">
        <v>45728</v>
      </c>
      <c r="AJ200" s="5">
        <v>200000</v>
      </c>
      <c r="AK200" s="9">
        <v>45762</v>
      </c>
      <c r="AL200" s="5">
        <v>400000</v>
      </c>
      <c r="AM200" s="5"/>
    </row>
    <row r="201" spans="1:39" x14ac:dyDescent="0.3">
      <c r="A201" s="5" t="s">
        <v>2008</v>
      </c>
      <c r="B201" s="5">
        <v>2025</v>
      </c>
      <c r="C201" s="5" t="s">
        <v>40</v>
      </c>
      <c r="D201" s="5" t="s">
        <v>94</v>
      </c>
      <c r="E201" s="5" t="s">
        <v>1322</v>
      </c>
      <c r="F201" s="5" t="s">
        <v>2009</v>
      </c>
      <c r="G201" s="7">
        <v>72</v>
      </c>
      <c r="H201" s="7" t="s">
        <v>664</v>
      </c>
      <c r="I201" s="8">
        <v>45700</v>
      </c>
      <c r="J201" s="8">
        <v>45700</v>
      </c>
      <c r="K201" s="5"/>
      <c r="L201" s="5" t="s">
        <v>181</v>
      </c>
      <c r="M201" s="5" t="s">
        <v>1322</v>
      </c>
      <c r="N201" s="5" t="s">
        <v>2010</v>
      </c>
      <c r="O201" s="5">
        <v>3</v>
      </c>
      <c r="P201" s="5">
        <v>6520601379</v>
      </c>
      <c r="Q201" s="5">
        <v>65206013790</v>
      </c>
      <c r="R201" s="5" t="s">
        <v>2011</v>
      </c>
      <c r="S201" s="5"/>
      <c r="T201" s="5" t="s">
        <v>2012</v>
      </c>
      <c r="U201" s="5" t="s">
        <v>2013</v>
      </c>
      <c r="V201" s="5" t="s">
        <v>2014</v>
      </c>
      <c r="W201" s="5" t="s">
        <v>2011</v>
      </c>
      <c r="X201" s="5" t="s">
        <v>1425</v>
      </c>
      <c r="Y201" s="5" t="s">
        <v>2015</v>
      </c>
      <c r="Z201" s="5" t="s">
        <v>2016</v>
      </c>
      <c r="AA201" s="8">
        <v>45721</v>
      </c>
      <c r="AB201" s="5" t="s">
        <v>181</v>
      </c>
      <c r="AC201" s="5" t="s">
        <v>2017</v>
      </c>
      <c r="AD201" s="8">
        <v>45723</v>
      </c>
      <c r="AE201" s="5">
        <v>600000</v>
      </c>
      <c r="AF201" s="5">
        <v>200000</v>
      </c>
      <c r="AG201" s="5">
        <v>400000</v>
      </c>
      <c r="AH201" s="5">
        <v>600000</v>
      </c>
      <c r="AI201" s="8">
        <v>45842</v>
      </c>
      <c r="AJ201" s="5">
        <v>200000</v>
      </c>
      <c r="AK201" s="9">
        <v>45762</v>
      </c>
      <c r="AL201" s="5">
        <v>400000</v>
      </c>
      <c r="AM201" s="5"/>
    </row>
    <row r="202" spans="1:39" x14ac:dyDescent="0.3">
      <c r="A202" s="5" t="s">
        <v>2018</v>
      </c>
      <c r="B202" s="5">
        <v>2025</v>
      </c>
      <c r="C202" s="5" t="s">
        <v>40</v>
      </c>
      <c r="D202" s="5" t="s">
        <v>94</v>
      </c>
      <c r="E202" s="5" t="s">
        <v>1322</v>
      </c>
      <c r="F202" s="5" t="s">
        <v>2019</v>
      </c>
      <c r="G202" s="7">
        <v>73</v>
      </c>
      <c r="H202" s="7" t="s">
        <v>674</v>
      </c>
      <c r="I202" s="8">
        <v>45701</v>
      </c>
      <c r="J202" s="8">
        <v>45701</v>
      </c>
      <c r="K202" s="5"/>
      <c r="L202" s="5" t="s">
        <v>73</v>
      </c>
      <c r="M202" s="5" t="s">
        <v>1322</v>
      </c>
      <c r="N202" s="5" t="s">
        <v>2020</v>
      </c>
      <c r="O202" s="5">
        <v>24</v>
      </c>
      <c r="P202" s="5">
        <v>3148625321</v>
      </c>
      <c r="Q202" s="5">
        <v>31486253210</v>
      </c>
      <c r="R202" s="5" t="s">
        <v>2021</v>
      </c>
      <c r="S202" s="5"/>
      <c r="T202" s="5" t="s">
        <v>2022</v>
      </c>
      <c r="U202" s="5" t="s">
        <v>2023</v>
      </c>
      <c r="V202" s="5" t="s">
        <v>2024</v>
      </c>
      <c r="W202" s="5" t="s">
        <v>2025</v>
      </c>
      <c r="X202" s="5" t="s">
        <v>224</v>
      </c>
      <c r="Y202" s="5" t="s">
        <v>2026</v>
      </c>
      <c r="Z202" s="5" t="s">
        <v>2027</v>
      </c>
      <c r="AA202" s="8">
        <v>45727</v>
      </c>
      <c r="AB202" s="5" t="s">
        <v>181</v>
      </c>
      <c r="AC202" s="5" t="s">
        <v>2027</v>
      </c>
      <c r="AD202" s="8">
        <v>45727</v>
      </c>
      <c r="AE202" s="5">
        <v>750000</v>
      </c>
      <c r="AF202" s="5">
        <v>350000</v>
      </c>
      <c r="AG202" s="5">
        <v>400000</v>
      </c>
      <c r="AH202" s="5">
        <v>750000</v>
      </c>
      <c r="AI202" s="8">
        <v>45730</v>
      </c>
      <c r="AJ202" s="5">
        <v>350000</v>
      </c>
      <c r="AK202" s="9">
        <v>45762</v>
      </c>
      <c r="AL202" s="5">
        <v>400000</v>
      </c>
      <c r="AM202" s="5"/>
    </row>
    <row r="203" spans="1:39" x14ac:dyDescent="0.3">
      <c r="A203" s="5" t="s">
        <v>2028</v>
      </c>
      <c r="B203" s="5">
        <v>2025</v>
      </c>
      <c r="C203" s="5" t="s">
        <v>40</v>
      </c>
      <c r="D203" s="5" t="s">
        <v>94</v>
      </c>
      <c r="E203" s="5" t="s">
        <v>1322</v>
      </c>
      <c r="F203" s="5" t="s">
        <v>2029</v>
      </c>
      <c r="G203" s="7">
        <v>74</v>
      </c>
      <c r="H203" s="7" t="s">
        <v>685</v>
      </c>
      <c r="I203" s="8">
        <v>45701</v>
      </c>
      <c r="J203" s="8">
        <v>45701</v>
      </c>
      <c r="K203" s="5"/>
      <c r="L203" s="5" t="s">
        <v>218</v>
      </c>
      <c r="M203" s="5" t="s">
        <v>1322</v>
      </c>
      <c r="N203" s="5" t="s">
        <v>2030</v>
      </c>
      <c r="O203" s="5">
        <v>9</v>
      </c>
      <c r="P203" s="5">
        <v>7390501913</v>
      </c>
      <c r="Q203" s="5">
        <v>73905019130</v>
      </c>
      <c r="R203" s="5" t="s">
        <v>2031</v>
      </c>
      <c r="S203" s="5"/>
      <c r="T203" s="5" t="s">
        <v>2032</v>
      </c>
      <c r="U203" s="5" t="s">
        <v>2033</v>
      </c>
      <c r="V203" s="5" t="s">
        <v>2034</v>
      </c>
      <c r="W203" s="5" t="s">
        <v>2035</v>
      </c>
      <c r="X203" s="5" t="s">
        <v>2036</v>
      </c>
      <c r="Y203" s="5" t="s">
        <v>2037</v>
      </c>
      <c r="Z203" s="5" t="s">
        <v>2038</v>
      </c>
      <c r="AA203" s="8">
        <v>45727</v>
      </c>
      <c r="AB203" s="5" t="s">
        <v>181</v>
      </c>
      <c r="AC203" s="5" t="s">
        <v>2038</v>
      </c>
      <c r="AD203" s="8">
        <v>45727</v>
      </c>
      <c r="AE203" s="5">
        <v>600000</v>
      </c>
      <c r="AF203" s="5">
        <v>200000</v>
      </c>
      <c r="AG203" s="5">
        <v>400000</v>
      </c>
      <c r="AH203" s="5">
        <v>600000</v>
      </c>
      <c r="AI203" s="8">
        <v>45730</v>
      </c>
      <c r="AJ203" s="5">
        <v>200000</v>
      </c>
      <c r="AK203" s="9">
        <v>45762</v>
      </c>
      <c r="AL203" s="5">
        <v>400000</v>
      </c>
      <c r="AM203" s="5"/>
    </row>
    <row r="204" spans="1:39" x14ac:dyDescent="0.3">
      <c r="A204" s="5" t="s">
        <v>2039</v>
      </c>
      <c r="B204" s="5">
        <v>2025</v>
      </c>
      <c r="C204" s="5" t="s">
        <v>40</v>
      </c>
      <c r="D204" s="5" t="s">
        <v>94</v>
      </c>
      <c r="E204" s="5" t="s">
        <v>1322</v>
      </c>
      <c r="F204" s="5" t="s">
        <v>2040</v>
      </c>
      <c r="G204" s="7">
        <v>75</v>
      </c>
      <c r="H204" s="7" t="s">
        <v>696</v>
      </c>
      <c r="I204" s="8">
        <v>45701</v>
      </c>
      <c r="J204" s="8">
        <v>45701</v>
      </c>
      <c r="K204" s="5"/>
      <c r="L204" s="5" t="s">
        <v>181</v>
      </c>
      <c r="M204" s="5" t="s">
        <v>1322</v>
      </c>
      <c r="N204" s="5" t="s">
        <v>2041</v>
      </c>
      <c r="O204" s="5">
        <v>29</v>
      </c>
      <c r="P204" s="5">
        <v>3148177921</v>
      </c>
      <c r="Q204" s="5">
        <v>31481779210</v>
      </c>
      <c r="R204" s="5" t="s">
        <v>2042</v>
      </c>
      <c r="S204" s="5"/>
      <c r="T204" s="5" t="s">
        <v>2043</v>
      </c>
      <c r="U204" s="5" t="s">
        <v>2044</v>
      </c>
      <c r="V204" s="5" t="s">
        <v>2045</v>
      </c>
      <c r="W204" s="5" t="s">
        <v>1906</v>
      </c>
      <c r="X204" s="5" t="s">
        <v>112</v>
      </c>
      <c r="Y204" s="5" t="s">
        <v>2046</v>
      </c>
      <c r="Z204" s="5" t="s">
        <v>2047</v>
      </c>
      <c r="AA204" s="8">
        <v>45727</v>
      </c>
      <c r="AB204" s="5" t="s">
        <v>181</v>
      </c>
      <c r="AC204" s="5" t="s">
        <v>2047</v>
      </c>
      <c r="AD204" s="8">
        <v>45727</v>
      </c>
      <c r="AE204" s="5">
        <v>750000</v>
      </c>
      <c r="AF204" s="5">
        <v>350000</v>
      </c>
      <c r="AG204" s="5">
        <v>400000</v>
      </c>
      <c r="AH204" s="5">
        <v>750000</v>
      </c>
      <c r="AI204" s="8">
        <v>45740</v>
      </c>
      <c r="AJ204" s="5">
        <v>350000</v>
      </c>
      <c r="AK204" s="9">
        <v>45762</v>
      </c>
      <c r="AL204" s="5">
        <v>400000</v>
      </c>
      <c r="AM204" s="5"/>
    </row>
    <row r="205" spans="1:39" x14ac:dyDescent="0.3">
      <c r="A205" s="5" t="s">
        <v>2048</v>
      </c>
      <c r="B205" s="5">
        <v>2025</v>
      </c>
      <c r="C205" s="5" t="s">
        <v>40</v>
      </c>
      <c r="D205" s="5" t="s">
        <v>94</v>
      </c>
      <c r="E205" s="5" t="s">
        <v>1322</v>
      </c>
      <c r="F205" s="5" t="s">
        <v>2049</v>
      </c>
      <c r="G205" s="7">
        <v>76</v>
      </c>
      <c r="H205" s="7" t="s">
        <v>696</v>
      </c>
      <c r="I205" s="8">
        <v>45702</v>
      </c>
      <c r="J205" s="8">
        <v>45702</v>
      </c>
      <c r="K205" s="5"/>
      <c r="L205" s="5" t="s">
        <v>97</v>
      </c>
      <c r="M205" s="5" t="s">
        <v>1322</v>
      </c>
      <c r="N205" s="5" t="s">
        <v>2050</v>
      </c>
      <c r="O205" s="5">
        <v>3</v>
      </c>
      <c r="P205" s="5">
        <v>3052115155</v>
      </c>
      <c r="Q205" s="5">
        <v>30521151550</v>
      </c>
      <c r="R205" s="5" t="s">
        <v>2051</v>
      </c>
      <c r="S205" s="5"/>
      <c r="T205" s="5" t="s">
        <v>2052</v>
      </c>
      <c r="U205" s="5" t="s">
        <v>2053</v>
      </c>
      <c r="V205" s="5" t="s">
        <v>2054</v>
      </c>
      <c r="W205" s="5" t="s">
        <v>2051</v>
      </c>
      <c r="X205" s="5" t="s">
        <v>78</v>
      </c>
      <c r="Y205" s="5" t="s">
        <v>2055</v>
      </c>
      <c r="Z205" s="5" t="s">
        <v>2056</v>
      </c>
      <c r="AA205" s="8">
        <v>45727</v>
      </c>
      <c r="AB205" s="5" t="s">
        <v>218</v>
      </c>
      <c r="AC205" s="5" t="s">
        <v>2056</v>
      </c>
      <c r="AD205" s="8">
        <v>45727</v>
      </c>
      <c r="AE205" s="5">
        <v>600000</v>
      </c>
      <c r="AF205" s="5">
        <v>200000</v>
      </c>
      <c r="AG205" s="5">
        <v>400000</v>
      </c>
      <c r="AH205" s="5">
        <v>600000</v>
      </c>
      <c r="AI205" s="8">
        <v>45890</v>
      </c>
      <c r="AJ205" s="5">
        <v>200000</v>
      </c>
      <c r="AK205" s="9">
        <v>45762</v>
      </c>
      <c r="AL205" s="5">
        <v>400000</v>
      </c>
      <c r="AM205" s="5"/>
    </row>
    <row r="206" spans="1:39" x14ac:dyDescent="0.3">
      <c r="A206" s="5" t="s">
        <v>2057</v>
      </c>
      <c r="B206" s="5">
        <v>2025</v>
      </c>
      <c r="C206" s="5" t="s">
        <v>40</v>
      </c>
      <c r="D206" s="5" t="s">
        <v>94</v>
      </c>
      <c r="E206" s="5" t="s">
        <v>1322</v>
      </c>
      <c r="F206" s="5" t="s">
        <v>2058</v>
      </c>
      <c r="G206" s="7">
        <v>77</v>
      </c>
      <c r="H206" s="7" t="s">
        <v>708</v>
      </c>
      <c r="I206" s="8">
        <v>45702</v>
      </c>
      <c r="J206" s="8">
        <v>45702</v>
      </c>
      <c r="K206" s="5"/>
      <c r="L206" s="5" t="s">
        <v>61</v>
      </c>
      <c r="M206" s="5" t="s">
        <v>1322</v>
      </c>
      <c r="N206" s="5" t="s">
        <v>2059</v>
      </c>
      <c r="O206" s="5">
        <v>7</v>
      </c>
      <c r="P206" s="5">
        <v>3052587486</v>
      </c>
      <c r="Q206" s="5">
        <v>30525874860</v>
      </c>
      <c r="R206" s="5" t="s">
        <v>2060</v>
      </c>
      <c r="S206" s="5"/>
      <c r="T206" s="5" t="s">
        <v>2061</v>
      </c>
      <c r="U206" s="5" t="s">
        <v>2062</v>
      </c>
      <c r="V206" s="5" t="s">
        <v>2063</v>
      </c>
      <c r="W206" s="5" t="s">
        <v>2064</v>
      </c>
      <c r="X206" s="5" t="s">
        <v>78</v>
      </c>
      <c r="Y206" s="5" t="s">
        <v>2065</v>
      </c>
      <c r="Z206" s="5" t="s">
        <v>2066</v>
      </c>
      <c r="AA206" s="8">
        <v>45727</v>
      </c>
      <c r="AB206" s="5" t="s">
        <v>218</v>
      </c>
      <c r="AC206" s="5" t="s">
        <v>2066</v>
      </c>
      <c r="AD206" s="8">
        <v>45727</v>
      </c>
      <c r="AE206" s="5">
        <v>600000</v>
      </c>
      <c r="AF206" s="5">
        <v>200000</v>
      </c>
      <c r="AG206" s="5">
        <v>400000</v>
      </c>
      <c r="AH206" s="5">
        <v>600000</v>
      </c>
      <c r="AI206" s="8">
        <v>45896</v>
      </c>
      <c r="AJ206" s="5">
        <v>200000</v>
      </c>
      <c r="AK206" s="9">
        <v>45762</v>
      </c>
      <c r="AL206" s="5">
        <v>400000</v>
      </c>
      <c r="AM206" s="5"/>
    </row>
    <row r="207" spans="1:39" x14ac:dyDescent="0.3">
      <c r="A207" s="5" t="s">
        <v>2067</v>
      </c>
      <c r="B207" s="5">
        <v>2025</v>
      </c>
      <c r="C207" s="5" t="s">
        <v>40</v>
      </c>
      <c r="D207" s="5" t="s">
        <v>94</v>
      </c>
      <c r="E207" s="5" t="s">
        <v>1322</v>
      </c>
      <c r="F207" s="5" t="s">
        <v>2068</v>
      </c>
      <c r="G207" s="7">
        <v>78</v>
      </c>
      <c r="H207" s="7" t="s">
        <v>708</v>
      </c>
      <c r="I207" s="8">
        <v>45702</v>
      </c>
      <c r="J207" s="8">
        <v>45702</v>
      </c>
      <c r="K207" s="5"/>
      <c r="L207" s="5" t="s">
        <v>218</v>
      </c>
      <c r="M207" s="5" t="s">
        <v>1322</v>
      </c>
      <c r="N207" s="5" t="s">
        <v>2069</v>
      </c>
      <c r="O207" s="5">
        <v>3</v>
      </c>
      <c r="P207" s="5">
        <v>3141072983</v>
      </c>
      <c r="Q207" s="5">
        <v>31410729830</v>
      </c>
      <c r="R207" s="5" t="s">
        <v>2070</v>
      </c>
      <c r="S207" s="5"/>
      <c r="T207" s="5" t="s">
        <v>2071</v>
      </c>
      <c r="U207" s="5" t="s">
        <v>2072</v>
      </c>
      <c r="V207" s="5" t="s">
        <v>2073</v>
      </c>
      <c r="W207" s="5" t="s">
        <v>2074</v>
      </c>
      <c r="X207" s="5" t="s">
        <v>134</v>
      </c>
      <c r="Y207" s="5" t="s">
        <v>2075</v>
      </c>
      <c r="Z207" s="5" t="s">
        <v>2076</v>
      </c>
      <c r="AA207" s="8">
        <v>45727</v>
      </c>
      <c r="AB207" s="5" t="s">
        <v>218</v>
      </c>
      <c r="AC207" s="5" t="s">
        <v>2076</v>
      </c>
      <c r="AD207" s="8">
        <v>45727</v>
      </c>
      <c r="AE207" s="5">
        <v>600000</v>
      </c>
      <c r="AF207" s="5">
        <v>200000</v>
      </c>
      <c r="AG207" s="5">
        <v>400000</v>
      </c>
      <c r="AH207" s="5">
        <v>600000</v>
      </c>
      <c r="AI207" s="8">
        <v>45874</v>
      </c>
      <c r="AJ207" s="5">
        <v>200000</v>
      </c>
      <c r="AK207" s="9">
        <v>45762</v>
      </c>
      <c r="AL207" s="5">
        <v>400000</v>
      </c>
      <c r="AM207" s="5"/>
    </row>
    <row r="208" spans="1:39" x14ac:dyDescent="0.3">
      <c r="A208" s="5" t="s">
        <v>2077</v>
      </c>
      <c r="B208" s="5">
        <v>2025</v>
      </c>
      <c r="C208" s="5" t="s">
        <v>40</v>
      </c>
      <c r="D208" s="5" t="s">
        <v>94</v>
      </c>
      <c r="E208" s="5" t="s">
        <v>1322</v>
      </c>
      <c r="F208" s="5" t="s">
        <v>2078</v>
      </c>
      <c r="G208" s="7">
        <v>79</v>
      </c>
      <c r="H208" s="7" t="s">
        <v>718</v>
      </c>
      <c r="I208" s="8">
        <v>45702</v>
      </c>
      <c r="J208" s="8">
        <v>45702</v>
      </c>
      <c r="K208" s="5"/>
      <c r="L208" s="5" t="s">
        <v>73</v>
      </c>
      <c r="M208" s="5" t="s">
        <v>1322</v>
      </c>
      <c r="N208" s="5" t="s">
        <v>2079</v>
      </c>
      <c r="O208" s="5">
        <v>6</v>
      </c>
      <c r="P208" s="5">
        <v>3051765342</v>
      </c>
      <c r="Q208" s="5">
        <v>30517653420</v>
      </c>
      <c r="R208" s="5" t="s">
        <v>2080</v>
      </c>
      <c r="S208" s="5"/>
      <c r="T208" s="5" t="s">
        <v>2081</v>
      </c>
      <c r="U208" s="5" t="s">
        <v>2082</v>
      </c>
      <c r="V208" s="5" t="s">
        <v>2083</v>
      </c>
      <c r="W208" s="5" t="s">
        <v>2080</v>
      </c>
      <c r="X208" s="5" t="s">
        <v>78</v>
      </c>
      <c r="Y208" s="5" t="s">
        <v>2084</v>
      </c>
      <c r="Z208" s="5" t="s">
        <v>2085</v>
      </c>
      <c r="AA208" s="8">
        <v>45726</v>
      </c>
      <c r="AB208" s="5" t="s">
        <v>73</v>
      </c>
      <c r="AC208" s="5" t="s">
        <v>2085</v>
      </c>
      <c r="AD208" s="8">
        <v>45726</v>
      </c>
      <c r="AE208" s="5">
        <v>600000</v>
      </c>
      <c r="AF208" s="5">
        <v>200000</v>
      </c>
      <c r="AG208" s="5">
        <v>400000</v>
      </c>
      <c r="AH208" s="5">
        <v>600000</v>
      </c>
      <c r="AI208" s="8">
        <v>45727</v>
      </c>
      <c r="AJ208" s="5">
        <v>200000</v>
      </c>
      <c r="AK208" s="9">
        <v>45762</v>
      </c>
      <c r="AL208" s="5">
        <v>400000</v>
      </c>
      <c r="AM208" s="5"/>
    </row>
    <row r="209" spans="1:39" x14ac:dyDescent="0.3">
      <c r="A209" s="5" t="s">
        <v>2086</v>
      </c>
      <c r="B209" s="5">
        <v>2025</v>
      </c>
      <c r="C209" s="5" t="s">
        <v>40</v>
      </c>
      <c r="D209" s="5" t="s">
        <v>94</v>
      </c>
      <c r="E209" s="5" t="s">
        <v>1322</v>
      </c>
      <c r="F209" s="5" t="s">
        <v>2087</v>
      </c>
      <c r="G209" s="7">
        <v>80</v>
      </c>
      <c r="H209" s="7" t="s">
        <v>729</v>
      </c>
      <c r="I209" s="8">
        <v>45702</v>
      </c>
      <c r="J209" s="8">
        <v>45702</v>
      </c>
      <c r="K209" s="5"/>
      <c r="L209" s="5" t="s">
        <v>46</v>
      </c>
      <c r="M209" s="5" t="s">
        <v>1322</v>
      </c>
      <c r="N209" s="5" t="s">
        <v>2088</v>
      </c>
      <c r="O209" s="5">
        <v>6</v>
      </c>
      <c r="P209" s="5">
        <v>8557200237</v>
      </c>
      <c r="Q209" s="5">
        <v>85572002370</v>
      </c>
      <c r="R209" s="5" t="s">
        <v>2089</v>
      </c>
      <c r="S209" s="5"/>
      <c r="T209" s="5" t="s">
        <v>2090</v>
      </c>
      <c r="U209" s="5" t="s">
        <v>2091</v>
      </c>
      <c r="V209" s="5" t="s">
        <v>2092</v>
      </c>
      <c r="W209" s="5" t="s">
        <v>2093</v>
      </c>
      <c r="X209" s="5" t="s">
        <v>78</v>
      </c>
      <c r="Y209" s="5" t="s">
        <v>2094</v>
      </c>
      <c r="Z209" s="5" t="s">
        <v>2095</v>
      </c>
      <c r="AA209" s="8">
        <v>45726</v>
      </c>
      <c r="AB209" s="5" t="s">
        <v>73</v>
      </c>
      <c r="AC209" s="5" t="s">
        <v>2095</v>
      </c>
      <c r="AD209" s="8">
        <v>45726</v>
      </c>
      <c r="AE209" s="5">
        <v>600000</v>
      </c>
      <c r="AF209" s="5">
        <v>200000</v>
      </c>
      <c r="AG209" s="5">
        <v>400000</v>
      </c>
      <c r="AH209" s="5">
        <v>600000</v>
      </c>
      <c r="AI209" s="8">
        <v>45726</v>
      </c>
      <c r="AJ209" s="5">
        <v>200000</v>
      </c>
      <c r="AK209" s="9">
        <v>45762</v>
      </c>
      <c r="AL209" s="5">
        <v>400000</v>
      </c>
      <c r="AM209" s="5"/>
    </row>
    <row r="210" spans="1:39" x14ac:dyDescent="0.3">
      <c r="A210" s="5" t="s">
        <v>2096</v>
      </c>
      <c r="B210" s="5">
        <v>2025</v>
      </c>
      <c r="C210" s="5" t="s">
        <v>40</v>
      </c>
      <c r="D210" s="5" t="s">
        <v>94</v>
      </c>
      <c r="E210" s="5" t="s">
        <v>1322</v>
      </c>
      <c r="F210" s="5" t="s">
        <v>2097</v>
      </c>
      <c r="G210" s="7">
        <v>81</v>
      </c>
      <c r="H210" s="7" t="s">
        <v>741</v>
      </c>
      <c r="I210" s="8">
        <v>45702</v>
      </c>
      <c r="J210" s="8">
        <v>45702</v>
      </c>
      <c r="K210" s="5"/>
      <c r="L210" s="5" t="s">
        <v>181</v>
      </c>
      <c r="M210" s="5" t="s">
        <v>1322</v>
      </c>
      <c r="N210" s="5" t="s">
        <v>2098</v>
      </c>
      <c r="O210" s="5">
        <v>9</v>
      </c>
      <c r="P210" s="5">
        <v>6830602222</v>
      </c>
      <c r="Q210" s="5">
        <v>68306022220</v>
      </c>
      <c r="R210" s="5" t="s">
        <v>2099</v>
      </c>
      <c r="S210" s="5"/>
      <c r="T210" s="5" t="s">
        <v>2100</v>
      </c>
      <c r="U210" s="5" t="s">
        <v>2101</v>
      </c>
      <c r="V210" s="5" t="s">
        <v>2102</v>
      </c>
      <c r="W210" s="5" t="s">
        <v>2099</v>
      </c>
      <c r="X210" s="5" t="s">
        <v>78</v>
      </c>
      <c r="Y210" s="5" t="s">
        <v>2103</v>
      </c>
      <c r="Z210" s="5" t="s">
        <v>2104</v>
      </c>
      <c r="AA210" s="8">
        <v>45726</v>
      </c>
      <c r="AB210" s="5" t="s">
        <v>73</v>
      </c>
      <c r="AC210" s="5" t="s">
        <v>2104</v>
      </c>
      <c r="AD210" s="8">
        <v>45726</v>
      </c>
      <c r="AE210" s="5">
        <v>600000</v>
      </c>
      <c r="AF210" s="5">
        <v>200000</v>
      </c>
      <c r="AG210" s="5">
        <v>400000</v>
      </c>
      <c r="AH210" s="5">
        <v>600000</v>
      </c>
      <c r="AI210" s="8">
        <v>45842</v>
      </c>
      <c r="AJ210" s="5">
        <v>200000</v>
      </c>
      <c r="AK210" s="9">
        <v>45762</v>
      </c>
      <c r="AL210" s="5">
        <v>400000</v>
      </c>
      <c r="AM210" s="5"/>
    </row>
    <row r="211" spans="1:39" x14ac:dyDescent="0.3">
      <c r="A211" s="5" t="s">
        <v>2105</v>
      </c>
      <c r="B211" s="5">
        <v>2025</v>
      </c>
      <c r="C211" s="5" t="s">
        <v>40</v>
      </c>
      <c r="D211" s="5" t="s">
        <v>94</v>
      </c>
      <c r="E211" s="5" t="s">
        <v>1322</v>
      </c>
      <c r="F211" s="5" t="s">
        <v>2106</v>
      </c>
      <c r="G211" s="7">
        <v>82</v>
      </c>
      <c r="H211" s="7" t="s">
        <v>747</v>
      </c>
      <c r="I211" s="8">
        <v>45705</v>
      </c>
      <c r="J211" s="8">
        <v>45705</v>
      </c>
      <c r="K211" s="5"/>
      <c r="L211" s="5" t="s">
        <v>97</v>
      </c>
      <c r="M211" s="5" t="s">
        <v>1322</v>
      </c>
      <c r="N211" s="5" t="s">
        <v>2107</v>
      </c>
      <c r="O211" s="5">
        <v>14</v>
      </c>
      <c r="P211" s="5">
        <v>3058185432</v>
      </c>
      <c r="Q211" s="5">
        <v>30581854320</v>
      </c>
      <c r="R211" s="5" t="s">
        <v>2108</v>
      </c>
      <c r="S211" s="5"/>
      <c r="T211" s="5" t="s">
        <v>2109</v>
      </c>
      <c r="U211" s="5" t="s">
        <v>2110</v>
      </c>
      <c r="V211" s="5" t="s">
        <v>2111</v>
      </c>
      <c r="W211" s="5" t="s">
        <v>2112</v>
      </c>
      <c r="X211" s="5" t="s">
        <v>461</v>
      </c>
      <c r="Y211" s="5" t="s">
        <v>2113</v>
      </c>
      <c r="Z211" s="5" t="s">
        <v>2114</v>
      </c>
      <c r="AA211" s="8">
        <v>45734</v>
      </c>
      <c r="AB211" s="5" t="s">
        <v>61</v>
      </c>
      <c r="AC211" s="5" t="s">
        <v>2115</v>
      </c>
      <c r="AD211" s="8">
        <v>45735</v>
      </c>
      <c r="AE211" s="5">
        <v>600000</v>
      </c>
      <c r="AF211" s="5">
        <v>200000</v>
      </c>
      <c r="AG211" s="5">
        <v>400000</v>
      </c>
      <c r="AH211" s="5">
        <v>600000</v>
      </c>
      <c r="AI211" s="8">
        <v>45736</v>
      </c>
      <c r="AJ211" s="5">
        <v>200000</v>
      </c>
      <c r="AK211" s="9">
        <v>45762</v>
      </c>
      <c r="AL211" s="5">
        <v>400000</v>
      </c>
      <c r="AM211" s="5"/>
    </row>
    <row r="212" spans="1:39" x14ac:dyDescent="0.3">
      <c r="A212" s="5" t="s">
        <v>2116</v>
      </c>
      <c r="B212" s="5">
        <v>2025</v>
      </c>
      <c r="C212" s="5" t="s">
        <v>40</v>
      </c>
      <c r="D212" s="5" t="s">
        <v>94</v>
      </c>
      <c r="E212" s="5" t="s">
        <v>1322</v>
      </c>
      <c r="F212" s="5" t="s">
        <v>2117</v>
      </c>
      <c r="G212" s="7">
        <v>83</v>
      </c>
      <c r="H212" s="7" t="s">
        <v>747</v>
      </c>
      <c r="I212" s="8">
        <v>45705</v>
      </c>
      <c r="J212" s="8">
        <v>45705</v>
      </c>
      <c r="K212" s="5"/>
      <c r="L212" s="5" t="s">
        <v>73</v>
      </c>
      <c r="M212" s="5" t="s">
        <v>1322</v>
      </c>
      <c r="N212" s="5" t="s">
        <v>2118</v>
      </c>
      <c r="O212" s="5">
        <v>3</v>
      </c>
      <c r="P212" s="5">
        <v>3058193984</v>
      </c>
      <c r="Q212" s="5">
        <v>30581939840</v>
      </c>
      <c r="R212" s="5" t="s">
        <v>2119</v>
      </c>
      <c r="S212" s="5"/>
      <c r="T212" s="5" t="s">
        <v>2120</v>
      </c>
      <c r="U212" s="5" t="s">
        <v>2121</v>
      </c>
      <c r="V212" s="5" t="s">
        <v>2122</v>
      </c>
      <c r="W212" s="5" t="s">
        <v>2119</v>
      </c>
      <c r="X212" s="5" t="s">
        <v>78</v>
      </c>
      <c r="Y212" s="5" t="s">
        <v>2123</v>
      </c>
      <c r="Z212" s="5" t="s">
        <v>2124</v>
      </c>
      <c r="AA212" s="8">
        <v>45734</v>
      </c>
      <c r="AB212" s="5" t="s">
        <v>61</v>
      </c>
      <c r="AC212" s="5" t="s">
        <v>2124</v>
      </c>
      <c r="AD212" s="8">
        <v>45735</v>
      </c>
      <c r="AE212" s="5">
        <v>600000</v>
      </c>
      <c r="AF212" s="5">
        <v>200000</v>
      </c>
      <c r="AG212" s="5">
        <v>400000</v>
      </c>
      <c r="AH212" s="5">
        <v>600000</v>
      </c>
      <c r="AI212" s="8">
        <v>45842</v>
      </c>
      <c r="AJ212" s="5">
        <v>200000</v>
      </c>
      <c r="AK212" s="9">
        <v>45762</v>
      </c>
      <c r="AL212" s="5">
        <v>400000</v>
      </c>
      <c r="AM212" s="5"/>
    </row>
    <row r="213" spans="1:39" x14ac:dyDescent="0.3">
      <c r="A213" s="5" t="s">
        <v>2125</v>
      </c>
      <c r="B213" s="5">
        <v>2025</v>
      </c>
      <c r="C213" s="5" t="s">
        <v>40</v>
      </c>
      <c r="D213" s="5" t="s">
        <v>94</v>
      </c>
      <c r="E213" s="5" t="s">
        <v>1322</v>
      </c>
      <c r="F213" s="5" t="s">
        <v>2126</v>
      </c>
      <c r="G213" s="7">
        <v>84</v>
      </c>
      <c r="H213" s="7" t="s">
        <v>747</v>
      </c>
      <c r="I213" s="8">
        <v>45705</v>
      </c>
      <c r="J213" s="8">
        <v>45705</v>
      </c>
      <c r="K213" s="5"/>
      <c r="L213" s="5" t="s">
        <v>61</v>
      </c>
      <c r="M213" s="5" t="s">
        <v>1322</v>
      </c>
      <c r="N213" s="5" t="s">
        <v>2127</v>
      </c>
      <c r="O213" s="5">
        <v>3</v>
      </c>
      <c r="P213" s="5">
        <v>4058601270</v>
      </c>
      <c r="Q213" s="5">
        <v>40586012700</v>
      </c>
      <c r="R213" s="5" t="s">
        <v>2128</v>
      </c>
      <c r="S213" s="5"/>
      <c r="T213" s="5" t="s">
        <v>2129</v>
      </c>
      <c r="U213" s="5"/>
      <c r="V213" s="5" t="s">
        <v>2130</v>
      </c>
      <c r="W213" s="5" t="s">
        <v>2128</v>
      </c>
      <c r="X213" s="5" t="s">
        <v>78</v>
      </c>
      <c r="Y213" s="5" t="s">
        <v>2131</v>
      </c>
      <c r="Z213" s="5" t="s">
        <v>2132</v>
      </c>
      <c r="AA213" s="8">
        <v>45734</v>
      </c>
      <c r="AB213" s="5" t="s">
        <v>61</v>
      </c>
      <c r="AC213" s="5" t="s">
        <v>2132</v>
      </c>
      <c r="AD213" s="8">
        <v>45735</v>
      </c>
      <c r="AE213" s="5">
        <v>600000</v>
      </c>
      <c r="AF213" s="5">
        <v>200000</v>
      </c>
      <c r="AG213" s="5">
        <v>400000</v>
      </c>
      <c r="AH213" s="5">
        <v>600000</v>
      </c>
      <c r="AI213" s="8">
        <v>45842</v>
      </c>
      <c r="AJ213" s="5">
        <v>200000</v>
      </c>
      <c r="AK213" s="9">
        <v>45762</v>
      </c>
      <c r="AL213" s="5">
        <v>400000</v>
      </c>
      <c r="AM213" s="5"/>
    </row>
    <row r="214" spans="1:39" x14ac:dyDescent="0.3">
      <c r="A214" s="5" t="s">
        <v>2133</v>
      </c>
      <c r="B214" s="5">
        <v>2025</v>
      </c>
      <c r="C214" s="5" t="s">
        <v>40</v>
      </c>
      <c r="D214" s="5"/>
      <c r="E214" s="5" t="s">
        <v>1322</v>
      </c>
      <c r="F214" s="5" t="s">
        <v>2134</v>
      </c>
      <c r="G214" s="7">
        <v>85</v>
      </c>
      <c r="H214" s="7" t="s">
        <v>747</v>
      </c>
      <c r="I214" s="8">
        <v>45705</v>
      </c>
      <c r="J214" s="8">
        <v>45705</v>
      </c>
      <c r="K214" s="5"/>
      <c r="L214" s="5" t="s">
        <v>46</v>
      </c>
      <c r="M214" s="5" t="s">
        <v>1322</v>
      </c>
      <c r="N214" s="5" t="s">
        <v>2135</v>
      </c>
      <c r="O214" s="5">
        <v>2</v>
      </c>
      <c r="P214" s="5">
        <v>5172500893</v>
      </c>
      <c r="Q214" s="5">
        <v>51725008930</v>
      </c>
      <c r="R214" s="5" t="s">
        <v>2136</v>
      </c>
      <c r="S214" s="5"/>
      <c r="T214" s="5" t="s">
        <v>2137</v>
      </c>
      <c r="U214" s="5" t="s">
        <v>2138</v>
      </c>
      <c r="V214" s="5" t="s">
        <v>2139</v>
      </c>
      <c r="W214" s="5" t="s">
        <v>2140</v>
      </c>
      <c r="X214" s="5"/>
      <c r="Y214" s="5" t="s">
        <v>2141</v>
      </c>
      <c r="Z214" s="5" t="s">
        <v>2142</v>
      </c>
      <c r="AA214" s="8">
        <v>45728</v>
      </c>
      <c r="AB214" s="5" t="s">
        <v>181</v>
      </c>
      <c r="AC214" s="5" t="s">
        <v>2142</v>
      </c>
      <c r="AD214" s="8">
        <v>45735</v>
      </c>
      <c r="AE214" s="5">
        <v>600000</v>
      </c>
      <c r="AF214" s="5">
        <v>200000</v>
      </c>
      <c r="AG214" s="5">
        <v>400000</v>
      </c>
      <c r="AH214" s="5">
        <v>600000</v>
      </c>
      <c r="AI214" s="8">
        <v>45842</v>
      </c>
      <c r="AJ214" s="5">
        <v>200000</v>
      </c>
      <c r="AK214" s="9">
        <v>45762</v>
      </c>
      <c r="AL214" s="5">
        <v>400000</v>
      </c>
      <c r="AM214" s="5"/>
    </row>
    <row r="215" spans="1:39" x14ac:dyDescent="0.3">
      <c r="A215" s="5" t="s">
        <v>2143</v>
      </c>
      <c r="B215" s="5">
        <v>2025</v>
      </c>
      <c r="C215" s="5" t="s">
        <v>40</v>
      </c>
      <c r="D215" s="5" t="s">
        <v>94</v>
      </c>
      <c r="E215" s="5" t="s">
        <v>1322</v>
      </c>
      <c r="F215" s="5" t="s">
        <v>2144</v>
      </c>
      <c r="G215" s="7">
        <v>86</v>
      </c>
      <c r="H215" s="7" t="s">
        <v>758</v>
      </c>
      <c r="I215" s="8">
        <v>45705</v>
      </c>
      <c r="J215" s="8">
        <v>45705</v>
      </c>
      <c r="K215" s="5"/>
      <c r="L215" s="5" t="s">
        <v>218</v>
      </c>
      <c r="M215" s="5" t="s">
        <v>1322</v>
      </c>
      <c r="N215" s="5" t="s">
        <v>2145</v>
      </c>
      <c r="O215" s="5">
        <v>8</v>
      </c>
      <c r="P215" s="5">
        <v>3448800039</v>
      </c>
      <c r="Q215" s="5">
        <v>34488000390</v>
      </c>
      <c r="R215" s="5" t="s">
        <v>2146</v>
      </c>
      <c r="S215" s="5"/>
      <c r="T215" s="5" t="s">
        <v>2147</v>
      </c>
      <c r="U215" s="5" t="s">
        <v>2148</v>
      </c>
      <c r="V215" s="5" t="s">
        <v>2149</v>
      </c>
      <c r="W215" s="5" t="s">
        <v>2146</v>
      </c>
      <c r="X215" s="5" t="s">
        <v>78</v>
      </c>
      <c r="Y215" s="5" t="s">
        <v>2150</v>
      </c>
      <c r="Z215" s="5" t="s">
        <v>2151</v>
      </c>
      <c r="AA215" s="8">
        <v>45734</v>
      </c>
      <c r="AB215" s="5" t="s">
        <v>181</v>
      </c>
      <c r="AC215" s="5" t="s">
        <v>2151</v>
      </c>
      <c r="AD215" s="8">
        <v>45735</v>
      </c>
      <c r="AE215" s="5">
        <v>600000</v>
      </c>
      <c r="AF215" s="5">
        <v>200000</v>
      </c>
      <c r="AG215" s="5">
        <v>400000</v>
      </c>
      <c r="AH215" s="5">
        <v>600000</v>
      </c>
      <c r="AI215" s="8">
        <v>45737</v>
      </c>
      <c r="AJ215" s="5">
        <v>200000</v>
      </c>
      <c r="AK215" s="9">
        <v>45762</v>
      </c>
      <c r="AL215" s="5">
        <v>400000</v>
      </c>
      <c r="AM215" s="5"/>
    </row>
    <row r="216" spans="1:39" x14ac:dyDescent="0.3">
      <c r="A216" s="5" t="s">
        <v>2152</v>
      </c>
      <c r="B216" s="5">
        <v>2025</v>
      </c>
      <c r="C216" s="5" t="s">
        <v>40</v>
      </c>
      <c r="D216" s="5" t="s">
        <v>94</v>
      </c>
      <c r="E216" s="5" t="s">
        <v>1322</v>
      </c>
      <c r="F216" s="5" t="s">
        <v>2153</v>
      </c>
      <c r="G216" s="7">
        <v>87</v>
      </c>
      <c r="H216" s="7" t="s">
        <v>767</v>
      </c>
      <c r="I216" s="8">
        <v>45705</v>
      </c>
      <c r="J216" s="8">
        <v>45705</v>
      </c>
      <c r="K216" s="5"/>
      <c r="L216" s="5" t="s">
        <v>181</v>
      </c>
      <c r="M216" s="5" t="s">
        <v>1322</v>
      </c>
      <c r="N216" s="5" t="s">
        <v>2154</v>
      </c>
      <c r="O216" s="5">
        <v>6</v>
      </c>
      <c r="P216" s="5">
        <v>3148632706</v>
      </c>
      <c r="Q216" s="5">
        <v>31486327060</v>
      </c>
      <c r="R216" s="5" t="s">
        <v>2155</v>
      </c>
      <c r="S216" s="5"/>
      <c r="T216" s="5" t="s">
        <v>2137</v>
      </c>
      <c r="U216" s="5" t="s">
        <v>2156</v>
      </c>
      <c r="V216" s="5" t="s">
        <v>2157</v>
      </c>
      <c r="W216" s="5" t="s">
        <v>2158</v>
      </c>
      <c r="X216" s="5" t="s">
        <v>2159</v>
      </c>
      <c r="Y216" s="5" t="s">
        <v>2160</v>
      </c>
      <c r="Z216" s="5" t="s">
        <v>2161</v>
      </c>
      <c r="AA216" s="8">
        <v>45734</v>
      </c>
      <c r="AB216" s="5" t="s">
        <v>181</v>
      </c>
      <c r="AC216" s="5" t="s">
        <v>2162</v>
      </c>
      <c r="AD216" s="8">
        <v>45735</v>
      </c>
      <c r="AE216" s="5">
        <v>600000</v>
      </c>
      <c r="AF216" s="5">
        <v>200000</v>
      </c>
      <c r="AG216" s="5">
        <v>400000</v>
      </c>
      <c r="AH216" s="5">
        <v>600000</v>
      </c>
      <c r="AI216" s="8">
        <v>45742</v>
      </c>
      <c r="AJ216" s="5">
        <v>200000</v>
      </c>
      <c r="AK216" s="9">
        <v>45762</v>
      </c>
      <c r="AL216" s="5">
        <v>400000</v>
      </c>
      <c r="AM216" s="5"/>
    </row>
    <row r="217" spans="1:39" x14ac:dyDescent="0.3">
      <c r="A217" s="5" t="s">
        <v>2163</v>
      </c>
      <c r="B217" s="5">
        <v>2025</v>
      </c>
      <c r="C217" s="5" t="s">
        <v>40</v>
      </c>
      <c r="D217" s="5" t="s">
        <v>94</v>
      </c>
      <c r="E217" s="5" t="s">
        <v>1322</v>
      </c>
      <c r="F217" s="5" t="s">
        <v>2164</v>
      </c>
      <c r="G217" s="7">
        <v>88</v>
      </c>
      <c r="H217" s="7" t="s">
        <v>776</v>
      </c>
      <c r="I217" s="8">
        <v>45706</v>
      </c>
      <c r="J217" s="8">
        <v>45706</v>
      </c>
      <c r="K217" s="5"/>
      <c r="L217" s="5" t="s">
        <v>73</v>
      </c>
      <c r="M217" s="5" t="s">
        <v>1322</v>
      </c>
      <c r="N217" s="5" t="s">
        <v>2165</v>
      </c>
      <c r="O217" s="5">
        <v>8</v>
      </c>
      <c r="P217" s="5">
        <v>4988500295</v>
      </c>
      <c r="Q217" s="5">
        <v>49885002950</v>
      </c>
      <c r="R217" s="5" t="s">
        <v>2166</v>
      </c>
      <c r="S217" s="5"/>
      <c r="T217" s="5" t="s">
        <v>2167</v>
      </c>
      <c r="U217" s="5" t="s">
        <v>2168</v>
      </c>
      <c r="V217" s="5" t="s">
        <v>2169</v>
      </c>
      <c r="W217" s="5" t="s">
        <v>2170</v>
      </c>
      <c r="X217" s="5" t="s">
        <v>178</v>
      </c>
      <c r="Y217" s="5" t="s">
        <v>2171</v>
      </c>
      <c r="Z217" s="5" t="s">
        <v>2172</v>
      </c>
      <c r="AA217" s="8">
        <v>45734</v>
      </c>
      <c r="AB217" s="5" t="s">
        <v>61</v>
      </c>
      <c r="AC217" s="5" t="s">
        <v>2173</v>
      </c>
      <c r="AD217" s="8">
        <v>45735</v>
      </c>
      <c r="AE217" s="5">
        <v>750000</v>
      </c>
      <c r="AF217" s="5">
        <v>750000</v>
      </c>
      <c r="AG217" s="5">
        <v>0</v>
      </c>
      <c r="AH217" s="5">
        <v>750000</v>
      </c>
      <c r="AI217" s="8">
        <v>45772</v>
      </c>
      <c r="AJ217" s="5">
        <v>750000</v>
      </c>
      <c r="AK217" s="9" t="s">
        <v>56</v>
      </c>
      <c r="AL217" s="5">
        <v>0</v>
      </c>
      <c r="AM217" s="5"/>
    </row>
    <row r="218" spans="1:39" x14ac:dyDescent="0.3">
      <c r="A218" s="5" t="s">
        <v>2174</v>
      </c>
      <c r="B218" s="5">
        <v>2025</v>
      </c>
      <c r="C218" s="5" t="s">
        <v>40</v>
      </c>
      <c r="D218" s="5" t="s">
        <v>94</v>
      </c>
      <c r="E218" s="5" t="s">
        <v>1322</v>
      </c>
      <c r="F218" s="5" t="s">
        <v>2175</v>
      </c>
      <c r="G218" s="7">
        <v>89</v>
      </c>
      <c r="H218" s="7" t="s">
        <v>786</v>
      </c>
      <c r="I218" s="8">
        <v>45706</v>
      </c>
      <c r="J218" s="8">
        <v>45706</v>
      </c>
      <c r="K218" s="5"/>
      <c r="L218" s="5" t="s">
        <v>97</v>
      </c>
      <c r="M218" s="5" t="s">
        <v>1322</v>
      </c>
      <c r="N218" s="5" t="s">
        <v>2176</v>
      </c>
      <c r="O218" s="5">
        <v>16</v>
      </c>
      <c r="P218" s="5">
        <v>3058540734</v>
      </c>
      <c r="Q218" s="5">
        <v>30585407340</v>
      </c>
      <c r="R218" s="5" t="s">
        <v>2166</v>
      </c>
      <c r="S218" s="5"/>
      <c r="T218" s="5" t="s">
        <v>2167</v>
      </c>
      <c r="U218" s="5" t="s">
        <v>2168</v>
      </c>
      <c r="V218" s="5" t="s">
        <v>2169</v>
      </c>
      <c r="W218" s="5" t="s">
        <v>2170</v>
      </c>
      <c r="X218" s="5" t="s">
        <v>178</v>
      </c>
      <c r="Y218" s="5" t="s">
        <v>2171</v>
      </c>
      <c r="Z218" s="5" t="s">
        <v>2172</v>
      </c>
      <c r="AA218" s="8">
        <v>45734</v>
      </c>
      <c r="AB218" s="5" t="s">
        <v>61</v>
      </c>
      <c r="AC218" s="5" t="s">
        <v>2173</v>
      </c>
      <c r="AD218" s="8">
        <v>45735</v>
      </c>
      <c r="AE218" s="5">
        <v>750000</v>
      </c>
      <c r="AF218" s="5">
        <v>750000</v>
      </c>
      <c r="AG218" s="5">
        <v>0</v>
      </c>
      <c r="AH218" s="5">
        <v>750000</v>
      </c>
      <c r="AI218" s="8">
        <v>45772</v>
      </c>
      <c r="AJ218" s="5">
        <v>750000</v>
      </c>
      <c r="AK218" s="9" t="s">
        <v>56</v>
      </c>
      <c r="AL218" s="5">
        <v>0</v>
      </c>
      <c r="AM218" s="5"/>
    </row>
    <row r="219" spans="1:39" x14ac:dyDescent="0.3">
      <c r="A219" s="5" t="s">
        <v>2177</v>
      </c>
      <c r="B219" s="5">
        <v>2025</v>
      </c>
      <c r="C219" s="5" t="s">
        <v>40</v>
      </c>
      <c r="D219" s="5" t="s">
        <v>94</v>
      </c>
      <c r="E219" s="5" t="s">
        <v>1322</v>
      </c>
      <c r="F219" s="5" t="s">
        <v>2178</v>
      </c>
      <c r="G219" s="7">
        <v>90</v>
      </c>
      <c r="H219" s="7" t="s">
        <v>797</v>
      </c>
      <c r="I219" s="8">
        <v>45706</v>
      </c>
      <c r="J219" s="8">
        <v>45706</v>
      </c>
      <c r="K219" s="5"/>
      <c r="L219" s="5" t="s">
        <v>61</v>
      </c>
      <c r="M219" s="5" t="s">
        <v>1322</v>
      </c>
      <c r="N219" s="5" t="s">
        <v>2179</v>
      </c>
      <c r="O219" s="5">
        <v>7</v>
      </c>
      <c r="P219" s="5">
        <v>3188102999</v>
      </c>
      <c r="Q219" s="5">
        <v>31881029990</v>
      </c>
      <c r="R219" s="5" t="s">
        <v>2180</v>
      </c>
      <c r="S219" s="5"/>
      <c r="T219" s="5" t="s">
        <v>2181</v>
      </c>
      <c r="U219" s="5" t="s">
        <v>2182</v>
      </c>
      <c r="V219" s="5" t="s">
        <v>2183</v>
      </c>
      <c r="W219" s="5" t="s">
        <v>2180</v>
      </c>
      <c r="X219" s="5" t="s">
        <v>78</v>
      </c>
      <c r="Y219" s="5" t="s">
        <v>2184</v>
      </c>
      <c r="Z219" s="5" t="s">
        <v>2185</v>
      </c>
      <c r="AA219" s="8">
        <v>45734</v>
      </c>
      <c r="AB219" s="5" t="s">
        <v>61</v>
      </c>
      <c r="AC219" s="5" t="s">
        <v>2186</v>
      </c>
      <c r="AD219" s="8">
        <v>45735</v>
      </c>
      <c r="AE219" s="5">
        <v>600000</v>
      </c>
      <c r="AF219" s="5">
        <v>200000</v>
      </c>
      <c r="AG219" s="5">
        <v>400000</v>
      </c>
      <c r="AH219" s="5">
        <v>600000</v>
      </c>
      <c r="AI219" s="8">
        <v>45740</v>
      </c>
      <c r="AJ219" s="5">
        <v>200000</v>
      </c>
      <c r="AK219" s="9">
        <v>45762</v>
      </c>
      <c r="AL219" s="5">
        <v>400000</v>
      </c>
      <c r="AM219" s="5"/>
    </row>
    <row r="220" spans="1:39" x14ac:dyDescent="0.3">
      <c r="A220" s="5" t="s">
        <v>2187</v>
      </c>
      <c r="B220" s="5">
        <v>2025</v>
      </c>
      <c r="C220" s="5" t="s">
        <v>40</v>
      </c>
      <c r="D220" s="5" t="s">
        <v>94</v>
      </c>
      <c r="E220" s="5" t="s">
        <v>1322</v>
      </c>
      <c r="F220" s="5" t="s">
        <v>2188</v>
      </c>
      <c r="G220" s="7">
        <v>91</v>
      </c>
      <c r="H220" s="7" t="s">
        <v>808</v>
      </c>
      <c r="I220" s="8">
        <v>45706</v>
      </c>
      <c r="J220" s="8">
        <v>45706</v>
      </c>
      <c r="K220" s="5"/>
      <c r="L220" s="5" t="s">
        <v>218</v>
      </c>
      <c r="M220" s="5" t="s">
        <v>1322</v>
      </c>
      <c r="N220" s="5" t="s">
        <v>2189</v>
      </c>
      <c r="O220" s="5">
        <v>11</v>
      </c>
      <c r="P220" s="5">
        <v>7328702839</v>
      </c>
      <c r="Q220" s="5">
        <v>73287028390</v>
      </c>
      <c r="R220" s="5" t="s">
        <v>2190</v>
      </c>
      <c r="S220" s="5"/>
      <c r="T220" s="5" t="s">
        <v>2191</v>
      </c>
      <c r="U220" s="5" t="s">
        <v>2192</v>
      </c>
      <c r="V220" s="5" t="s">
        <v>2193</v>
      </c>
      <c r="W220" s="5" t="s">
        <v>2194</v>
      </c>
      <c r="X220" s="5" t="s">
        <v>2159</v>
      </c>
      <c r="Y220" s="5" t="s">
        <v>2195</v>
      </c>
      <c r="Z220" s="5" t="s">
        <v>2196</v>
      </c>
      <c r="AA220" s="8">
        <v>45734</v>
      </c>
      <c r="AB220" s="5" t="s">
        <v>61</v>
      </c>
      <c r="AC220" s="5" t="s">
        <v>2196</v>
      </c>
      <c r="AD220" s="8">
        <v>45730</v>
      </c>
      <c r="AE220" s="5">
        <v>600000</v>
      </c>
      <c r="AF220" s="5">
        <v>200000</v>
      </c>
      <c r="AG220" s="5">
        <v>400000</v>
      </c>
      <c r="AH220" s="5">
        <v>600000</v>
      </c>
      <c r="AI220" s="8">
        <v>45734</v>
      </c>
      <c r="AJ220" s="5">
        <v>200000</v>
      </c>
      <c r="AK220" s="9">
        <v>45762</v>
      </c>
      <c r="AL220" s="5">
        <v>400000</v>
      </c>
      <c r="AM220" s="5"/>
    </row>
    <row r="221" spans="1:39" x14ac:dyDescent="0.3">
      <c r="A221" s="5" t="s">
        <v>2197</v>
      </c>
      <c r="B221" s="5">
        <v>2025</v>
      </c>
      <c r="C221" s="5" t="s">
        <v>40</v>
      </c>
      <c r="D221" s="5" t="s">
        <v>94</v>
      </c>
      <c r="E221" s="5" t="s">
        <v>1322</v>
      </c>
      <c r="F221" s="5" t="s">
        <v>2198</v>
      </c>
      <c r="G221" s="7">
        <v>92</v>
      </c>
      <c r="H221" s="7" t="s">
        <v>818</v>
      </c>
      <c r="I221" s="8">
        <v>45706</v>
      </c>
      <c r="J221" s="8">
        <v>45706</v>
      </c>
      <c r="K221" s="5"/>
      <c r="L221" s="5" t="s">
        <v>181</v>
      </c>
      <c r="M221" s="5" t="s">
        <v>1322</v>
      </c>
      <c r="N221" s="5" t="s">
        <v>2199</v>
      </c>
      <c r="O221" s="5">
        <v>19</v>
      </c>
      <c r="P221" s="5">
        <v>4798100976</v>
      </c>
      <c r="Q221" s="5">
        <v>47981009760</v>
      </c>
      <c r="R221" s="5" t="s">
        <v>2200</v>
      </c>
      <c r="S221" s="5"/>
      <c r="T221" s="5" t="s">
        <v>2201</v>
      </c>
      <c r="U221" s="5" t="s">
        <v>2202</v>
      </c>
      <c r="V221" s="5" t="s">
        <v>2203</v>
      </c>
      <c r="W221" s="5" t="s">
        <v>2200</v>
      </c>
      <c r="X221" s="5" t="s">
        <v>78</v>
      </c>
      <c r="Y221" s="5" t="s">
        <v>2204</v>
      </c>
      <c r="Z221" s="5" t="s">
        <v>2205</v>
      </c>
      <c r="AA221" s="8">
        <v>45730</v>
      </c>
      <c r="AB221" s="5" t="s">
        <v>218</v>
      </c>
      <c r="AC221" s="5" t="s">
        <v>2205</v>
      </c>
      <c r="AD221" s="8">
        <v>45730</v>
      </c>
      <c r="AE221" s="5">
        <v>600000</v>
      </c>
      <c r="AF221" s="5">
        <v>200000</v>
      </c>
      <c r="AG221" s="5">
        <v>400000</v>
      </c>
      <c r="AH221" s="5">
        <v>600000</v>
      </c>
      <c r="AI221" s="8">
        <v>45730</v>
      </c>
      <c r="AJ221" s="5">
        <v>200000</v>
      </c>
      <c r="AK221" s="9">
        <v>45762</v>
      </c>
      <c r="AL221" s="5">
        <v>400000</v>
      </c>
      <c r="AM221" s="5"/>
    </row>
    <row r="222" spans="1:39" x14ac:dyDescent="0.3">
      <c r="A222" s="5" t="s">
        <v>2206</v>
      </c>
      <c r="B222" s="5">
        <v>2025</v>
      </c>
      <c r="C222" s="5" t="s">
        <v>40</v>
      </c>
      <c r="D222" s="5" t="s">
        <v>94</v>
      </c>
      <c r="E222" s="5" t="s">
        <v>1322</v>
      </c>
      <c r="F222" s="5" t="s">
        <v>2207</v>
      </c>
      <c r="G222" s="7">
        <v>93</v>
      </c>
      <c r="H222" s="7" t="s">
        <v>828</v>
      </c>
      <c r="I222" s="8">
        <v>45707</v>
      </c>
      <c r="J222" s="8">
        <v>45707</v>
      </c>
      <c r="K222" s="5"/>
      <c r="L222" s="5" t="s">
        <v>97</v>
      </c>
      <c r="M222" s="5" t="s">
        <v>1322</v>
      </c>
      <c r="N222" s="5" t="s">
        <v>2208</v>
      </c>
      <c r="O222" s="5">
        <v>10</v>
      </c>
      <c r="P222" s="5">
        <v>2788600757</v>
      </c>
      <c r="Q222" s="5">
        <v>27886007570</v>
      </c>
      <c r="R222" s="5" t="s">
        <v>2209</v>
      </c>
      <c r="S222" s="5"/>
      <c r="T222" s="5" t="s">
        <v>2210</v>
      </c>
      <c r="U222" s="5" t="s">
        <v>2211</v>
      </c>
      <c r="V222" s="5" t="s">
        <v>2212</v>
      </c>
      <c r="W222" s="5" t="s">
        <v>2213</v>
      </c>
      <c r="X222" s="5"/>
      <c r="Y222" s="5" t="s">
        <v>2214</v>
      </c>
      <c r="Z222" s="5" t="s">
        <v>2215</v>
      </c>
      <c r="AA222" s="8">
        <v>45730</v>
      </c>
      <c r="AB222" s="5" t="s">
        <v>218</v>
      </c>
      <c r="AC222" s="5" t="s">
        <v>2215</v>
      </c>
      <c r="AD222" s="8">
        <v>45730</v>
      </c>
      <c r="AE222" s="5">
        <v>600000</v>
      </c>
      <c r="AF222" s="5">
        <v>200000</v>
      </c>
      <c r="AG222" s="5">
        <v>400000</v>
      </c>
      <c r="AH222" s="5">
        <v>600000</v>
      </c>
      <c r="AI222" s="8">
        <v>45733</v>
      </c>
      <c r="AJ222" s="5">
        <v>200000</v>
      </c>
      <c r="AK222" s="9">
        <v>45762</v>
      </c>
      <c r="AL222" s="5">
        <v>400000</v>
      </c>
      <c r="AM222" s="5"/>
    </row>
    <row r="223" spans="1:39" x14ac:dyDescent="0.3">
      <c r="A223" s="5" t="s">
        <v>2216</v>
      </c>
      <c r="B223" s="5">
        <v>2025</v>
      </c>
      <c r="C223" s="5" t="s">
        <v>40</v>
      </c>
      <c r="D223" s="5" t="s">
        <v>94</v>
      </c>
      <c r="E223" s="5" t="s">
        <v>1322</v>
      </c>
      <c r="F223" s="5" t="s">
        <v>2217</v>
      </c>
      <c r="G223" s="7">
        <v>94</v>
      </c>
      <c r="H223" s="7" t="s">
        <v>839</v>
      </c>
      <c r="I223" s="8">
        <v>45707</v>
      </c>
      <c r="J223" s="8">
        <v>45707</v>
      </c>
      <c r="K223" s="5"/>
      <c r="L223" s="5" t="s">
        <v>61</v>
      </c>
      <c r="M223" s="5" t="s">
        <v>1322</v>
      </c>
      <c r="N223" s="5" t="s">
        <v>2218</v>
      </c>
      <c r="O223" s="5">
        <v>12</v>
      </c>
      <c r="P223" s="5">
        <v>1548100136</v>
      </c>
      <c r="Q223" s="5">
        <v>15481001360</v>
      </c>
      <c r="R223" s="5" t="s">
        <v>2219</v>
      </c>
      <c r="S223" s="5"/>
      <c r="T223" s="5" t="s">
        <v>2220</v>
      </c>
      <c r="U223" s="5" t="s">
        <v>2221</v>
      </c>
      <c r="V223" s="5" t="s">
        <v>2222</v>
      </c>
      <c r="W223" s="5" t="s">
        <v>2223</v>
      </c>
      <c r="X223" s="5" t="s">
        <v>461</v>
      </c>
      <c r="Y223" s="5" t="s">
        <v>2224</v>
      </c>
      <c r="Z223" s="5" t="s">
        <v>2225</v>
      </c>
      <c r="AA223" s="8">
        <v>45730</v>
      </c>
      <c r="AB223" s="5" t="s">
        <v>218</v>
      </c>
      <c r="AC223" s="5" t="s">
        <v>2225</v>
      </c>
      <c r="AD223" s="8">
        <v>45730</v>
      </c>
      <c r="AE223" s="5">
        <v>600000</v>
      </c>
      <c r="AF223" s="5">
        <v>200000</v>
      </c>
      <c r="AG223" s="5">
        <v>400000</v>
      </c>
      <c r="AH223" s="5">
        <v>600000</v>
      </c>
      <c r="AI223" s="8">
        <v>45733</v>
      </c>
      <c r="AJ223" s="5">
        <v>200000</v>
      </c>
      <c r="AK223" s="9">
        <v>45762</v>
      </c>
      <c r="AL223" s="5">
        <v>400000</v>
      </c>
      <c r="AM223" s="5"/>
    </row>
    <row r="224" spans="1:39" x14ac:dyDescent="0.3">
      <c r="A224" s="5" t="s">
        <v>2226</v>
      </c>
      <c r="B224" s="5">
        <v>2025</v>
      </c>
      <c r="C224" s="5" t="s">
        <v>40</v>
      </c>
      <c r="D224" s="5" t="s">
        <v>94</v>
      </c>
      <c r="E224" s="5" t="s">
        <v>1322</v>
      </c>
      <c r="F224" s="5" t="s">
        <v>2227</v>
      </c>
      <c r="G224" s="7">
        <v>95</v>
      </c>
      <c r="H224" s="7" t="s">
        <v>851</v>
      </c>
      <c r="I224" s="8">
        <v>45707</v>
      </c>
      <c r="J224" s="8">
        <v>45707</v>
      </c>
      <c r="K224" s="5"/>
      <c r="L224" s="5" t="s">
        <v>218</v>
      </c>
      <c r="M224" s="5" t="s">
        <v>1322</v>
      </c>
      <c r="N224" s="5" t="s">
        <v>2228</v>
      </c>
      <c r="O224" s="5">
        <v>5</v>
      </c>
      <c r="P224" s="5">
        <v>3053178464</v>
      </c>
      <c r="Q224" s="5">
        <v>30531784640</v>
      </c>
      <c r="R224" s="5" t="s">
        <v>2229</v>
      </c>
      <c r="S224" s="5"/>
      <c r="T224" s="5" t="s">
        <v>2230</v>
      </c>
      <c r="U224" s="5" t="s">
        <v>2231</v>
      </c>
      <c r="V224" s="5" t="s">
        <v>2232</v>
      </c>
      <c r="W224" s="5" t="s">
        <v>2233</v>
      </c>
      <c r="X224" s="5" t="s">
        <v>78</v>
      </c>
      <c r="Y224" s="5" t="s">
        <v>2234</v>
      </c>
      <c r="Z224" s="5" t="s">
        <v>2235</v>
      </c>
      <c r="AA224" s="8">
        <v>45730</v>
      </c>
      <c r="AB224" s="5" t="s">
        <v>218</v>
      </c>
      <c r="AC224" s="5" t="s">
        <v>2235</v>
      </c>
      <c r="AD224" s="8">
        <v>45730</v>
      </c>
      <c r="AE224" s="5">
        <v>600000</v>
      </c>
      <c r="AF224" s="5">
        <v>200000</v>
      </c>
      <c r="AG224" s="5">
        <v>400000</v>
      </c>
      <c r="AH224" s="5">
        <v>600000</v>
      </c>
      <c r="AI224" s="8">
        <v>45744</v>
      </c>
      <c r="AJ224" s="5">
        <v>200000</v>
      </c>
      <c r="AK224" s="9">
        <v>45762</v>
      </c>
      <c r="AL224" s="5">
        <v>400000</v>
      </c>
      <c r="AM224" s="5"/>
    </row>
    <row r="225" spans="1:39" x14ac:dyDescent="0.3">
      <c r="A225" s="5" t="s">
        <v>2236</v>
      </c>
      <c r="B225" s="5">
        <v>2025</v>
      </c>
      <c r="C225" s="5" t="s">
        <v>40</v>
      </c>
      <c r="D225" s="5" t="s">
        <v>94</v>
      </c>
      <c r="E225" s="5" t="s">
        <v>1322</v>
      </c>
      <c r="F225" s="5" t="s">
        <v>2237</v>
      </c>
      <c r="G225" s="7">
        <v>96</v>
      </c>
      <c r="H225" s="7" t="s">
        <v>862</v>
      </c>
      <c r="I225" s="8">
        <v>45707</v>
      </c>
      <c r="J225" s="8">
        <v>45707</v>
      </c>
      <c r="K225" s="5"/>
      <c r="L225" s="5" t="s">
        <v>181</v>
      </c>
      <c r="M225" s="5" t="s">
        <v>1322</v>
      </c>
      <c r="N225" s="5" t="s">
        <v>2238</v>
      </c>
      <c r="O225" s="5">
        <v>22</v>
      </c>
      <c r="P225" s="5">
        <v>3148657560</v>
      </c>
      <c r="Q225" s="5">
        <v>31486575600</v>
      </c>
      <c r="R225" s="5" t="s">
        <v>2239</v>
      </c>
      <c r="S225" s="5"/>
      <c r="T225" s="5" t="s">
        <v>2240</v>
      </c>
      <c r="U225" s="5" t="s">
        <v>2241</v>
      </c>
      <c r="V225" s="5" t="s">
        <v>2242</v>
      </c>
      <c r="W225" s="5" t="s">
        <v>2243</v>
      </c>
      <c r="X225" s="5" t="s">
        <v>123</v>
      </c>
      <c r="Y225" s="5" t="s">
        <v>2244</v>
      </c>
      <c r="Z225" s="5" t="s">
        <v>2245</v>
      </c>
      <c r="AA225" s="8">
        <v>45730</v>
      </c>
      <c r="AB225" s="5" t="s">
        <v>218</v>
      </c>
      <c r="AC225" s="5" t="s">
        <v>2245</v>
      </c>
      <c r="AD225" s="8">
        <v>45730</v>
      </c>
      <c r="AE225" s="5">
        <v>750000</v>
      </c>
      <c r="AF225" s="5">
        <v>350000</v>
      </c>
      <c r="AG225" s="5">
        <v>400000</v>
      </c>
      <c r="AH225" s="5">
        <v>750000</v>
      </c>
      <c r="AI225" s="8">
        <v>45736</v>
      </c>
      <c r="AJ225" s="5">
        <v>350000</v>
      </c>
      <c r="AK225" s="9">
        <v>45762</v>
      </c>
      <c r="AL225" s="5">
        <v>400000</v>
      </c>
      <c r="AM225" s="5"/>
    </row>
    <row r="226" spans="1:39" x14ac:dyDescent="0.3">
      <c r="A226" s="5" t="s">
        <v>2246</v>
      </c>
      <c r="B226" s="5">
        <v>2025</v>
      </c>
      <c r="C226" s="5" t="s">
        <v>40</v>
      </c>
      <c r="D226" s="5" t="s">
        <v>94</v>
      </c>
      <c r="E226" s="5" t="s">
        <v>1322</v>
      </c>
      <c r="F226" s="5" t="s">
        <v>2247</v>
      </c>
      <c r="G226" s="7">
        <v>97</v>
      </c>
      <c r="H226" s="7" t="s">
        <v>870</v>
      </c>
      <c r="I226" s="8">
        <v>45708</v>
      </c>
      <c r="J226" s="8">
        <v>45708</v>
      </c>
      <c r="K226" s="5"/>
      <c r="L226" s="5" t="s">
        <v>73</v>
      </c>
      <c r="M226" s="5" t="s">
        <v>1322</v>
      </c>
      <c r="N226" s="5" t="s">
        <v>2248</v>
      </c>
      <c r="O226" s="5">
        <v>12</v>
      </c>
      <c r="P226" s="5">
        <v>3148624512</v>
      </c>
      <c r="Q226" s="5">
        <v>31486245120</v>
      </c>
      <c r="R226" s="5" t="s">
        <v>2249</v>
      </c>
      <c r="S226" s="5"/>
      <c r="T226" s="5" t="s">
        <v>2250</v>
      </c>
      <c r="U226" s="5" t="s">
        <v>2251</v>
      </c>
      <c r="V226" s="5" t="s">
        <v>2252</v>
      </c>
      <c r="W226" s="5" t="s">
        <v>2253</v>
      </c>
      <c r="X226" s="5" t="s">
        <v>1388</v>
      </c>
      <c r="Y226" s="5" t="s">
        <v>2254</v>
      </c>
      <c r="Z226" s="5" t="s">
        <v>2255</v>
      </c>
      <c r="AA226" s="8">
        <v>45735</v>
      </c>
      <c r="AB226" s="5" t="s">
        <v>181</v>
      </c>
      <c r="AC226" s="5" t="s">
        <v>2255</v>
      </c>
      <c r="AD226" s="8">
        <v>45735</v>
      </c>
      <c r="AE226" s="5">
        <v>600000</v>
      </c>
      <c r="AF226" s="5">
        <v>200000</v>
      </c>
      <c r="AG226" s="5">
        <v>400000</v>
      </c>
      <c r="AH226" s="5">
        <v>600000</v>
      </c>
      <c r="AI226" s="8">
        <v>46006</v>
      </c>
      <c r="AJ226" s="5">
        <v>200000</v>
      </c>
      <c r="AK226" s="9">
        <v>45762</v>
      </c>
      <c r="AL226" s="5">
        <v>400000</v>
      </c>
      <c r="AM226" s="5"/>
    </row>
    <row r="227" spans="1:39" x14ac:dyDescent="0.3">
      <c r="A227" s="5" t="s">
        <v>2256</v>
      </c>
      <c r="B227" s="5">
        <v>2025</v>
      </c>
      <c r="C227" s="5" t="s">
        <v>40</v>
      </c>
      <c r="D227" s="5" t="s">
        <v>94</v>
      </c>
      <c r="E227" s="5" t="s">
        <v>1322</v>
      </c>
      <c r="F227" s="5" t="s">
        <v>2257</v>
      </c>
      <c r="G227" s="7">
        <v>98</v>
      </c>
      <c r="H227" s="7" t="s">
        <v>870</v>
      </c>
      <c r="I227" s="8">
        <v>45708</v>
      </c>
      <c r="J227" s="8">
        <v>45708</v>
      </c>
      <c r="K227" s="5"/>
      <c r="L227" s="5" t="s">
        <v>218</v>
      </c>
      <c r="M227" s="5" t="s">
        <v>1322</v>
      </c>
      <c r="N227" s="5" t="s">
        <v>2258</v>
      </c>
      <c r="O227" s="5">
        <v>4</v>
      </c>
      <c r="P227" s="5">
        <v>2212564297</v>
      </c>
      <c r="Q227" s="5">
        <v>22125642970</v>
      </c>
      <c r="R227" s="5" t="s">
        <v>2259</v>
      </c>
      <c r="S227" s="5"/>
      <c r="T227" s="5" t="s">
        <v>2260</v>
      </c>
      <c r="U227" s="5" t="s">
        <v>2261</v>
      </c>
      <c r="V227" s="5" t="s">
        <v>2262</v>
      </c>
      <c r="W227" s="5" t="s">
        <v>2259</v>
      </c>
      <c r="X227" s="5" t="s">
        <v>78</v>
      </c>
      <c r="Y227" s="5" t="s">
        <v>2263</v>
      </c>
      <c r="Z227" s="5" t="s">
        <v>2264</v>
      </c>
      <c r="AA227" s="8">
        <v>45735</v>
      </c>
      <c r="AB227" s="5" t="s">
        <v>181</v>
      </c>
      <c r="AC227" s="5" t="s">
        <v>2264</v>
      </c>
      <c r="AD227" s="8">
        <v>45735</v>
      </c>
      <c r="AE227" s="5">
        <v>600000</v>
      </c>
      <c r="AF227" s="5">
        <v>200000</v>
      </c>
      <c r="AG227" s="5">
        <v>400000</v>
      </c>
      <c r="AH227" s="5">
        <v>600000</v>
      </c>
      <c r="AI227" s="8">
        <v>45842</v>
      </c>
      <c r="AJ227" s="5">
        <v>200000</v>
      </c>
      <c r="AK227" s="9">
        <v>45762</v>
      </c>
      <c r="AL227" s="5">
        <v>400000</v>
      </c>
      <c r="AM227" s="5"/>
    </row>
    <row r="228" spans="1:39" x14ac:dyDescent="0.3">
      <c r="A228" s="5" t="s">
        <v>2265</v>
      </c>
      <c r="B228" s="5">
        <v>2025</v>
      </c>
      <c r="C228" s="5" t="s">
        <v>40</v>
      </c>
      <c r="D228" s="5" t="s">
        <v>94</v>
      </c>
      <c r="E228" s="5" t="s">
        <v>1322</v>
      </c>
      <c r="F228" s="5" t="s">
        <v>2266</v>
      </c>
      <c r="G228" s="7">
        <v>99</v>
      </c>
      <c r="H228" s="7" t="s">
        <v>870</v>
      </c>
      <c r="I228" s="8">
        <v>45708</v>
      </c>
      <c r="J228" s="8">
        <v>45708</v>
      </c>
      <c r="K228" s="5"/>
      <c r="L228" s="5" t="s">
        <v>181</v>
      </c>
      <c r="M228" s="5" t="s">
        <v>1322</v>
      </c>
      <c r="N228" s="5" t="s">
        <v>2267</v>
      </c>
      <c r="O228" s="5">
        <v>3</v>
      </c>
      <c r="P228" s="5">
        <v>2520901485</v>
      </c>
      <c r="Q228" s="5">
        <v>25209014850</v>
      </c>
      <c r="R228" s="5" t="s">
        <v>2268</v>
      </c>
      <c r="S228" s="5"/>
      <c r="T228" s="5" t="s">
        <v>2269</v>
      </c>
      <c r="U228" s="5" t="s">
        <v>2270</v>
      </c>
      <c r="V228" s="5" t="s">
        <v>2271</v>
      </c>
      <c r="W228" s="5" t="s">
        <v>2268</v>
      </c>
      <c r="X228" s="5" t="s">
        <v>78</v>
      </c>
      <c r="Y228" s="5" t="s">
        <v>2272</v>
      </c>
      <c r="Z228" s="5" t="s">
        <v>2273</v>
      </c>
      <c r="AA228" s="8">
        <v>45735</v>
      </c>
      <c r="AB228" s="5" t="s">
        <v>181</v>
      </c>
      <c r="AC228" s="5" t="s">
        <v>2273</v>
      </c>
      <c r="AD228" s="8">
        <v>45735</v>
      </c>
      <c r="AE228" s="5">
        <v>600000</v>
      </c>
      <c r="AF228" s="5">
        <v>200000</v>
      </c>
      <c r="AG228" s="5">
        <v>400000</v>
      </c>
      <c r="AH228" s="5">
        <v>600000</v>
      </c>
      <c r="AI228" s="8">
        <v>45978</v>
      </c>
      <c r="AJ228" s="5">
        <v>200000</v>
      </c>
      <c r="AK228" s="9">
        <v>45762</v>
      </c>
      <c r="AL228" s="5">
        <v>400000</v>
      </c>
      <c r="AM228" s="5"/>
    </row>
    <row r="229" spans="1:39" x14ac:dyDescent="0.3">
      <c r="A229" s="5" t="s">
        <v>2274</v>
      </c>
      <c r="B229" s="5">
        <v>2025</v>
      </c>
      <c r="C229" s="5" t="s">
        <v>40</v>
      </c>
      <c r="D229" s="5" t="s">
        <v>94</v>
      </c>
      <c r="E229" s="5" t="s">
        <v>1322</v>
      </c>
      <c r="F229" s="5" t="s">
        <v>2275</v>
      </c>
      <c r="G229" s="7">
        <v>100</v>
      </c>
      <c r="H229" s="7" t="s">
        <v>889</v>
      </c>
      <c r="I229" s="8">
        <v>45709</v>
      </c>
      <c r="J229" s="8">
        <v>45709</v>
      </c>
      <c r="K229" s="5"/>
      <c r="L229" s="5" t="s">
        <v>61</v>
      </c>
      <c r="M229" s="5" t="s">
        <v>1322</v>
      </c>
      <c r="N229" s="5" t="s">
        <v>2276</v>
      </c>
      <c r="O229" s="5">
        <v>32</v>
      </c>
      <c r="P229" s="5">
        <v>3148100193</v>
      </c>
      <c r="Q229" s="5">
        <v>31481001930</v>
      </c>
      <c r="R229" s="5" t="s">
        <v>2277</v>
      </c>
      <c r="S229" s="5"/>
      <c r="T229" s="5" t="s">
        <v>2278</v>
      </c>
      <c r="U229" s="5" t="s">
        <v>2279</v>
      </c>
      <c r="V229" s="5" t="s">
        <v>2280</v>
      </c>
      <c r="W229" s="5" t="s">
        <v>2281</v>
      </c>
      <c r="X229" s="5" t="s">
        <v>134</v>
      </c>
      <c r="Y229" s="5" t="s">
        <v>2282</v>
      </c>
      <c r="Z229" s="5" t="s">
        <v>2283</v>
      </c>
      <c r="AA229" s="8">
        <v>45730</v>
      </c>
      <c r="AB229" s="5" t="s">
        <v>218</v>
      </c>
      <c r="AC229" s="5" t="s">
        <v>2283</v>
      </c>
      <c r="AD229" s="8">
        <v>45730</v>
      </c>
      <c r="AE229" s="5">
        <v>750000</v>
      </c>
      <c r="AF229" s="5">
        <v>350000</v>
      </c>
      <c r="AG229" s="5">
        <v>400000</v>
      </c>
      <c r="AH229" s="5">
        <v>750000</v>
      </c>
      <c r="AI229" s="8">
        <v>45733</v>
      </c>
      <c r="AJ229" s="5">
        <v>350000</v>
      </c>
      <c r="AK229" s="9">
        <v>45762</v>
      </c>
      <c r="AL229" s="5">
        <v>400000</v>
      </c>
      <c r="AM229" s="5"/>
    </row>
    <row r="230" spans="1:39" x14ac:dyDescent="0.3">
      <c r="A230" s="5" t="s">
        <v>2284</v>
      </c>
      <c r="B230" s="5">
        <v>2025</v>
      </c>
      <c r="C230" s="5" t="s">
        <v>40</v>
      </c>
      <c r="D230" s="5" t="s">
        <v>94</v>
      </c>
      <c r="E230" s="5" t="s">
        <v>1322</v>
      </c>
      <c r="F230" s="5" t="s">
        <v>2285</v>
      </c>
      <c r="G230" s="7">
        <v>101</v>
      </c>
      <c r="H230" s="7" t="s">
        <v>908</v>
      </c>
      <c r="I230" s="8">
        <v>45709</v>
      </c>
      <c r="J230" s="8">
        <v>45709</v>
      </c>
      <c r="K230" s="5"/>
      <c r="L230" s="5" t="s">
        <v>218</v>
      </c>
      <c r="M230" s="5" t="s">
        <v>1322</v>
      </c>
      <c r="N230" s="5" t="s">
        <v>2286</v>
      </c>
      <c r="O230" s="5">
        <v>24</v>
      </c>
      <c r="P230" s="5">
        <v>3148174206</v>
      </c>
      <c r="Q230" s="5">
        <v>31481742060</v>
      </c>
      <c r="R230" s="5" t="s">
        <v>2287</v>
      </c>
      <c r="S230" s="5"/>
      <c r="T230" s="5" t="s">
        <v>2288</v>
      </c>
      <c r="U230" s="5" t="s">
        <v>2289</v>
      </c>
      <c r="V230" s="5" t="s">
        <v>2290</v>
      </c>
      <c r="W230" s="5" t="s">
        <v>2291</v>
      </c>
      <c r="X230" s="5" t="s">
        <v>2159</v>
      </c>
      <c r="Y230" s="5" t="s">
        <v>2292</v>
      </c>
      <c r="Z230" s="5" t="s">
        <v>2293</v>
      </c>
      <c r="AA230" s="8">
        <v>45730</v>
      </c>
      <c r="AB230" s="5" t="s">
        <v>218</v>
      </c>
      <c r="AC230" s="5" t="s">
        <v>2293</v>
      </c>
      <c r="AD230" s="8">
        <v>45730</v>
      </c>
      <c r="AE230" s="5">
        <v>750000</v>
      </c>
      <c r="AF230" s="5">
        <v>350000</v>
      </c>
      <c r="AG230" s="5">
        <v>400000</v>
      </c>
      <c r="AH230" s="5">
        <v>750000</v>
      </c>
      <c r="AI230" s="8">
        <v>45757</v>
      </c>
      <c r="AJ230" s="5">
        <v>350000</v>
      </c>
      <c r="AK230" s="9">
        <v>45762</v>
      </c>
      <c r="AL230" s="5">
        <v>400000</v>
      </c>
      <c r="AM230" s="5"/>
    </row>
    <row r="231" spans="1:39" x14ac:dyDescent="0.3">
      <c r="A231" s="5" t="s">
        <v>2294</v>
      </c>
      <c r="B231" s="5">
        <v>2025</v>
      </c>
      <c r="C231" s="5" t="s">
        <v>40</v>
      </c>
      <c r="D231" s="5" t="s">
        <v>2295</v>
      </c>
      <c r="E231" s="5" t="s">
        <v>1322</v>
      </c>
      <c r="F231" s="5" t="s">
        <v>2296</v>
      </c>
      <c r="G231" s="7">
        <v>102</v>
      </c>
      <c r="H231" s="7" t="s">
        <v>918</v>
      </c>
      <c r="I231" s="8">
        <v>45709</v>
      </c>
      <c r="J231" s="8">
        <v>45709</v>
      </c>
      <c r="K231" s="5"/>
      <c r="L231" s="5" t="s">
        <v>181</v>
      </c>
      <c r="M231" s="5" t="s">
        <v>1322</v>
      </c>
      <c r="N231" s="5" t="s">
        <v>2297</v>
      </c>
      <c r="O231" s="5">
        <v>7</v>
      </c>
      <c r="P231" s="5">
        <v>3080333274</v>
      </c>
      <c r="Q231" s="5">
        <v>30803332740</v>
      </c>
      <c r="R231" s="5" t="s">
        <v>2298</v>
      </c>
      <c r="S231" s="5"/>
      <c r="T231" s="5" t="s">
        <v>2299</v>
      </c>
      <c r="U231" s="5" t="s">
        <v>2300</v>
      </c>
      <c r="V231" s="5" t="s">
        <v>2301</v>
      </c>
      <c r="W231" s="5" t="s">
        <v>2298</v>
      </c>
      <c r="X231" s="5" t="s">
        <v>78</v>
      </c>
      <c r="Y231" s="5" t="s">
        <v>2302</v>
      </c>
      <c r="Z231" s="5" t="s">
        <v>2303</v>
      </c>
      <c r="AA231" s="8">
        <v>45730</v>
      </c>
      <c r="AB231" s="5" t="s">
        <v>218</v>
      </c>
      <c r="AC231" s="5" t="s">
        <v>2303</v>
      </c>
      <c r="AD231" s="8">
        <v>45730</v>
      </c>
      <c r="AE231" s="5">
        <v>600000</v>
      </c>
      <c r="AF231" s="5">
        <v>200000</v>
      </c>
      <c r="AG231" s="5">
        <v>400000</v>
      </c>
      <c r="AH231" s="5">
        <v>600000</v>
      </c>
      <c r="AI231" s="8">
        <v>45730</v>
      </c>
      <c r="AJ231" s="5">
        <v>200000</v>
      </c>
      <c r="AK231" s="9">
        <v>45762</v>
      </c>
      <c r="AL231" s="5">
        <v>400000</v>
      </c>
      <c r="AM231" s="5"/>
    </row>
    <row r="232" spans="1:39" x14ac:dyDescent="0.3">
      <c r="A232" s="5" t="s">
        <v>2304</v>
      </c>
      <c r="B232" s="5">
        <v>2025</v>
      </c>
      <c r="C232" s="5" t="s">
        <v>40</v>
      </c>
      <c r="D232" s="5" t="s">
        <v>94</v>
      </c>
      <c r="E232" s="5" t="s">
        <v>1322</v>
      </c>
      <c r="F232" s="5" t="s">
        <v>2305</v>
      </c>
      <c r="G232" s="7">
        <v>103</v>
      </c>
      <c r="H232" s="7" t="s">
        <v>929</v>
      </c>
      <c r="I232" s="8">
        <v>45713</v>
      </c>
      <c r="J232" s="8">
        <v>45713</v>
      </c>
      <c r="K232" s="5"/>
      <c r="L232" s="5" t="s">
        <v>218</v>
      </c>
      <c r="M232" s="5" t="s">
        <v>1322</v>
      </c>
      <c r="N232" s="5" t="s">
        <v>2306</v>
      </c>
      <c r="O232" s="5">
        <v>12</v>
      </c>
      <c r="P232" s="5">
        <v>5248800426</v>
      </c>
      <c r="Q232" s="5">
        <v>52488004260</v>
      </c>
      <c r="R232" s="5" t="s">
        <v>2307</v>
      </c>
      <c r="S232" s="5"/>
      <c r="T232" s="5" t="s">
        <v>2308</v>
      </c>
      <c r="U232" s="5" t="s">
        <v>2309</v>
      </c>
      <c r="V232" s="5" t="s">
        <v>2310</v>
      </c>
      <c r="W232" s="5" t="s">
        <v>2307</v>
      </c>
      <c r="X232" s="5" t="s">
        <v>78</v>
      </c>
      <c r="Y232" s="5" t="s">
        <v>2311</v>
      </c>
      <c r="Z232" s="5" t="s">
        <v>2312</v>
      </c>
      <c r="AA232" s="8">
        <v>45741</v>
      </c>
      <c r="AB232" s="5" t="s">
        <v>218</v>
      </c>
      <c r="AC232" s="5" t="s">
        <v>2312</v>
      </c>
      <c r="AD232" s="8">
        <v>45742</v>
      </c>
      <c r="AE232" s="5">
        <v>600000</v>
      </c>
      <c r="AF232" s="5">
        <v>200000</v>
      </c>
      <c r="AG232" s="5">
        <v>400000</v>
      </c>
      <c r="AH232" s="5">
        <v>600000</v>
      </c>
      <c r="AI232" s="8">
        <v>45742</v>
      </c>
      <c r="AJ232" s="5">
        <v>200000</v>
      </c>
      <c r="AK232" s="9">
        <v>45762</v>
      </c>
      <c r="AL232" s="5">
        <v>400000</v>
      </c>
      <c r="AM232" s="5"/>
    </row>
    <row r="233" spans="1:39" x14ac:dyDescent="0.3">
      <c r="A233" s="5" t="s">
        <v>2313</v>
      </c>
      <c r="B233" s="5">
        <v>2025</v>
      </c>
      <c r="C233" s="5" t="s">
        <v>40</v>
      </c>
      <c r="D233" s="5" t="s">
        <v>94</v>
      </c>
      <c r="E233" s="5" t="s">
        <v>1322</v>
      </c>
      <c r="F233" s="5" t="s">
        <v>2314</v>
      </c>
      <c r="G233" s="7">
        <v>104</v>
      </c>
      <c r="H233" s="7" t="s">
        <v>2315</v>
      </c>
      <c r="I233" s="8">
        <v>45713</v>
      </c>
      <c r="J233" s="8">
        <v>45713</v>
      </c>
      <c r="K233" s="5"/>
      <c r="L233" s="5" t="s">
        <v>181</v>
      </c>
      <c r="M233" s="5" t="s">
        <v>1322</v>
      </c>
      <c r="N233" s="5" t="s">
        <v>2316</v>
      </c>
      <c r="O233" s="5">
        <v>6</v>
      </c>
      <c r="P233" s="5">
        <v>5263700094</v>
      </c>
      <c r="Q233" s="5">
        <v>52637000940</v>
      </c>
      <c r="R233" s="5" t="s">
        <v>2317</v>
      </c>
      <c r="S233" s="5"/>
      <c r="T233" s="5" t="s">
        <v>2318</v>
      </c>
      <c r="U233" s="5" t="s">
        <v>2319</v>
      </c>
      <c r="V233" s="5" t="s">
        <v>2320</v>
      </c>
      <c r="W233" s="5" t="s">
        <v>2321</v>
      </c>
      <c r="X233" s="5" t="s">
        <v>112</v>
      </c>
      <c r="Y233" s="5" t="s">
        <v>2322</v>
      </c>
      <c r="Z233" s="5" t="s">
        <v>2323</v>
      </c>
      <c r="AA233" s="8">
        <v>45741</v>
      </c>
      <c r="AB233" s="5" t="s">
        <v>218</v>
      </c>
      <c r="AC233" s="5" t="s">
        <v>2323</v>
      </c>
      <c r="AD233" s="8">
        <v>45742</v>
      </c>
      <c r="AE233" s="5">
        <v>600000</v>
      </c>
      <c r="AF233" s="5">
        <v>200000</v>
      </c>
      <c r="AG233" s="5">
        <v>400000</v>
      </c>
      <c r="AH233" s="5">
        <v>600000</v>
      </c>
      <c r="AI233" s="8">
        <v>45791</v>
      </c>
      <c r="AJ233" s="5">
        <v>200000</v>
      </c>
      <c r="AK233" s="9">
        <v>45762</v>
      </c>
      <c r="AL233" s="5">
        <v>400000</v>
      </c>
      <c r="AM233" s="5" t="s">
        <v>2324</v>
      </c>
    </row>
    <row r="234" spans="1:39" x14ac:dyDescent="0.3">
      <c r="A234" s="5" t="s">
        <v>2325</v>
      </c>
      <c r="B234" s="5">
        <v>2025</v>
      </c>
      <c r="C234" s="5" t="s">
        <v>40</v>
      </c>
      <c r="D234" s="5" t="s">
        <v>94</v>
      </c>
      <c r="E234" s="5" t="s">
        <v>1322</v>
      </c>
      <c r="F234" s="5" t="s">
        <v>2326</v>
      </c>
      <c r="G234" s="7">
        <v>105</v>
      </c>
      <c r="H234" s="7" t="s">
        <v>951</v>
      </c>
      <c r="I234" s="8">
        <v>45714</v>
      </c>
      <c r="J234" s="8">
        <v>45714</v>
      </c>
      <c r="K234" s="5"/>
      <c r="L234" s="5" t="s">
        <v>73</v>
      </c>
      <c r="M234" s="5" t="s">
        <v>1322</v>
      </c>
      <c r="N234" s="5" t="s">
        <v>2327</v>
      </c>
      <c r="O234" s="5">
        <v>9</v>
      </c>
      <c r="P234" s="5">
        <v>6868101947</v>
      </c>
      <c r="Q234" s="5">
        <v>68681019470</v>
      </c>
      <c r="R234" s="5" t="s">
        <v>2328</v>
      </c>
      <c r="S234" s="5"/>
      <c r="T234" s="5" t="s">
        <v>2329</v>
      </c>
      <c r="U234" s="5" t="s">
        <v>2330</v>
      </c>
      <c r="V234" s="5" t="s">
        <v>2331</v>
      </c>
      <c r="W234" s="5" t="s">
        <v>2328</v>
      </c>
      <c r="X234" s="5" t="s">
        <v>78</v>
      </c>
      <c r="Y234" s="5" t="s">
        <v>2332</v>
      </c>
      <c r="Z234" s="5" t="s">
        <v>2333</v>
      </c>
      <c r="AA234" s="8">
        <v>45740</v>
      </c>
      <c r="AB234" s="5" t="s">
        <v>73</v>
      </c>
      <c r="AC234" s="5" t="s">
        <v>2333</v>
      </c>
      <c r="AD234" s="8">
        <v>45742</v>
      </c>
      <c r="AE234" s="5">
        <v>600000</v>
      </c>
      <c r="AF234" s="5">
        <v>200000</v>
      </c>
      <c r="AG234" s="5">
        <v>400000</v>
      </c>
      <c r="AH234" s="5">
        <v>600000</v>
      </c>
      <c r="AI234" s="8">
        <v>45770</v>
      </c>
      <c r="AJ234" s="5">
        <v>200000</v>
      </c>
      <c r="AK234" s="9">
        <v>45762</v>
      </c>
      <c r="AL234" s="5">
        <v>400000</v>
      </c>
      <c r="AM234" s="5"/>
    </row>
    <row r="235" spans="1:39" x14ac:dyDescent="0.3">
      <c r="A235" s="5" t="s">
        <v>2334</v>
      </c>
      <c r="B235" s="5">
        <v>2025</v>
      </c>
      <c r="C235" s="5" t="s">
        <v>40</v>
      </c>
      <c r="D235" s="5" t="s">
        <v>94</v>
      </c>
      <c r="E235" s="5" t="s">
        <v>1322</v>
      </c>
      <c r="F235" s="5" t="s">
        <v>2335</v>
      </c>
      <c r="G235" s="7">
        <v>106</v>
      </c>
      <c r="H235" s="7" t="s">
        <v>962</v>
      </c>
      <c r="I235" s="8">
        <v>45714</v>
      </c>
      <c r="J235" s="8">
        <v>45714</v>
      </c>
      <c r="K235" s="5"/>
      <c r="L235" s="5" t="s">
        <v>97</v>
      </c>
      <c r="M235" s="5" t="s">
        <v>1322</v>
      </c>
      <c r="N235" s="5" t="s">
        <v>2336</v>
      </c>
      <c r="O235" s="5">
        <v>10</v>
      </c>
      <c r="P235" s="5">
        <v>3058164437</v>
      </c>
      <c r="Q235" s="5">
        <v>30581644370</v>
      </c>
      <c r="R235" s="5" t="s">
        <v>2337</v>
      </c>
      <c r="S235" s="5"/>
      <c r="T235" s="5" t="s">
        <v>2338</v>
      </c>
      <c r="U235" s="5" t="s">
        <v>2339</v>
      </c>
      <c r="V235" s="5" t="s">
        <v>2340</v>
      </c>
      <c r="W235" s="5" t="s">
        <v>2341</v>
      </c>
      <c r="X235" s="5"/>
      <c r="Y235" s="5" t="s">
        <v>2342</v>
      </c>
      <c r="Z235" s="5" t="s">
        <v>2343</v>
      </c>
      <c r="AA235" s="8">
        <v>45740</v>
      </c>
      <c r="AB235" s="5" t="s">
        <v>73</v>
      </c>
      <c r="AC235" s="5" t="s">
        <v>2343</v>
      </c>
      <c r="AD235" s="8">
        <v>45742</v>
      </c>
      <c r="AE235" s="5">
        <v>600000</v>
      </c>
      <c r="AF235" s="5">
        <v>200000</v>
      </c>
      <c r="AG235" s="5">
        <v>400000</v>
      </c>
      <c r="AH235" s="5">
        <v>600000</v>
      </c>
      <c r="AI235" s="8">
        <v>45776</v>
      </c>
      <c r="AJ235" s="5">
        <v>200000</v>
      </c>
      <c r="AK235" s="9">
        <v>45762</v>
      </c>
      <c r="AL235" s="5">
        <v>400000</v>
      </c>
      <c r="AM235" s="5" t="s">
        <v>2344</v>
      </c>
    </row>
    <row r="236" spans="1:39" x14ac:dyDescent="0.3">
      <c r="A236" s="5" t="s">
        <v>2345</v>
      </c>
      <c r="B236" s="5">
        <v>2025</v>
      </c>
      <c r="C236" s="5" t="s">
        <v>40</v>
      </c>
      <c r="D236" s="5" t="s">
        <v>94</v>
      </c>
      <c r="E236" s="5" t="s">
        <v>1322</v>
      </c>
      <c r="F236" s="5" t="s">
        <v>2346</v>
      </c>
      <c r="G236" s="7">
        <v>107</v>
      </c>
      <c r="H236" s="7" t="s">
        <v>974</v>
      </c>
      <c r="I236" s="8">
        <v>45714</v>
      </c>
      <c r="J236" s="8">
        <v>45714</v>
      </c>
      <c r="K236" s="5"/>
      <c r="L236" s="5" t="s">
        <v>46</v>
      </c>
      <c r="M236" s="5" t="s">
        <v>1322</v>
      </c>
      <c r="N236" s="5" t="s">
        <v>2347</v>
      </c>
      <c r="O236" s="5">
        <v>16</v>
      </c>
      <c r="P236" s="5">
        <v>4698802369</v>
      </c>
      <c r="Q236" s="5">
        <v>46988023690</v>
      </c>
      <c r="R236" s="5" t="s">
        <v>2348</v>
      </c>
      <c r="S236" s="5"/>
      <c r="T236" s="5" t="s">
        <v>2349</v>
      </c>
      <c r="U236" s="5" t="s">
        <v>2350</v>
      </c>
      <c r="V236" s="5" t="s">
        <v>2351</v>
      </c>
      <c r="W236" s="5" t="s">
        <v>2348</v>
      </c>
      <c r="X236" s="5" t="s">
        <v>78</v>
      </c>
      <c r="Y236" s="5" t="s">
        <v>2352</v>
      </c>
      <c r="Z236" s="5" t="s">
        <v>2353</v>
      </c>
      <c r="AA236" s="8">
        <v>45740</v>
      </c>
      <c r="AB236" s="5" t="s">
        <v>181</v>
      </c>
      <c r="AC236" s="5" t="s">
        <v>2353</v>
      </c>
      <c r="AD236" s="8">
        <v>45742</v>
      </c>
      <c r="AE236" s="5">
        <v>1200000</v>
      </c>
      <c r="AF236" s="5">
        <v>200000</v>
      </c>
      <c r="AG236" s="5">
        <v>1000000</v>
      </c>
      <c r="AH236" s="5">
        <v>1200000</v>
      </c>
      <c r="AI236" s="8">
        <v>45807</v>
      </c>
      <c r="AJ236" s="5">
        <v>200000</v>
      </c>
      <c r="AK236" s="9">
        <v>45762</v>
      </c>
      <c r="AL236" s="5">
        <v>1000000</v>
      </c>
      <c r="AM236" s="5"/>
    </row>
    <row r="237" spans="1:39" x14ac:dyDescent="0.3">
      <c r="A237" s="5" t="s">
        <v>2354</v>
      </c>
      <c r="B237" s="5">
        <v>2025</v>
      </c>
      <c r="C237" s="5" t="s">
        <v>40</v>
      </c>
      <c r="D237" s="5" t="s">
        <v>94</v>
      </c>
      <c r="E237" s="5" t="s">
        <v>1322</v>
      </c>
      <c r="F237" s="5" t="s">
        <v>2355</v>
      </c>
      <c r="G237" s="7">
        <v>108</v>
      </c>
      <c r="H237" s="7" t="s">
        <v>987</v>
      </c>
      <c r="I237" s="8">
        <v>45714</v>
      </c>
      <c r="J237" s="8">
        <v>45714</v>
      </c>
      <c r="K237" s="5"/>
      <c r="L237" s="5" t="s">
        <v>61</v>
      </c>
      <c r="M237" s="5" t="s">
        <v>1322</v>
      </c>
      <c r="N237" s="5" t="s">
        <v>2356</v>
      </c>
      <c r="O237" s="5">
        <v>9</v>
      </c>
      <c r="P237" s="5">
        <v>3148186997</v>
      </c>
      <c r="Q237" s="5">
        <v>31481869970</v>
      </c>
      <c r="R237" s="5" t="s">
        <v>2357</v>
      </c>
      <c r="S237" s="5"/>
      <c r="T237" s="5" t="s">
        <v>2358</v>
      </c>
      <c r="U237" s="5" t="s">
        <v>2359</v>
      </c>
      <c r="V237" s="5" t="s">
        <v>2360</v>
      </c>
      <c r="W237" s="5" t="s">
        <v>2361</v>
      </c>
      <c r="X237" s="5" t="s">
        <v>78</v>
      </c>
      <c r="Y237" s="5" t="s">
        <v>2362</v>
      </c>
      <c r="Z237" s="5" t="s">
        <v>2363</v>
      </c>
      <c r="AA237" s="8">
        <v>45740</v>
      </c>
      <c r="AB237" s="5" t="s">
        <v>181</v>
      </c>
      <c r="AC237" s="5" t="s">
        <v>2363</v>
      </c>
      <c r="AD237" s="8">
        <v>45742</v>
      </c>
      <c r="AE237" s="5">
        <v>600000</v>
      </c>
      <c r="AF237" s="5">
        <v>200000</v>
      </c>
      <c r="AG237" s="5">
        <v>400000</v>
      </c>
      <c r="AH237" s="5">
        <v>600000</v>
      </c>
      <c r="AI237" s="8">
        <v>45743</v>
      </c>
      <c r="AJ237" s="5">
        <v>200000</v>
      </c>
      <c r="AK237" s="9">
        <v>45762</v>
      </c>
      <c r="AL237" s="5">
        <v>400000</v>
      </c>
      <c r="AM237" s="5"/>
    </row>
    <row r="238" spans="1:39" x14ac:dyDescent="0.3">
      <c r="A238" s="5" t="s">
        <v>2364</v>
      </c>
      <c r="B238" s="5">
        <v>2025</v>
      </c>
      <c r="C238" s="5" t="s">
        <v>40</v>
      </c>
      <c r="D238" s="5" t="s">
        <v>94</v>
      </c>
      <c r="E238" s="5" t="s">
        <v>1322</v>
      </c>
      <c r="F238" s="5" t="s">
        <v>2365</v>
      </c>
      <c r="G238" s="7">
        <v>109</v>
      </c>
      <c r="H238" s="7" t="s">
        <v>992</v>
      </c>
      <c r="I238" s="8">
        <v>45714</v>
      </c>
      <c r="J238" s="8">
        <v>45714</v>
      </c>
      <c r="K238" s="5"/>
      <c r="L238" s="5" t="s">
        <v>181</v>
      </c>
      <c r="M238" s="5" t="s">
        <v>1322</v>
      </c>
      <c r="N238" s="5" t="s">
        <v>2366</v>
      </c>
      <c r="O238" s="5">
        <v>14</v>
      </c>
      <c r="P238" s="5">
        <v>8622600621</v>
      </c>
      <c r="Q238" s="5">
        <v>86226006210</v>
      </c>
      <c r="R238" s="5" t="s">
        <v>2367</v>
      </c>
      <c r="S238" s="5"/>
      <c r="T238" s="5" t="s">
        <v>2368</v>
      </c>
      <c r="U238" s="5" t="s">
        <v>2369</v>
      </c>
      <c r="V238" s="5" t="s">
        <v>2370</v>
      </c>
      <c r="W238" s="5" t="s">
        <v>2367</v>
      </c>
      <c r="X238" s="5" t="s">
        <v>78</v>
      </c>
      <c r="Y238" s="5" t="s">
        <v>2371</v>
      </c>
      <c r="Z238" s="5" t="s">
        <v>2372</v>
      </c>
      <c r="AA238" s="8">
        <v>45740</v>
      </c>
      <c r="AB238" s="5" t="s">
        <v>181</v>
      </c>
      <c r="AC238" s="5" t="s">
        <v>2372</v>
      </c>
      <c r="AD238" s="8">
        <v>45742</v>
      </c>
      <c r="AE238" s="5">
        <v>600000</v>
      </c>
      <c r="AF238" s="5">
        <v>200000</v>
      </c>
      <c r="AG238" s="5">
        <v>400000</v>
      </c>
      <c r="AH238" s="5">
        <v>600000</v>
      </c>
      <c r="AI238" s="8">
        <v>45742</v>
      </c>
      <c r="AJ238" s="5">
        <v>200000</v>
      </c>
      <c r="AK238" s="9">
        <v>45762</v>
      </c>
      <c r="AL238" s="5">
        <v>400000</v>
      </c>
      <c r="AM238" s="5"/>
    </row>
    <row r="239" spans="1:39" x14ac:dyDescent="0.3">
      <c r="A239" s="5" t="s">
        <v>2373</v>
      </c>
      <c r="B239" s="5">
        <v>2025</v>
      </c>
      <c r="C239" s="5" t="s">
        <v>40</v>
      </c>
      <c r="D239" s="5" t="s">
        <v>94</v>
      </c>
      <c r="E239" s="5" t="s">
        <v>1322</v>
      </c>
      <c r="F239" s="5" t="s">
        <v>2374</v>
      </c>
      <c r="G239" s="7">
        <v>110</v>
      </c>
      <c r="H239" s="7" t="s">
        <v>1001</v>
      </c>
      <c r="I239" s="8">
        <v>45715</v>
      </c>
      <c r="J239" s="8">
        <v>45715</v>
      </c>
      <c r="K239" s="5"/>
      <c r="L239" s="5" t="s">
        <v>46</v>
      </c>
      <c r="M239" s="5" t="s">
        <v>1322</v>
      </c>
      <c r="N239" s="5" t="s">
        <v>2375</v>
      </c>
      <c r="O239" s="5">
        <v>13</v>
      </c>
      <c r="P239" s="5">
        <v>3058176350</v>
      </c>
      <c r="Q239" s="5">
        <v>30581763500</v>
      </c>
      <c r="R239" s="5" t="s">
        <v>2259</v>
      </c>
      <c r="S239" s="5"/>
      <c r="T239" s="5" t="s">
        <v>2376</v>
      </c>
      <c r="U239" s="5" t="s">
        <v>2377</v>
      </c>
      <c r="V239" s="5" t="s">
        <v>2378</v>
      </c>
      <c r="W239" s="5" t="s">
        <v>2259</v>
      </c>
      <c r="X239" s="5" t="s">
        <v>78</v>
      </c>
      <c r="Y239" s="5" t="s">
        <v>2379</v>
      </c>
      <c r="Z239" s="5" t="s">
        <v>2380</v>
      </c>
      <c r="AA239" s="8">
        <v>45740</v>
      </c>
      <c r="AB239" s="5" t="s">
        <v>181</v>
      </c>
      <c r="AC239" s="5" t="s">
        <v>2380</v>
      </c>
      <c r="AD239" s="8">
        <v>45742</v>
      </c>
      <c r="AE239" s="5">
        <v>600000</v>
      </c>
      <c r="AF239" s="5">
        <v>200000</v>
      </c>
      <c r="AG239" s="5">
        <v>400000</v>
      </c>
      <c r="AH239" s="5">
        <v>600000</v>
      </c>
      <c r="AI239" s="8">
        <v>45743</v>
      </c>
      <c r="AJ239" s="5">
        <v>200000</v>
      </c>
      <c r="AK239" s="9">
        <v>45762</v>
      </c>
      <c r="AL239" s="5">
        <v>400000</v>
      </c>
      <c r="AM239" s="5"/>
    </row>
    <row r="240" spans="1:39" x14ac:dyDescent="0.3">
      <c r="A240" s="5" t="s">
        <v>2381</v>
      </c>
      <c r="B240" s="5">
        <v>2025</v>
      </c>
      <c r="C240" s="5" t="s">
        <v>40</v>
      </c>
      <c r="D240" s="5" t="s">
        <v>94</v>
      </c>
      <c r="E240" s="5" t="s">
        <v>1322</v>
      </c>
      <c r="F240" s="5" t="s">
        <v>2382</v>
      </c>
      <c r="G240" s="7">
        <v>111</v>
      </c>
      <c r="H240" s="7" t="s">
        <v>1012</v>
      </c>
      <c r="I240" s="8">
        <v>45715</v>
      </c>
      <c r="J240" s="8">
        <v>45715</v>
      </c>
      <c r="K240" s="5"/>
      <c r="L240" s="5" t="s">
        <v>61</v>
      </c>
      <c r="M240" s="5" t="s">
        <v>1322</v>
      </c>
      <c r="N240" s="5" t="s">
        <v>2383</v>
      </c>
      <c r="O240" s="5">
        <v>11</v>
      </c>
      <c r="P240" s="5">
        <v>3030524866</v>
      </c>
      <c r="Q240" s="5">
        <v>30305248660</v>
      </c>
      <c r="R240" s="5" t="s">
        <v>2384</v>
      </c>
      <c r="S240" s="5"/>
      <c r="T240" s="5" t="s">
        <v>2385</v>
      </c>
      <c r="U240" s="5" t="s">
        <v>2386</v>
      </c>
      <c r="V240" s="5" t="s">
        <v>2387</v>
      </c>
      <c r="W240" s="5" t="s">
        <v>2384</v>
      </c>
      <c r="X240" s="5" t="s">
        <v>78</v>
      </c>
      <c r="Y240" s="5" t="s">
        <v>2388</v>
      </c>
      <c r="Z240" s="5" t="s">
        <v>2389</v>
      </c>
      <c r="AA240" s="8">
        <v>45740</v>
      </c>
      <c r="AB240" s="5" t="s">
        <v>181</v>
      </c>
      <c r="AC240" s="5" t="s">
        <v>2389</v>
      </c>
      <c r="AD240" s="8">
        <v>45742</v>
      </c>
      <c r="AE240" s="5">
        <v>600000</v>
      </c>
      <c r="AF240" s="5">
        <v>200000</v>
      </c>
      <c r="AG240" s="5">
        <v>400000</v>
      </c>
      <c r="AH240" s="5">
        <v>600000</v>
      </c>
      <c r="AI240" s="8">
        <v>45842</v>
      </c>
      <c r="AJ240" s="5">
        <v>200000</v>
      </c>
      <c r="AK240" s="9">
        <v>45762</v>
      </c>
      <c r="AL240" s="5">
        <v>400000</v>
      </c>
      <c r="AM240" s="5"/>
    </row>
    <row r="241" spans="1:39" x14ac:dyDescent="0.3">
      <c r="A241" s="5" t="s">
        <v>2390</v>
      </c>
      <c r="B241" s="5">
        <v>2025</v>
      </c>
      <c r="C241" s="5" t="s">
        <v>40</v>
      </c>
      <c r="D241" s="5" t="s">
        <v>94</v>
      </c>
      <c r="E241" s="5" t="s">
        <v>1322</v>
      </c>
      <c r="F241" s="5" t="s">
        <v>2391</v>
      </c>
      <c r="G241" s="7">
        <v>112</v>
      </c>
      <c r="H241" s="7" t="s">
        <v>1022</v>
      </c>
      <c r="I241" s="8">
        <v>45715</v>
      </c>
      <c r="J241" s="8">
        <v>45715</v>
      </c>
      <c r="K241" s="5"/>
      <c r="L241" s="5" t="s">
        <v>73</v>
      </c>
      <c r="M241" s="5" t="s">
        <v>1322</v>
      </c>
      <c r="N241" s="5" t="s">
        <v>2392</v>
      </c>
      <c r="O241" s="5">
        <v>5</v>
      </c>
      <c r="P241" s="5">
        <v>1022667006</v>
      </c>
      <c r="Q241" s="5">
        <v>10226670060</v>
      </c>
      <c r="R241" s="5" t="s">
        <v>2393</v>
      </c>
      <c r="S241" s="5"/>
      <c r="T241" s="5" t="s">
        <v>2394</v>
      </c>
      <c r="U241" s="5" t="s">
        <v>2395</v>
      </c>
      <c r="V241" s="5" t="s">
        <v>2396</v>
      </c>
      <c r="W241" s="5" t="s">
        <v>2393</v>
      </c>
      <c r="X241" s="5" t="s">
        <v>78</v>
      </c>
      <c r="Y241" s="5" t="s">
        <v>2397</v>
      </c>
      <c r="Z241" s="5" t="s">
        <v>2398</v>
      </c>
      <c r="AA241" s="8">
        <v>45740</v>
      </c>
      <c r="AB241" s="5" t="s">
        <v>181</v>
      </c>
      <c r="AC241" s="5" t="s">
        <v>2398</v>
      </c>
      <c r="AD241" s="8">
        <v>45742</v>
      </c>
      <c r="AE241" s="5">
        <v>600000</v>
      </c>
      <c r="AF241" s="5">
        <v>200000</v>
      </c>
      <c r="AG241" s="5">
        <v>400000</v>
      </c>
      <c r="AH241" s="5">
        <v>600000</v>
      </c>
      <c r="AI241" s="8">
        <v>45842</v>
      </c>
      <c r="AJ241" s="5">
        <v>200000</v>
      </c>
      <c r="AK241" s="9">
        <v>45762</v>
      </c>
      <c r="AL241" s="5">
        <v>400000</v>
      </c>
      <c r="AM241" s="5"/>
    </row>
    <row r="242" spans="1:39" x14ac:dyDescent="0.3">
      <c r="A242" s="5" t="s">
        <v>2399</v>
      </c>
      <c r="B242" s="5">
        <v>2025</v>
      </c>
      <c r="C242" s="5" t="s">
        <v>40</v>
      </c>
      <c r="D242" s="5" t="s">
        <v>94</v>
      </c>
      <c r="E242" s="5" t="s">
        <v>1322</v>
      </c>
      <c r="F242" s="5" t="s">
        <v>2400</v>
      </c>
      <c r="G242" s="7">
        <v>113</v>
      </c>
      <c r="H242" s="7" t="s">
        <v>1036</v>
      </c>
      <c r="I242" s="8">
        <v>45715</v>
      </c>
      <c r="J242" s="8">
        <v>45715</v>
      </c>
      <c r="K242" s="5"/>
      <c r="L242" s="5" t="s">
        <v>181</v>
      </c>
      <c r="M242" s="5" t="s">
        <v>1322</v>
      </c>
      <c r="N242" s="5" t="s">
        <v>2401</v>
      </c>
      <c r="O242" s="5">
        <v>12</v>
      </c>
      <c r="P242" s="5">
        <v>3064776723</v>
      </c>
      <c r="Q242" s="5">
        <v>30647767230</v>
      </c>
      <c r="R242" s="5" t="s">
        <v>2402</v>
      </c>
      <c r="S242" s="5"/>
      <c r="T242" s="5" t="s">
        <v>2403</v>
      </c>
      <c r="U242" s="5" t="s">
        <v>2404</v>
      </c>
      <c r="V242" s="5" t="s">
        <v>2405</v>
      </c>
      <c r="W242" s="5" t="s">
        <v>2406</v>
      </c>
      <c r="X242" s="5" t="s">
        <v>2407</v>
      </c>
      <c r="Y242" s="5" t="s">
        <v>2408</v>
      </c>
      <c r="Z242" s="5" t="s">
        <v>2409</v>
      </c>
      <c r="AA242" s="8">
        <v>45740</v>
      </c>
      <c r="AB242" s="5" t="s">
        <v>181</v>
      </c>
      <c r="AC242" s="5" t="s">
        <v>2410</v>
      </c>
      <c r="AD242" s="8">
        <v>45742</v>
      </c>
      <c r="AE242" s="5">
        <v>600000</v>
      </c>
      <c r="AF242" s="5">
        <v>200000</v>
      </c>
      <c r="AG242" s="5">
        <v>400000</v>
      </c>
      <c r="AH242" s="5">
        <v>600000</v>
      </c>
      <c r="AI242" s="8">
        <v>45749</v>
      </c>
      <c r="AJ242" s="5">
        <v>200000</v>
      </c>
      <c r="AK242" s="9">
        <v>45762</v>
      </c>
      <c r="AL242" s="5">
        <v>400000</v>
      </c>
      <c r="AM242" s="5"/>
    </row>
    <row r="243" spans="1:39" x14ac:dyDescent="0.3">
      <c r="A243" s="5" t="s">
        <v>2411</v>
      </c>
      <c r="B243" s="5">
        <v>2025</v>
      </c>
      <c r="C243" s="5" t="s">
        <v>40</v>
      </c>
      <c r="D243" s="5"/>
      <c r="E243" s="5" t="s">
        <v>1322</v>
      </c>
      <c r="F243" s="5" t="s">
        <v>2412</v>
      </c>
      <c r="G243" s="7">
        <v>114</v>
      </c>
      <c r="H243" s="7" t="s">
        <v>1044</v>
      </c>
      <c r="I243" s="8">
        <v>45716</v>
      </c>
      <c r="J243" s="8">
        <v>45716</v>
      </c>
      <c r="K243" s="5"/>
      <c r="L243" s="5" t="s">
        <v>46</v>
      </c>
      <c r="M243" s="5" t="s">
        <v>1322</v>
      </c>
      <c r="N243" s="5" t="s">
        <v>2413</v>
      </c>
      <c r="O243" s="5">
        <v>11</v>
      </c>
      <c r="P243" s="5">
        <v>5208702347</v>
      </c>
      <c r="Q243" s="5">
        <v>52087023470</v>
      </c>
      <c r="R243" s="5" t="s">
        <v>2414</v>
      </c>
      <c r="S243" s="5"/>
      <c r="T243" s="5" t="s">
        <v>2415</v>
      </c>
      <c r="U243" s="5" t="s">
        <v>2416</v>
      </c>
      <c r="V243" s="5" t="s">
        <v>2417</v>
      </c>
      <c r="W243" s="5" t="s">
        <v>2418</v>
      </c>
      <c r="X243" s="5" t="s">
        <v>388</v>
      </c>
      <c r="Y243" s="5" t="s">
        <v>2419</v>
      </c>
      <c r="Z243" s="5" t="s">
        <v>2420</v>
      </c>
      <c r="AA243" s="8">
        <v>45741</v>
      </c>
      <c r="AB243" s="5" t="s">
        <v>218</v>
      </c>
      <c r="AC243" s="5" t="s">
        <v>2420</v>
      </c>
      <c r="AD243" s="8" t="s">
        <v>69</v>
      </c>
      <c r="AE243" s="5">
        <v>366470</v>
      </c>
      <c r="AF243" s="5">
        <v>0</v>
      </c>
      <c r="AG243" s="5">
        <v>366470</v>
      </c>
      <c r="AH243" s="5">
        <v>366470</v>
      </c>
      <c r="AI243" s="8" t="s">
        <v>69</v>
      </c>
      <c r="AJ243" s="5">
        <v>0</v>
      </c>
      <c r="AK243" s="9">
        <v>45762</v>
      </c>
      <c r="AL243" s="5">
        <v>366470</v>
      </c>
      <c r="AM243" s="5"/>
    </row>
    <row r="244" spans="1:39" x14ac:dyDescent="0.3">
      <c r="A244" s="5" t="s">
        <v>2421</v>
      </c>
      <c r="B244" s="5">
        <v>2025</v>
      </c>
      <c r="C244" s="5" t="s">
        <v>40</v>
      </c>
      <c r="D244" s="5" t="s">
        <v>71</v>
      </c>
      <c r="E244" s="5" t="s">
        <v>1322</v>
      </c>
      <c r="F244" s="5" t="s">
        <v>2422</v>
      </c>
      <c r="G244" s="7">
        <v>115</v>
      </c>
      <c r="H244" s="7" t="s">
        <v>1044</v>
      </c>
      <c r="I244" s="8">
        <v>45716</v>
      </c>
      <c r="J244" s="8">
        <v>45716</v>
      </c>
      <c r="K244" s="5"/>
      <c r="L244" s="5" t="s">
        <v>218</v>
      </c>
      <c r="M244" s="5" t="s">
        <v>1322</v>
      </c>
      <c r="N244" s="5" t="s">
        <v>2423</v>
      </c>
      <c r="O244" s="5">
        <v>3</v>
      </c>
      <c r="P244" s="5">
        <v>6158616569</v>
      </c>
      <c r="Q244" s="5">
        <v>91920267621</v>
      </c>
      <c r="R244" s="5" t="s">
        <v>2414</v>
      </c>
      <c r="S244" s="5"/>
      <c r="T244" s="5" t="s">
        <v>2424</v>
      </c>
      <c r="U244" s="5" t="s">
        <v>2425</v>
      </c>
      <c r="V244" s="5" t="s">
        <v>2426</v>
      </c>
      <c r="W244" s="5" t="s">
        <v>2418</v>
      </c>
      <c r="X244" s="5" t="s">
        <v>388</v>
      </c>
      <c r="Y244" s="5" t="s">
        <v>2419</v>
      </c>
      <c r="Z244" s="5" t="s">
        <v>2420</v>
      </c>
      <c r="AA244" s="8">
        <v>45741</v>
      </c>
      <c r="AB244" s="5" t="s">
        <v>218</v>
      </c>
      <c r="AC244" s="5" t="s">
        <v>2420</v>
      </c>
      <c r="AD244" s="8" t="s">
        <v>69</v>
      </c>
      <c r="AE244" s="5">
        <v>400000</v>
      </c>
      <c r="AF244" s="5">
        <v>0</v>
      </c>
      <c r="AG244" s="5">
        <v>400000</v>
      </c>
      <c r="AH244" s="5">
        <v>400000</v>
      </c>
      <c r="AI244" s="8" t="s">
        <v>69</v>
      </c>
      <c r="AJ244" s="5">
        <v>0</v>
      </c>
      <c r="AK244" s="9">
        <v>45762</v>
      </c>
      <c r="AL244" s="5">
        <v>400000</v>
      </c>
      <c r="AM244" s="5"/>
    </row>
    <row r="245" spans="1:39" x14ac:dyDescent="0.3">
      <c r="A245" s="5" t="s">
        <v>2427</v>
      </c>
      <c r="B245" s="5">
        <v>2025</v>
      </c>
      <c r="C245" s="5" t="s">
        <v>40</v>
      </c>
      <c r="D245" s="5"/>
      <c r="E245" s="5" t="s">
        <v>1322</v>
      </c>
      <c r="F245" s="5" t="s">
        <v>2428</v>
      </c>
      <c r="G245" s="7">
        <v>116</v>
      </c>
      <c r="H245" s="7" t="s">
        <v>1055</v>
      </c>
      <c r="I245" s="8">
        <v>45716</v>
      </c>
      <c r="J245" s="8">
        <v>45716</v>
      </c>
      <c r="K245" s="5"/>
      <c r="L245" s="5" t="s">
        <v>73</v>
      </c>
      <c r="M245" s="5" t="s">
        <v>1322</v>
      </c>
      <c r="N245" s="5" t="s">
        <v>2429</v>
      </c>
      <c r="O245" s="5">
        <v>10</v>
      </c>
      <c r="P245" s="5">
        <v>6158616569</v>
      </c>
      <c r="Q245" s="5">
        <v>92229620661</v>
      </c>
      <c r="R245" s="5" t="s">
        <v>2414</v>
      </c>
      <c r="S245" s="5"/>
      <c r="T245" s="5" t="s">
        <v>2415</v>
      </c>
      <c r="U245" s="5" t="s">
        <v>2416</v>
      </c>
      <c r="V245" s="5" t="s">
        <v>2417</v>
      </c>
      <c r="W245" s="5" t="s">
        <v>2418</v>
      </c>
      <c r="X245" s="5" t="s">
        <v>388</v>
      </c>
      <c r="Y245" s="5" t="s">
        <v>2419</v>
      </c>
      <c r="Z245" s="5" t="s">
        <v>2420</v>
      </c>
      <c r="AA245" s="8">
        <v>45741</v>
      </c>
      <c r="AB245" s="5" t="s">
        <v>218</v>
      </c>
      <c r="AC245" s="5" t="s">
        <v>2420</v>
      </c>
      <c r="AD245" s="8" t="s">
        <v>69</v>
      </c>
      <c r="AE245" s="5">
        <v>400000</v>
      </c>
      <c r="AF245" s="5">
        <v>0</v>
      </c>
      <c r="AG245" s="5">
        <v>400000</v>
      </c>
      <c r="AH245" s="5">
        <v>400000</v>
      </c>
      <c r="AI245" s="8" t="s">
        <v>69</v>
      </c>
      <c r="AJ245" s="5">
        <v>0</v>
      </c>
      <c r="AK245" s="9">
        <v>45762</v>
      </c>
      <c r="AL245" s="5">
        <v>400000</v>
      </c>
      <c r="AM245" s="5"/>
    </row>
    <row r="246" spans="1:39" x14ac:dyDescent="0.3">
      <c r="A246" s="5" t="s">
        <v>2430</v>
      </c>
      <c r="B246" s="5">
        <v>2025</v>
      </c>
      <c r="C246" s="5" t="s">
        <v>40</v>
      </c>
      <c r="D246" s="5" t="s">
        <v>58</v>
      </c>
      <c r="E246" s="5" t="s">
        <v>1322</v>
      </c>
      <c r="F246" s="5" t="s">
        <v>2431</v>
      </c>
      <c r="G246" s="7">
        <v>117</v>
      </c>
      <c r="H246" s="7" t="s">
        <v>1085</v>
      </c>
      <c r="I246" s="8">
        <v>45721</v>
      </c>
      <c r="J246" s="8">
        <v>45721</v>
      </c>
      <c r="K246" s="5"/>
      <c r="L246" s="5" t="s">
        <v>61</v>
      </c>
      <c r="M246" s="5" t="s">
        <v>1322</v>
      </c>
      <c r="N246" s="5" t="s">
        <v>2432</v>
      </c>
      <c r="O246" s="5">
        <v>14</v>
      </c>
      <c r="P246" s="5">
        <v>6098135227</v>
      </c>
      <c r="Q246" s="5">
        <v>60981352276</v>
      </c>
      <c r="R246" s="5" t="s">
        <v>2433</v>
      </c>
      <c r="S246" s="5"/>
      <c r="T246" s="5" t="s">
        <v>2434</v>
      </c>
      <c r="U246" s="5"/>
      <c r="V246" s="5"/>
      <c r="W246" s="5" t="s">
        <v>2435</v>
      </c>
      <c r="X246" s="5" t="s">
        <v>532</v>
      </c>
      <c r="Y246" s="5" t="s">
        <v>2436</v>
      </c>
      <c r="Z246" s="5" t="s">
        <v>2437</v>
      </c>
      <c r="AA246" s="8">
        <v>45748</v>
      </c>
      <c r="AB246" s="5" t="s">
        <v>61</v>
      </c>
      <c r="AC246" s="5" t="s">
        <v>2437</v>
      </c>
      <c r="AD246" s="8">
        <v>45748</v>
      </c>
      <c r="AE246" s="5">
        <v>1200000</v>
      </c>
      <c r="AF246" s="5">
        <v>1200000</v>
      </c>
      <c r="AG246" s="5">
        <v>0</v>
      </c>
      <c r="AH246" s="5">
        <v>1200000</v>
      </c>
      <c r="AI246" s="8">
        <v>45758</v>
      </c>
      <c r="AJ246" s="5">
        <v>1200000</v>
      </c>
      <c r="AK246" s="9" t="s">
        <v>56</v>
      </c>
      <c r="AL246" s="5">
        <v>0</v>
      </c>
      <c r="AM246" s="5"/>
    </row>
    <row r="247" spans="1:39" x14ac:dyDescent="0.3">
      <c r="A247" s="5" t="s">
        <v>2438</v>
      </c>
      <c r="B247" s="5">
        <v>2025</v>
      </c>
      <c r="C247" s="5" t="s">
        <v>40</v>
      </c>
      <c r="D247" s="5" t="s">
        <v>2439</v>
      </c>
      <c r="E247" s="5" t="s">
        <v>1322</v>
      </c>
      <c r="F247" s="5" t="s">
        <v>2440</v>
      </c>
      <c r="G247" s="7">
        <v>118</v>
      </c>
      <c r="H247" s="7" t="s">
        <v>1092</v>
      </c>
      <c r="I247" s="8">
        <v>45722</v>
      </c>
      <c r="J247" s="8">
        <v>45722</v>
      </c>
      <c r="K247" s="5"/>
      <c r="L247" s="5" t="s">
        <v>46</v>
      </c>
      <c r="M247" s="5" t="s">
        <v>1322</v>
      </c>
      <c r="N247" s="5" t="s">
        <v>2441</v>
      </c>
      <c r="O247" s="5">
        <v>50</v>
      </c>
      <c r="P247" s="5">
        <v>2048203788</v>
      </c>
      <c r="Q247" s="5">
        <v>20482037880</v>
      </c>
      <c r="R247" s="5" t="s">
        <v>921</v>
      </c>
      <c r="S247" s="5"/>
      <c r="T247" s="5" t="s">
        <v>2442</v>
      </c>
      <c r="U247" s="5" t="s">
        <v>2443</v>
      </c>
      <c r="V247" s="5" t="s">
        <v>2444</v>
      </c>
      <c r="W247" s="5" t="s">
        <v>1026</v>
      </c>
      <c r="X247" s="5"/>
      <c r="Y247" s="5" t="s">
        <v>2445</v>
      </c>
      <c r="Z247" s="5" t="s">
        <v>2446</v>
      </c>
      <c r="AA247" s="8">
        <v>45741</v>
      </c>
      <c r="AB247" s="5" t="s">
        <v>46</v>
      </c>
      <c r="AC247" s="5" t="s">
        <v>2446</v>
      </c>
      <c r="AD247" s="8">
        <v>45742</v>
      </c>
      <c r="AE247" s="5">
        <v>2400000</v>
      </c>
      <c r="AF247" s="5">
        <v>2400000</v>
      </c>
      <c r="AG247" s="5">
        <v>0</v>
      </c>
      <c r="AH247" s="5">
        <v>2400000</v>
      </c>
      <c r="AI247" s="8">
        <v>45777</v>
      </c>
      <c r="AJ247" s="5">
        <v>2400000</v>
      </c>
      <c r="AK247" s="9" t="s">
        <v>56</v>
      </c>
      <c r="AL247" s="5">
        <v>0</v>
      </c>
      <c r="AM247" s="5"/>
    </row>
    <row r="248" spans="1:39" x14ac:dyDescent="0.3">
      <c r="A248" s="5" t="s">
        <v>2447</v>
      </c>
      <c r="B248" s="5">
        <v>2025</v>
      </c>
      <c r="C248" s="5" t="s">
        <v>40</v>
      </c>
      <c r="D248" s="5" t="s">
        <v>94</v>
      </c>
      <c r="E248" s="5" t="s">
        <v>1322</v>
      </c>
      <c r="F248" s="5" t="s">
        <v>2448</v>
      </c>
      <c r="G248" s="7">
        <v>119</v>
      </c>
      <c r="H248" s="7" t="s">
        <v>1098</v>
      </c>
      <c r="I248" s="8">
        <v>45723</v>
      </c>
      <c r="J248" s="8">
        <v>45723</v>
      </c>
      <c r="K248" s="5"/>
      <c r="L248" s="5" t="s">
        <v>73</v>
      </c>
      <c r="M248" s="5" t="s">
        <v>1322</v>
      </c>
      <c r="N248" s="5" t="s">
        <v>2449</v>
      </c>
      <c r="O248" s="5">
        <v>19</v>
      </c>
      <c r="P248" s="5">
        <v>3148633423</v>
      </c>
      <c r="Q248" s="5">
        <v>31486334230</v>
      </c>
      <c r="R248" s="5" t="s">
        <v>2450</v>
      </c>
      <c r="S248" s="5"/>
      <c r="T248" s="5" t="s">
        <v>2451</v>
      </c>
      <c r="U248" s="5" t="s">
        <v>2452</v>
      </c>
      <c r="V248" s="5" t="s">
        <v>2453</v>
      </c>
      <c r="W248" s="5" t="s">
        <v>2450</v>
      </c>
      <c r="X248" s="5" t="s">
        <v>1425</v>
      </c>
      <c r="Y248" s="5" t="s">
        <v>2454</v>
      </c>
      <c r="Z248" s="5" t="s">
        <v>2455</v>
      </c>
      <c r="AA248" s="8">
        <v>45750</v>
      </c>
      <c r="AB248" s="5" t="s">
        <v>73</v>
      </c>
      <c r="AC248" s="5" t="s">
        <v>2455</v>
      </c>
      <c r="AD248" s="8">
        <v>45750</v>
      </c>
      <c r="AE248" s="5">
        <v>600000</v>
      </c>
      <c r="AF248" s="5">
        <v>200000</v>
      </c>
      <c r="AG248" s="5">
        <v>400000</v>
      </c>
      <c r="AH248" s="5">
        <v>600000</v>
      </c>
      <c r="AI248" s="8">
        <v>45755</v>
      </c>
      <c r="AJ248" s="5">
        <v>200000</v>
      </c>
      <c r="AK248" s="9">
        <v>45797</v>
      </c>
      <c r="AL248" s="5">
        <v>400000</v>
      </c>
      <c r="AM248" s="5"/>
    </row>
    <row r="249" spans="1:39" x14ac:dyDescent="0.3">
      <c r="A249" s="5" t="s">
        <v>2456</v>
      </c>
      <c r="B249" s="5">
        <v>2025</v>
      </c>
      <c r="C249" s="5" t="s">
        <v>40</v>
      </c>
      <c r="D249" s="5" t="s">
        <v>94</v>
      </c>
      <c r="E249" s="5" t="s">
        <v>1322</v>
      </c>
      <c r="F249" s="5" t="s">
        <v>2457</v>
      </c>
      <c r="G249" s="7">
        <v>120</v>
      </c>
      <c r="H249" s="7" t="s">
        <v>1107</v>
      </c>
      <c r="I249" s="8">
        <v>45723</v>
      </c>
      <c r="J249" s="8">
        <v>45723</v>
      </c>
      <c r="K249" s="5"/>
      <c r="L249" s="5" t="s">
        <v>61</v>
      </c>
      <c r="M249" s="5" t="s">
        <v>1322</v>
      </c>
      <c r="N249" s="5" t="s">
        <v>2458</v>
      </c>
      <c r="O249" s="5">
        <v>14</v>
      </c>
      <c r="P249" s="5">
        <v>3148190491</v>
      </c>
      <c r="Q249" s="5">
        <v>31481904910</v>
      </c>
      <c r="R249" s="5" t="s">
        <v>2459</v>
      </c>
      <c r="S249" s="5"/>
      <c r="T249" s="5" t="s">
        <v>2460</v>
      </c>
      <c r="U249" s="5" t="s">
        <v>2461</v>
      </c>
      <c r="V249" s="5" t="s">
        <v>2462</v>
      </c>
      <c r="W249" s="5" t="s">
        <v>2463</v>
      </c>
      <c r="X249" s="5" t="s">
        <v>461</v>
      </c>
      <c r="Y249" s="5" t="s">
        <v>2464</v>
      </c>
      <c r="Z249" s="5" t="s">
        <v>2465</v>
      </c>
      <c r="AA249" s="8">
        <v>45750</v>
      </c>
      <c r="AB249" s="5" t="s">
        <v>73</v>
      </c>
      <c r="AC249" s="5" t="s">
        <v>2465</v>
      </c>
      <c r="AD249" s="8">
        <v>45750</v>
      </c>
      <c r="AE249" s="5">
        <v>600000</v>
      </c>
      <c r="AF249" s="5">
        <v>200000</v>
      </c>
      <c r="AG249" s="5">
        <v>400000</v>
      </c>
      <c r="AH249" s="5">
        <v>600000</v>
      </c>
      <c r="AI249" s="8">
        <v>45915</v>
      </c>
      <c r="AJ249" s="5">
        <v>200000</v>
      </c>
      <c r="AK249" s="9">
        <v>45797</v>
      </c>
      <c r="AL249" s="5">
        <v>400000</v>
      </c>
      <c r="AM249" s="5"/>
    </row>
    <row r="250" spans="1:39" x14ac:dyDescent="0.3">
      <c r="A250" s="5" t="s">
        <v>2466</v>
      </c>
      <c r="B250" s="5">
        <v>2025</v>
      </c>
      <c r="C250" s="5" t="s">
        <v>40</v>
      </c>
      <c r="D250" s="5" t="s">
        <v>94</v>
      </c>
      <c r="E250" s="5" t="s">
        <v>1322</v>
      </c>
      <c r="F250" s="5" t="s">
        <v>2467</v>
      </c>
      <c r="G250" s="7">
        <v>121</v>
      </c>
      <c r="H250" s="7" t="s">
        <v>1117</v>
      </c>
      <c r="I250" s="8">
        <v>45723</v>
      </c>
      <c r="J250" s="8">
        <v>45723</v>
      </c>
      <c r="K250" s="5"/>
      <c r="L250" s="5" t="s">
        <v>218</v>
      </c>
      <c r="M250" s="5" t="s">
        <v>1322</v>
      </c>
      <c r="N250" s="5" t="s">
        <v>2468</v>
      </c>
      <c r="O250" s="5">
        <v>6</v>
      </c>
      <c r="P250" s="5">
        <v>3148155534</v>
      </c>
      <c r="Q250" s="5">
        <v>31481555340</v>
      </c>
      <c r="R250" s="5" t="s">
        <v>2469</v>
      </c>
      <c r="S250" s="5"/>
      <c r="T250" s="5" t="s">
        <v>2470</v>
      </c>
      <c r="U250" s="5" t="s">
        <v>2471</v>
      </c>
      <c r="V250" s="5" t="s">
        <v>2472</v>
      </c>
      <c r="W250" s="5" t="s">
        <v>2473</v>
      </c>
      <c r="X250" s="5" t="s">
        <v>78</v>
      </c>
      <c r="Y250" s="5" t="s">
        <v>2474</v>
      </c>
      <c r="Z250" s="5" t="s">
        <v>2475</v>
      </c>
      <c r="AA250" s="8">
        <v>45750</v>
      </c>
      <c r="AB250" s="5" t="s">
        <v>218</v>
      </c>
      <c r="AC250" s="5" t="s">
        <v>2475</v>
      </c>
      <c r="AD250" s="8">
        <v>45750</v>
      </c>
      <c r="AE250" s="5">
        <v>600000</v>
      </c>
      <c r="AF250" s="5">
        <v>200000</v>
      </c>
      <c r="AG250" s="5">
        <v>400000</v>
      </c>
      <c r="AH250" s="5">
        <v>600000</v>
      </c>
      <c r="AI250" s="8">
        <v>45756</v>
      </c>
      <c r="AJ250" s="5">
        <v>200000</v>
      </c>
      <c r="AK250" s="9">
        <v>45797</v>
      </c>
      <c r="AL250" s="5">
        <v>400000</v>
      </c>
      <c r="AM250" s="5"/>
    </row>
    <row r="251" spans="1:39" x14ac:dyDescent="0.3">
      <c r="A251" s="5" t="s">
        <v>2476</v>
      </c>
      <c r="B251" s="5">
        <v>2025</v>
      </c>
      <c r="C251" s="5" t="s">
        <v>40</v>
      </c>
      <c r="D251" s="5" t="s">
        <v>94</v>
      </c>
      <c r="E251" s="5" t="s">
        <v>1322</v>
      </c>
      <c r="F251" s="5" t="s">
        <v>2477</v>
      </c>
      <c r="G251" s="7">
        <v>122</v>
      </c>
      <c r="H251" s="7" t="s">
        <v>1127</v>
      </c>
      <c r="I251" s="8">
        <v>45723</v>
      </c>
      <c r="J251" s="8">
        <v>45723</v>
      </c>
      <c r="K251" s="5"/>
      <c r="L251" s="5" t="s">
        <v>181</v>
      </c>
      <c r="M251" s="5" t="s">
        <v>1322</v>
      </c>
      <c r="N251" s="5" t="s">
        <v>2478</v>
      </c>
      <c r="O251" s="5">
        <v>8</v>
      </c>
      <c r="P251" s="5">
        <v>6330601626</v>
      </c>
      <c r="Q251" s="5">
        <v>63306016260</v>
      </c>
      <c r="R251" s="5" t="s">
        <v>2479</v>
      </c>
      <c r="S251" s="5"/>
      <c r="T251" s="5" t="s">
        <v>2480</v>
      </c>
      <c r="U251" s="5" t="s">
        <v>2481</v>
      </c>
      <c r="V251" s="5" t="s">
        <v>2482</v>
      </c>
      <c r="W251" s="5" t="s">
        <v>2479</v>
      </c>
      <c r="X251" s="5" t="s">
        <v>78</v>
      </c>
      <c r="Y251" s="5" t="s">
        <v>2483</v>
      </c>
      <c r="Z251" s="5" t="s">
        <v>2484</v>
      </c>
      <c r="AA251" s="8">
        <v>45750</v>
      </c>
      <c r="AB251" s="5" t="s">
        <v>218</v>
      </c>
      <c r="AC251" s="5" t="s">
        <v>2484</v>
      </c>
      <c r="AD251" s="8">
        <v>45750</v>
      </c>
      <c r="AE251" s="5">
        <v>600000</v>
      </c>
      <c r="AF251" s="5">
        <v>200000</v>
      </c>
      <c r="AG251" s="5">
        <v>400000</v>
      </c>
      <c r="AH251" s="5">
        <v>600000</v>
      </c>
      <c r="AI251" s="8">
        <v>45754</v>
      </c>
      <c r="AJ251" s="5">
        <v>200000</v>
      </c>
      <c r="AK251" s="9">
        <v>45797</v>
      </c>
      <c r="AL251" s="5">
        <v>400000</v>
      </c>
      <c r="AM251" s="5"/>
    </row>
    <row r="252" spans="1:39" x14ac:dyDescent="0.3">
      <c r="A252" s="5" t="s">
        <v>2485</v>
      </c>
      <c r="B252" s="5">
        <v>2025</v>
      </c>
      <c r="C252" s="5" t="s">
        <v>40</v>
      </c>
      <c r="D252" s="5" t="s">
        <v>94</v>
      </c>
      <c r="E252" s="5" t="s">
        <v>1322</v>
      </c>
      <c r="F252" s="5" t="s">
        <v>2486</v>
      </c>
      <c r="G252" s="7">
        <v>123</v>
      </c>
      <c r="H252" s="7" t="s">
        <v>1127</v>
      </c>
      <c r="I252" s="8">
        <v>45733</v>
      </c>
      <c r="J252" s="8">
        <v>45733</v>
      </c>
      <c r="K252" s="5"/>
      <c r="L252" s="5" t="s">
        <v>218</v>
      </c>
      <c r="M252" s="5" t="s">
        <v>1322</v>
      </c>
      <c r="N252" s="5" t="s">
        <v>2487</v>
      </c>
      <c r="O252" s="5">
        <v>3</v>
      </c>
      <c r="P252" s="5">
        <v>3060322733</v>
      </c>
      <c r="Q252" s="5">
        <v>30603227330</v>
      </c>
      <c r="R252" s="5" t="s">
        <v>2488</v>
      </c>
      <c r="S252" s="5"/>
      <c r="T252" s="5" t="s">
        <v>2489</v>
      </c>
      <c r="U252" s="5" t="s">
        <v>2490</v>
      </c>
      <c r="V252" s="5" t="s">
        <v>2491</v>
      </c>
      <c r="W252" s="5" t="s">
        <v>2488</v>
      </c>
      <c r="X252" s="5" t="s">
        <v>78</v>
      </c>
      <c r="Y252" s="5" t="s">
        <v>2492</v>
      </c>
      <c r="Z252" s="5" t="s">
        <v>2493</v>
      </c>
      <c r="AA252" s="8">
        <v>45761</v>
      </c>
      <c r="AB252" s="5" t="s">
        <v>181</v>
      </c>
      <c r="AC252" s="5" t="s">
        <v>2493</v>
      </c>
      <c r="AD252" s="8">
        <v>45764</v>
      </c>
      <c r="AE252" s="5">
        <v>600000</v>
      </c>
      <c r="AF252" s="5">
        <v>200000</v>
      </c>
      <c r="AG252" s="5">
        <v>400000</v>
      </c>
      <c r="AH252" s="5">
        <v>400000</v>
      </c>
      <c r="AI252" s="8"/>
      <c r="AJ252" s="5">
        <v>0</v>
      </c>
      <c r="AK252" s="9">
        <v>45797</v>
      </c>
      <c r="AL252" s="5">
        <v>400000</v>
      </c>
      <c r="AM252" s="5"/>
    </row>
    <row r="253" spans="1:39" x14ac:dyDescent="0.3">
      <c r="A253" s="5" t="s">
        <v>2494</v>
      </c>
      <c r="B253" s="5">
        <v>2025</v>
      </c>
      <c r="C253" s="5" t="s">
        <v>40</v>
      </c>
      <c r="D253" s="5" t="s">
        <v>94</v>
      </c>
      <c r="E253" s="5" t="s">
        <v>1322</v>
      </c>
      <c r="F253" s="5" t="s">
        <v>2495</v>
      </c>
      <c r="G253" s="7">
        <v>124</v>
      </c>
      <c r="H253" s="7" t="s">
        <v>1127</v>
      </c>
      <c r="I253" s="8">
        <v>45733</v>
      </c>
      <c r="J253" s="8">
        <v>45733</v>
      </c>
      <c r="K253" s="5"/>
      <c r="L253" s="5" t="s">
        <v>181</v>
      </c>
      <c r="M253" s="5" t="s">
        <v>1322</v>
      </c>
      <c r="N253" s="5" t="s">
        <v>2496</v>
      </c>
      <c r="O253" s="5">
        <v>2</v>
      </c>
      <c r="P253" s="5">
        <v>1111269544</v>
      </c>
      <c r="Q253" s="5">
        <v>11112695440</v>
      </c>
      <c r="R253" s="5" t="s">
        <v>2497</v>
      </c>
      <c r="S253" s="5"/>
      <c r="T253" s="5" t="s">
        <v>2498</v>
      </c>
      <c r="U253" s="5" t="s">
        <v>2499</v>
      </c>
      <c r="V253" s="5" t="s">
        <v>2500</v>
      </c>
      <c r="W253" s="5" t="s">
        <v>2497</v>
      </c>
      <c r="X253" s="5" t="s">
        <v>78</v>
      </c>
      <c r="Y253" s="5" t="s">
        <v>2501</v>
      </c>
      <c r="Z253" s="5" t="s">
        <v>2502</v>
      </c>
      <c r="AA253" s="8">
        <v>45761</v>
      </c>
      <c r="AB253" s="5" t="s">
        <v>181</v>
      </c>
      <c r="AC253" s="5" t="s">
        <v>2502</v>
      </c>
      <c r="AD253" s="8">
        <v>45764</v>
      </c>
      <c r="AE253" s="5">
        <v>600000</v>
      </c>
      <c r="AF253" s="5">
        <v>200000</v>
      </c>
      <c r="AG253" s="5">
        <v>400000</v>
      </c>
      <c r="AH253" s="5">
        <v>600000</v>
      </c>
      <c r="AI253" s="8">
        <v>46006</v>
      </c>
      <c r="AJ253" s="5">
        <v>200000</v>
      </c>
      <c r="AK253" s="9">
        <v>45797</v>
      </c>
      <c r="AL253" s="5">
        <v>400000</v>
      </c>
      <c r="AM253" s="5"/>
    </row>
    <row r="254" spans="1:39" x14ac:dyDescent="0.3">
      <c r="A254" s="5" t="s">
        <v>2503</v>
      </c>
      <c r="B254" s="5">
        <v>2025</v>
      </c>
      <c r="C254" s="5" t="s">
        <v>40</v>
      </c>
      <c r="D254" s="5" t="s">
        <v>94</v>
      </c>
      <c r="E254" s="5" t="s">
        <v>1322</v>
      </c>
      <c r="F254" s="5" t="s">
        <v>2504</v>
      </c>
      <c r="G254" s="7">
        <v>125</v>
      </c>
      <c r="H254" s="7" t="s">
        <v>1138</v>
      </c>
      <c r="I254" s="8">
        <v>45734</v>
      </c>
      <c r="J254" s="8">
        <v>45734</v>
      </c>
      <c r="K254" s="5"/>
      <c r="L254" s="5" t="s">
        <v>46</v>
      </c>
      <c r="M254" s="5" t="s">
        <v>1322</v>
      </c>
      <c r="N254" s="5" t="s">
        <v>2505</v>
      </c>
      <c r="O254" s="5">
        <v>10</v>
      </c>
      <c r="P254" s="5">
        <v>6688601380</v>
      </c>
      <c r="Q254" s="5">
        <v>66886013800</v>
      </c>
      <c r="R254" s="5" t="s">
        <v>2506</v>
      </c>
      <c r="S254" s="5"/>
      <c r="T254" s="5" t="s">
        <v>2507</v>
      </c>
      <c r="U254" s="5" t="s">
        <v>2508</v>
      </c>
      <c r="V254" s="5" t="s">
        <v>2509</v>
      </c>
      <c r="W254" s="5" t="s">
        <v>2510</v>
      </c>
      <c r="X254" s="5" t="s">
        <v>1594</v>
      </c>
      <c r="Y254" s="5" t="s">
        <v>2511</v>
      </c>
      <c r="Z254" s="5" t="s">
        <v>2512</v>
      </c>
      <c r="AA254" s="8">
        <v>45758</v>
      </c>
      <c r="AB254" s="5" t="s">
        <v>218</v>
      </c>
      <c r="AC254" s="5" t="s">
        <v>2512</v>
      </c>
      <c r="AD254" s="8">
        <v>45747</v>
      </c>
      <c r="AE254" s="5">
        <v>600000</v>
      </c>
      <c r="AF254" s="5">
        <v>200000</v>
      </c>
      <c r="AG254" s="5">
        <v>400000</v>
      </c>
      <c r="AH254" s="5">
        <v>600000</v>
      </c>
      <c r="AI254" s="8">
        <v>45747</v>
      </c>
      <c r="AJ254" s="5">
        <v>200000</v>
      </c>
      <c r="AK254" s="9">
        <v>45797</v>
      </c>
      <c r="AL254" s="5">
        <v>400000</v>
      </c>
      <c r="AM254" s="5"/>
    </row>
    <row r="255" spans="1:39" x14ac:dyDescent="0.3">
      <c r="A255" s="5" t="s">
        <v>2513</v>
      </c>
      <c r="B255" s="5">
        <v>2025</v>
      </c>
      <c r="C255" s="5" t="s">
        <v>40</v>
      </c>
      <c r="D255" s="5" t="s">
        <v>94</v>
      </c>
      <c r="E255" s="5" t="s">
        <v>1322</v>
      </c>
      <c r="F255" s="5" t="s">
        <v>2514</v>
      </c>
      <c r="G255" s="7">
        <v>126</v>
      </c>
      <c r="H255" s="7" t="s">
        <v>1138</v>
      </c>
      <c r="I255" s="8">
        <v>45734</v>
      </c>
      <c r="J255" s="8">
        <v>45734</v>
      </c>
      <c r="K255" s="5"/>
      <c r="L255" s="5" t="s">
        <v>61</v>
      </c>
      <c r="M255" s="5" t="s">
        <v>1322</v>
      </c>
      <c r="N255" s="5" t="s">
        <v>2515</v>
      </c>
      <c r="O255" s="5">
        <v>3</v>
      </c>
      <c r="P255" s="5">
        <v>3142217853</v>
      </c>
      <c r="Q255" s="5">
        <v>31422178530</v>
      </c>
      <c r="R255" s="5" t="s">
        <v>2516</v>
      </c>
      <c r="S255" s="5"/>
      <c r="T255" s="5" t="s">
        <v>2517</v>
      </c>
      <c r="U255" s="5" t="s">
        <v>2518</v>
      </c>
      <c r="V255" s="5" t="s">
        <v>2519</v>
      </c>
      <c r="W255" s="5" t="s">
        <v>2516</v>
      </c>
      <c r="X255" s="5" t="s">
        <v>78</v>
      </c>
      <c r="Y255" s="5" t="s">
        <v>2520</v>
      </c>
      <c r="Z255" s="5" t="s">
        <v>2521</v>
      </c>
      <c r="AA255" s="8">
        <v>45758</v>
      </c>
      <c r="AB255" s="5" t="s">
        <v>218</v>
      </c>
      <c r="AC255" s="5" t="s">
        <v>2521</v>
      </c>
      <c r="AD255" s="8">
        <v>45758</v>
      </c>
      <c r="AE255" s="5">
        <v>600000</v>
      </c>
      <c r="AF255" s="5">
        <v>200000</v>
      </c>
      <c r="AG255" s="5">
        <v>400000</v>
      </c>
      <c r="AH255" s="5">
        <v>600000</v>
      </c>
      <c r="AI255" s="8">
        <v>45902</v>
      </c>
      <c r="AJ255" s="5">
        <v>200000</v>
      </c>
      <c r="AK255" s="9">
        <v>45797</v>
      </c>
      <c r="AL255" s="5">
        <v>400000</v>
      </c>
      <c r="AM255" s="5"/>
    </row>
    <row r="256" spans="1:39" x14ac:dyDescent="0.3">
      <c r="A256" s="5" t="s">
        <v>2522</v>
      </c>
      <c r="B256" s="5">
        <v>2025</v>
      </c>
      <c r="C256" s="5" t="s">
        <v>40</v>
      </c>
      <c r="D256" s="5" t="s">
        <v>94</v>
      </c>
      <c r="E256" s="5" t="s">
        <v>1322</v>
      </c>
      <c r="F256" s="5" t="s">
        <v>2523</v>
      </c>
      <c r="G256" s="7">
        <v>127</v>
      </c>
      <c r="H256" s="7" t="s">
        <v>1146</v>
      </c>
      <c r="I256" s="8">
        <v>45734</v>
      </c>
      <c r="J256" s="8">
        <v>45734</v>
      </c>
      <c r="K256" s="5"/>
      <c r="L256" s="5" t="s">
        <v>218</v>
      </c>
      <c r="M256" s="5" t="s">
        <v>1322</v>
      </c>
      <c r="N256" s="5" t="s">
        <v>2524</v>
      </c>
      <c r="O256" s="5">
        <v>5</v>
      </c>
      <c r="P256" s="5">
        <v>3140319409</v>
      </c>
      <c r="Q256" s="5">
        <v>31403194090</v>
      </c>
      <c r="R256" s="5" t="s">
        <v>2525</v>
      </c>
      <c r="S256" s="5"/>
      <c r="T256" s="5" t="s">
        <v>2526</v>
      </c>
      <c r="U256" s="5" t="s">
        <v>2527</v>
      </c>
      <c r="V256" s="5" t="s">
        <v>2528</v>
      </c>
      <c r="W256" s="5" t="s">
        <v>2529</v>
      </c>
      <c r="X256" s="5" t="s">
        <v>134</v>
      </c>
      <c r="Y256" s="5" t="s">
        <v>2530</v>
      </c>
      <c r="Z256" s="5" t="s">
        <v>2531</v>
      </c>
      <c r="AA256" s="8">
        <v>45758</v>
      </c>
      <c r="AB256" s="5" t="s">
        <v>218</v>
      </c>
      <c r="AC256" s="5" t="s">
        <v>2531</v>
      </c>
      <c r="AD256" s="8">
        <v>45758</v>
      </c>
      <c r="AE256" s="5">
        <v>600000</v>
      </c>
      <c r="AF256" s="5">
        <v>200000</v>
      </c>
      <c r="AG256" s="5">
        <v>400000</v>
      </c>
      <c r="AH256" s="5">
        <v>600000</v>
      </c>
      <c r="AI256" s="8">
        <v>45762</v>
      </c>
      <c r="AJ256" s="5">
        <v>200000</v>
      </c>
      <c r="AK256" s="9">
        <v>45797</v>
      </c>
      <c r="AL256" s="5">
        <v>400000</v>
      </c>
      <c r="AM256" s="5"/>
    </row>
    <row r="257" spans="1:39" x14ac:dyDescent="0.3">
      <c r="A257" s="5" t="s">
        <v>2532</v>
      </c>
      <c r="B257" s="5">
        <v>2025</v>
      </c>
      <c r="C257" s="5" t="s">
        <v>40</v>
      </c>
      <c r="D257" s="5" t="s">
        <v>94</v>
      </c>
      <c r="E257" s="5" t="s">
        <v>1322</v>
      </c>
      <c r="F257" s="5" t="s">
        <v>2533</v>
      </c>
      <c r="G257" s="7">
        <v>128</v>
      </c>
      <c r="H257" s="7" t="s">
        <v>1157</v>
      </c>
      <c r="I257" s="8">
        <v>45750</v>
      </c>
      <c r="J257" s="8">
        <v>45750</v>
      </c>
      <c r="K257" s="5"/>
      <c r="L257" s="5" t="s">
        <v>73</v>
      </c>
      <c r="M257" s="5" t="s">
        <v>1322</v>
      </c>
      <c r="N257" s="5" t="s">
        <v>2534</v>
      </c>
      <c r="O257" s="5">
        <v>7</v>
      </c>
      <c r="P257" s="5">
        <v>7760800156</v>
      </c>
      <c r="Q257" s="5">
        <v>77608001560</v>
      </c>
      <c r="R257" s="5" t="s">
        <v>2535</v>
      </c>
      <c r="S257" s="5"/>
      <c r="T257" s="5" t="s">
        <v>2536</v>
      </c>
      <c r="U257" s="5" t="s">
        <v>2537</v>
      </c>
      <c r="V257" s="5" t="s">
        <v>2538</v>
      </c>
      <c r="W257" s="5" t="s">
        <v>2539</v>
      </c>
      <c r="X257" s="5" t="s">
        <v>78</v>
      </c>
      <c r="Y257" s="5" t="s">
        <v>2540</v>
      </c>
      <c r="Z257" s="5" t="s">
        <v>2541</v>
      </c>
      <c r="AA257" s="8">
        <v>45777</v>
      </c>
      <c r="AB257" s="5" t="s">
        <v>73</v>
      </c>
      <c r="AC257" s="5" t="s">
        <v>2541</v>
      </c>
      <c r="AD257" s="8">
        <v>45777</v>
      </c>
      <c r="AE257" s="5">
        <v>600000</v>
      </c>
      <c r="AF257" s="5">
        <v>200000</v>
      </c>
      <c r="AG257" s="5">
        <v>400000</v>
      </c>
      <c r="AH257" s="5">
        <v>400000</v>
      </c>
      <c r="AI257" s="8"/>
      <c r="AJ257" s="5">
        <v>0</v>
      </c>
      <c r="AK257" s="9">
        <v>45818</v>
      </c>
      <c r="AL257" s="5">
        <v>400000</v>
      </c>
      <c r="AM257" s="5"/>
    </row>
    <row r="258" spans="1:39" x14ac:dyDescent="0.3">
      <c r="A258" s="5" t="s">
        <v>2542</v>
      </c>
      <c r="B258" s="5">
        <v>2025</v>
      </c>
      <c r="C258" s="5" t="s">
        <v>40</v>
      </c>
      <c r="D258" s="5" t="s">
        <v>94</v>
      </c>
      <c r="E258" s="5" t="s">
        <v>1322</v>
      </c>
      <c r="F258" s="5" t="s">
        <v>2543</v>
      </c>
      <c r="G258" s="7">
        <v>129</v>
      </c>
      <c r="H258" s="7" t="s">
        <v>1172</v>
      </c>
      <c r="I258" s="8">
        <v>45751</v>
      </c>
      <c r="J258" s="8">
        <v>45751</v>
      </c>
      <c r="K258" s="5"/>
      <c r="L258" s="5" t="s">
        <v>73</v>
      </c>
      <c r="M258" s="5" t="s">
        <v>1322</v>
      </c>
      <c r="N258" s="5" t="s">
        <v>2544</v>
      </c>
      <c r="O258" s="5">
        <v>6</v>
      </c>
      <c r="P258" s="5">
        <v>4717000073</v>
      </c>
      <c r="Q258" s="5">
        <v>47170000730</v>
      </c>
      <c r="R258" s="5" t="s">
        <v>2545</v>
      </c>
      <c r="S258" s="5"/>
      <c r="T258" s="5" t="s">
        <v>2546</v>
      </c>
      <c r="U258" s="5" t="s">
        <v>2547</v>
      </c>
      <c r="V258" s="5" t="s">
        <v>2548</v>
      </c>
      <c r="W258" s="5" t="s">
        <v>2549</v>
      </c>
      <c r="X258" s="5" t="s">
        <v>2159</v>
      </c>
      <c r="Y258" s="5" t="s">
        <v>2550</v>
      </c>
      <c r="Z258" s="5" t="s">
        <v>2551</v>
      </c>
      <c r="AA258" s="8">
        <v>45777</v>
      </c>
      <c r="AB258" s="5" t="s">
        <v>73</v>
      </c>
      <c r="AC258" s="5" t="s">
        <v>2551</v>
      </c>
      <c r="AD258" s="8">
        <v>45777</v>
      </c>
      <c r="AE258" s="5">
        <v>600000</v>
      </c>
      <c r="AF258" s="5">
        <v>200000</v>
      </c>
      <c r="AG258" s="5">
        <v>400000</v>
      </c>
      <c r="AH258" s="5">
        <v>600000</v>
      </c>
      <c r="AI258" s="8">
        <v>45779</v>
      </c>
      <c r="AJ258" s="5">
        <v>200000</v>
      </c>
      <c r="AK258" s="9">
        <v>45818</v>
      </c>
      <c r="AL258" s="5">
        <v>400000</v>
      </c>
      <c r="AM258" s="5"/>
    </row>
    <row r="259" spans="1:39" x14ac:dyDescent="0.3">
      <c r="A259" s="5" t="s">
        <v>2552</v>
      </c>
      <c r="B259" s="5">
        <v>2025</v>
      </c>
      <c r="C259" s="5" t="s">
        <v>40</v>
      </c>
      <c r="D259" s="5" t="s">
        <v>94</v>
      </c>
      <c r="E259" s="5" t="s">
        <v>1322</v>
      </c>
      <c r="F259" s="5" t="s">
        <v>2553</v>
      </c>
      <c r="G259" s="7">
        <v>130</v>
      </c>
      <c r="H259" s="7" t="s">
        <v>1178</v>
      </c>
      <c r="I259" s="8">
        <v>45751</v>
      </c>
      <c r="J259" s="8">
        <v>45751</v>
      </c>
      <c r="K259" s="5"/>
      <c r="L259" s="5" t="s">
        <v>46</v>
      </c>
      <c r="M259" s="5" t="s">
        <v>1322</v>
      </c>
      <c r="N259" s="5" t="s">
        <v>2554</v>
      </c>
      <c r="O259" s="5">
        <v>5</v>
      </c>
      <c r="P259" s="5">
        <v>7773900847</v>
      </c>
      <c r="Q259" s="5">
        <v>77739008470</v>
      </c>
      <c r="R259" s="5" t="s">
        <v>2555</v>
      </c>
      <c r="S259" s="5"/>
      <c r="T259" s="5" t="s">
        <v>2556</v>
      </c>
      <c r="U259" s="5" t="s">
        <v>2557</v>
      </c>
      <c r="V259" s="5" t="s">
        <v>2558</v>
      </c>
      <c r="W259" s="5" t="s">
        <v>2559</v>
      </c>
      <c r="X259" s="5" t="s">
        <v>78</v>
      </c>
      <c r="Y259" s="5" t="s">
        <v>2560</v>
      </c>
      <c r="Z259" s="5" t="s">
        <v>2561</v>
      </c>
      <c r="AA259" s="8">
        <v>45772</v>
      </c>
      <c r="AB259" s="5" t="s">
        <v>218</v>
      </c>
      <c r="AC259" s="5" t="s">
        <v>2561</v>
      </c>
      <c r="AD259" s="8">
        <v>45775</v>
      </c>
      <c r="AE259" s="5">
        <v>600000</v>
      </c>
      <c r="AF259" s="5">
        <v>200000</v>
      </c>
      <c r="AG259" s="5">
        <v>400000</v>
      </c>
      <c r="AH259" s="5">
        <v>400000</v>
      </c>
      <c r="AI259" s="8"/>
      <c r="AJ259" s="5">
        <v>0</v>
      </c>
      <c r="AK259" s="9">
        <v>45797</v>
      </c>
      <c r="AL259" s="5">
        <v>400000</v>
      </c>
      <c r="AM259" s="5"/>
    </row>
    <row r="260" spans="1:39" x14ac:dyDescent="0.3">
      <c r="A260" s="5" t="s">
        <v>2562</v>
      </c>
      <c r="B260" s="5">
        <v>2025</v>
      </c>
      <c r="C260" s="5" t="s">
        <v>40</v>
      </c>
      <c r="D260" s="5" t="s">
        <v>94</v>
      </c>
      <c r="E260" s="5" t="s">
        <v>1322</v>
      </c>
      <c r="F260" s="5" t="s">
        <v>2563</v>
      </c>
      <c r="G260" s="7">
        <v>131</v>
      </c>
      <c r="H260" s="7" t="s">
        <v>1189</v>
      </c>
      <c r="I260" s="8">
        <v>45751</v>
      </c>
      <c r="J260" s="8">
        <v>45751</v>
      </c>
      <c r="K260" s="5"/>
      <c r="L260" s="5" t="s">
        <v>218</v>
      </c>
      <c r="M260" s="5" t="s">
        <v>1322</v>
      </c>
      <c r="N260" s="5" t="s">
        <v>2564</v>
      </c>
      <c r="O260" s="5">
        <v>7</v>
      </c>
      <c r="P260" s="5">
        <v>2211908993</v>
      </c>
      <c r="Q260" s="5">
        <v>22119089930</v>
      </c>
      <c r="R260" s="5" t="s">
        <v>2565</v>
      </c>
      <c r="S260" s="5"/>
      <c r="T260" s="5" t="s">
        <v>2566</v>
      </c>
      <c r="U260" s="5" t="s">
        <v>2567</v>
      </c>
      <c r="V260" s="5" t="s">
        <v>2568</v>
      </c>
      <c r="W260" s="5" t="s">
        <v>2569</v>
      </c>
      <c r="X260" s="5" t="s">
        <v>224</v>
      </c>
      <c r="Y260" s="5" t="s">
        <v>2570</v>
      </c>
      <c r="Z260" s="5" t="s">
        <v>2571</v>
      </c>
      <c r="AA260" s="8">
        <v>45772</v>
      </c>
      <c r="AB260" s="5" t="s">
        <v>218</v>
      </c>
      <c r="AC260" s="5" t="s">
        <v>2571</v>
      </c>
      <c r="AD260" s="8">
        <v>45775</v>
      </c>
      <c r="AE260" s="5">
        <v>600000</v>
      </c>
      <c r="AF260" s="5">
        <v>200000</v>
      </c>
      <c r="AG260" s="5">
        <v>400000</v>
      </c>
      <c r="AH260" s="5">
        <v>600000</v>
      </c>
      <c r="AI260" s="8">
        <v>45890</v>
      </c>
      <c r="AJ260" s="5">
        <v>200000</v>
      </c>
      <c r="AK260" s="9">
        <v>45797</v>
      </c>
      <c r="AL260" s="5">
        <v>400000</v>
      </c>
      <c r="AM260" s="5"/>
    </row>
    <row r="261" spans="1:39" x14ac:dyDescent="0.3">
      <c r="A261" s="5" t="s">
        <v>2572</v>
      </c>
      <c r="B261" s="5">
        <v>2025</v>
      </c>
      <c r="C261" s="5" t="s">
        <v>40</v>
      </c>
      <c r="D261" s="5" t="s">
        <v>58</v>
      </c>
      <c r="E261" s="5" t="s">
        <v>1322</v>
      </c>
      <c r="F261" s="5" t="s">
        <v>2573</v>
      </c>
      <c r="G261" s="7">
        <v>132</v>
      </c>
      <c r="H261" s="7" t="s">
        <v>1189</v>
      </c>
      <c r="I261" s="8">
        <v>45758</v>
      </c>
      <c r="J261" s="8">
        <v>45758</v>
      </c>
      <c r="K261" s="5"/>
      <c r="L261" s="5" t="s">
        <v>73</v>
      </c>
      <c r="M261" s="5" t="s">
        <v>1322</v>
      </c>
      <c r="N261" s="5" t="s">
        <v>2574</v>
      </c>
      <c r="O261" s="5">
        <v>4</v>
      </c>
      <c r="P261" s="5">
        <v>4705100652</v>
      </c>
      <c r="Q261" s="5">
        <v>47051006520</v>
      </c>
      <c r="R261" s="5" t="s">
        <v>2575</v>
      </c>
      <c r="S261" s="5"/>
      <c r="T261" s="5" t="s">
        <v>2394</v>
      </c>
      <c r="U261" s="5" t="s">
        <v>2576</v>
      </c>
      <c r="V261" s="5" t="s">
        <v>2577</v>
      </c>
      <c r="W261" s="5" t="s">
        <v>2578</v>
      </c>
      <c r="X261" s="5" t="s">
        <v>66</v>
      </c>
      <c r="Y261" s="5" t="s">
        <v>2579</v>
      </c>
      <c r="Z261" s="5" t="s">
        <v>2580</v>
      </c>
      <c r="AA261" s="8">
        <v>45785</v>
      </c>
      <c r="AB261" s="5" t="s">
        <v>73</v>
      </c>
      <c r="AC261" s="5" t="s">
        <v>2580</v>
      </c>
      <c r="AD261" s="8" t="s">
        <v>69</v>
      </c>
      <c r="AE261" s="5">
        <v>1000000</v>
      </c>
      <c r="AF261" s="5">
        <v>0</v>
      </c>
      <c r="AG261" s="5">
        <v>1000000</v>
      </c>
      <c r="AH261" s="5">
        <v>1000000</v>
      </c>
      <c r="AI261" s="8" t="s">
        <v>69</v>
      </c>
      <c r="AJ261" s="5">
        <v>0</v>
      </c>
      <c r="AK261" s="9">
        <v>45818</v>
      </c>
      <c r="AL261" s="5">
        <v>1000000</v>
      </c>
      <c r="AM261" s="5"/>
    </row>
    <row r="262" spans="1:39" x14ac:dyDescent="0.3">
      <c r="A262" s="5" t="s">
        <v>2581</v>
      </c>
      <c r="B262" s="5">
        <v>2025</v>
      </c>
      <c r="C262" s="5" t="s">
        <v>40</v>
      </c>
      <c r="D262" s="5" t="s">
        <v>71</v>
      </c>
      <c r="E262" s="5" t="s">
        <v>1322</v>
      </c>
      <c r="F262" s="5" t="s">
        <v>2582</v>
      </c>
      <c r="G262" s="7">
        <v>133</v>
      </c>
      <c r="H262" s="7" t="s">
        <v>1206</v>
      </c>
      <c r="I262" s="8">
        <v>45758</v>
      </c>
      <c r="J262" s="8">
        <v>45758</v>
      </c>
      <c r="K262" s="5"/>
      <c r="L262" s="5" t="s">
        <v>46</v>
      </c>
      <c r="M262" s="5" t="s">
        <v>1322</v>
      </c>
      <c r="N262" s="5" t="s">
        <v>2583</v>
      </c>
      <c r="O262" s="5">
        <v>26</v>
      </c>
      <c r="P262" s="5">
        <v>3178105431</v>
      </c>
      <c r="Q262" s="5">
        <v>31781054310</v>
      </c>
      <c r="R262" s="5" t="s">
        <v>2584</v>
      </c>
      <c r="S262" s="5"/>
      <c r="T262" s="5" t="s">
        <v>2585</v>
      </c>
      <c r="U262" s="5" t="s">
        <v>2586</v>
      </c>
      <c r="V262" s="5" t="s">
        <v>2587</v>
      </c>
      <c r="W262" s="5" t="s">
        <v>2588</v>
      </c>
      <c r="X262" s="5" t="s">
        <v>134</v>
      </c>
      <c r="Y262" s="5" t="s">
        <v>2589</v>
      </c>
      <c r="Z262" s="5" t="s">
        <v>2590</v>
      </c>
      <c r="AA262" s="8">
        <v>45785</v>
      </c>
      <c r="AB262" s="5" t="s">
        <v>73</v>
      </c>
      <c r="AC262" s="5" t="s">
        <v>2591</v>
      </c>
      <c r="AD262" s="8">
        <v>45785</v>
      </c>
      <c r="AE262" s="5">
        <v>1700000</v>
      </c>
      <c r="AF262" s="5">
        <v>1300000</v>
      </c>
      <c r="AG262" s="5">
        <v>400000</v>
      </c>
      <c r="AH262" s="5">
        <v>1700000</v>
      </c>
      <c r="AI262" s="8">
        <v>45786</v>
      </c>
      <c r="AJ262" s="5">
        <v>1300000</v>
      </c>
      <c r="AK262" s="9">
        <v>45818</v>
      </c>
      <c r="AL262" s="5">
        <v>400000</v>
      </c>
      <c r="AM262" s="5"/>
    </row>
    <row r="263" spans="1:39" x14ac:dyDescent="0.3">
      <c r="A263" s="5" t="s">
        <v>2592</v>
      </c>
      <c r="B263" s="5">
        <v>2025</v>
      </c>
      <c r="C263" s="5" t="s">
        <v>40</v>
      </c>
      <c r="D263" s="5" t="s">
        <v>94</v>
      </c>
      <c r="E263" s="5" t="s">
        <v>1322</v>
      </c>
      <c r="F263" s="5" t="s">
        <v>2593</v>
      </c>
      <c r="G263" s="7">
        <v>134</v>
      </c>
      <c r="H263" s="7" t="s">
        <v>1218</v>
      </c>
      <c r="I263" s="8">
        <v>45763</v>
      </c>
      <c r="J263" s="8">
        <v>45763</v>
      </c>
      <c r="K263" s="5"/>
      <c r="L263" s="5" t="s">
        <v>1227</v>
      </c>
      <c r="M263" s="5" t="s">
        <v>1322</v>
      </c>
      <c r="N263" s="5" t="s">
        <v>2594</v>
      </c>
      <c r="O263" s="5">
        <v>155</v>
      </c>
      <c r="P263" s="5">
        <v>1078549859</v>
      </c>
      <c r="Q263" s="5">
        <v>13881017736</v>
      </c>
      <c r="R263" s="5" t="s">
        <v>2595</v>
      </c>
      <c r="S263" s="5"/>
      <c r="T263" s="5" t="s">
        <v>2596</v>
      </c>
      <c r="U263" s="5" t="s">
        <v>2597</v>
      </c>
      <c r="V263" s="5" t="s">
        <v>2598</v>
      </c>
      <c r="W263" s="5" t="s">
        <v>2599</v>
      </c>
      <c r="X263" s="5" t="s">
        <v>123</v>
      </c>
      <c r="Y263" s="5" t="s">
        <v>2600</v>
      </c>
      <c r="Z263" s="5" t="s">
        <v>2601</v>
      </c>
      <c r="AA263" s="8">
        <v>45790</v>
      </c>
      <c r="AB263" s="5" t="s">
        <v>181</v>
      </c>
      <c r="AC263" s="5" t="s">
        <v>2601</v>
      </c>
      <c r="AD263" s="8">
        <v>45777</v>
      </c>
      <c r="AE263" s="5">
        <v>3100000</v>
      </c>
      <c r="AF263" s="5">
        <v>3100000</v>
      </c>
      <c r="AG263" s="5">
        <v>0</v>
      </c>
      <c r="AH263" s="5">
        <v>3100000</v>
      </c>
      <c r="AI263" s="8">
        <v>45807</v>
      </c>
      <c r="AJ263" s="5">
        <v>3100000</v>
      </c>
      <c r="AK263" s="9" t="s">
        <v>56</v>
      </c>
      <c r="AL263" s="5">
        <v>0</v>
      </c>
      <c r="AM263" s="5"/>
    </row>
    <row r="264" spans="1:39" x14ac:dyDescent="0.3">
      <c r="A264" s="5" t="s">
        <v>2602</v>
      </c>
      <c r="B264" s="5">
        <v>2025</v>
      </c>
      <c r="C264" s="5" t="s">
        <v>40</v>
      </c>
      <c r="D264" s="5" t="s">
        <v>94</v>
      </c>
      <c r="E264" s="5" t="s">
        <v>1322</v>
      </c>
      <c r="F264" s="5" t="s">
        <v>2603</v>
      </c>
      <c r="G264" s="7">
        <v>135</v>
      </c>
      <c r="H264" s="7" t="s">
        <v>1226</v>
      </c>
      <c r="I264" s="8">
        <v>45769</v>
      </c>
      <c r="J264" s="8">
        <v>45769</v>
      </c>
      <c r="K264" s="5"/>
      <c r="L264" s="5" t="s">
        <v>73</v>
      </c>
      <c r="M264" s="5" t="s">
        <v>1322</v>
      </c>
      <c r="N264" s="5" t="s">
        <v>2604</v>
      </c>
      <c r="O264" s="5">
        <v>10</v>
      </c>
      <c r="P264" s="5">
        <v>3063174189</v>
      </c>
      <c r="Q264" s="5">
        <v>30631741890</v>
      </c>
      <c r="R264" s="5" t="s">
        <v>2605</v>
      </c>
      <c r="S264" s="5"/>
      <c r="T264" s="5" t="s">
        <v>2606</v>
      </c>
      <c r="U264" s="5" t="s">
        <v>2607</v>
      </c>
      <c r="V264" s="5" t="s">
        <v>2608</v>
      </c>
      <c r="W264" s="5" t="s">
        <v>2605</v>
      </c>
      <c r="X264" s="5" t="s">
        <v>78</v>
      </c>
      <c r="Y264" s="5" t="s">
        <v>2609</v>
      </c>
      <c r="Z264" s="5" t="s">
        <v>2610</v>
      </c>
      <c r="AA264" s="8">
        <v>45797</v>
      </c>
      <c r="AB264" s="5" t="s">
        <v>218</v>
      </c>
      <c r="AC264" s="5" t="s">
        <v>2610</v>
      </c>
      <c r="AD264" s="8">
        <v>45799</v>
      </c>
      <c r="AE264" s="5">
        <v>600000</v>
      </c>
      <c r="AF264" s="5">
        <v>200000</v>
      </c>
      <c r="AG264" s="5">
        <v>400000</v>
      </c>
      <c r="AH264" s="5">
        <v>600000</v>
      </c>
      <c r="AI264" s="8">
        <v>46006</v>
      </c>
      <c r="AJ264" s="5">
        <v>200000</v>
      </c>
      <c r="AK264" s="9">
        <v>45818</v>
      </c>
      <c r="AL264" s="5">
        <v>400000</v>
      </c>
      <c r="AM264" s="5"/>
    </row>
    <row r="265" spans="1:39" x14ac:dyDescent="0.3">
      <c r="A265" s="5" t="s">
        <v>2611</v>
      </c>
      <c r="B265" s="5">
        <v>2025</v>
      </c>
      <c r="C265" s="5" t="s">
        <v>40</v>
      </c>
      <c r="D265" s="5" t="s">
        <v>94</v>
      </c>
      <c r="E265" s="5" t="s">
        <v>1322</v>
      </c>
      <c r="F265" s="5" t="s">
        <v>2612</v>
      </c>
      <c r="G265" s="7">
        <v>136</v>
      </c>
      <c r="H265" s="7" t="s">
        <v>1261</v>
      </c>
      <c r="I265" s="8">
        <v>45769</v>
      </c>
      <c r="J265" s="8">
        <v>45769</v>
      </c>
      <c r="K265" s="5"/>
      <c r="L265" s="5" t="s">
        <v>46</v>
      </c>
      <c r="M265" s="5" t="s">
        <v>1322</v>
      </c>
      <c r="N265" s="5" t="s">
        <v>2613</v>
      </c>
      <c r="O265" s="5">
        <v>13</v>
      </c>
      <c r="P265" s="5">
        <v>3068122347</v>
      </c>
      <c r="Q265" s="5">
        <v>30681223470</v>
      </c>
      <c r="R265" s="5" t="s">
        <v>2614</v>
      </c>
      <c r="S265" s="5"/>
      <c r="T265" s="5" t="s">
        <v>2615</v>
      </c>
      <c r="U265" s="5" t="s">
        <v>2616</v>
      </c>
      <c r="V265" s="5" t="s">
        <v>2617</v>
      </c>
      <c r="W265" s="5" t="s">
        <v>2618</v>
      </c>
      <c r="X265" s="5" t="s">
        <v>134</v>
      </c>
      <c r="Y265" s="5" t="s">
        <v>2619</v>
      </c>
      <c r="Z265" s="5" t="s">
        <v>2620</v>
      </c>
      <c r="AA265" s="8">
        <v>45797</v>
      </c>
      <c r="AB265" s="5" t="s">
        <v>218</v>
      </c>
      <c r="AC265" s="5" t="s">
        <v>2620</v>
      </c>
      <c r="AD265" s="8">
        <v>45799</v>
      </c>
      <c r="AE265" s="5">
        <v>600000</v>
      </c>
      <c r="AF265" s="5">
        <v>200000</v>
      </c>
      <c r="AG265" s="5">
        <v>400000</v>
      </c>
      <c r="AH265" s="5">
        <v>600000</v>
      </c>
      <c r="AI265" s="8">
        <v>45800</v>
      </c>
      <c r="AJ265" s="5">
        <v>200000</v>
      </c>
      <c r="AK265" s="9">
        <v>45818</v>
      </c>
      <c r="AL265" s="5">
        <v>400000</v>
      </c>
      <c r="AM265" s="5"/>
    </row>
    <row r="266" spans="1:39" x14ac:dyDescent="0.3">
      <c r="A266" s="5" t="s">
        <v>2621</v>
      </c>
      <c r="B266" s="5">
        <v>2025</v>
      </c>
      <c r="C266" s="5" t="s">
        <v>40</v>
      </c>
      <c r="D266" s="5" t="s">
        <v>94</v>
      </c>
      <c r="E266" s="5" t="s">
        <v>1322</v>
      </c>
      <c r="F266" s="5" t="s">
        <v>2622</v>
      </c>
      <c r="G266" s="7">
        <v>137</v>
      </c>
      <c r="H266" s="7" t="s">
        <v>1269</v>
      </c>
      <c r="I266" s="8">
        <v>45769</v>
      </c>
      <c r="J266" s="8">
        <v>45769</v>
      </c>
      <c r="K266" s="5"/>
      <c r="L266" s="5" t="s">
        <v>218</v>
      </c>
      <c r="M266" s="5" t="s">
        <v>1322</v>
      </c>
      <c r="N266" s="5" t="s">
        <v>2623</v>
      </c>
      <c r="O266" s="5">
        <v>5</v>
      </c>
      <c r="P266" s="5">
        <v>3180124593</v>
      </c>
      <c r="Q266" s="5">
        <v>31801245930</v>
      </c>
      <c r="R266" s="5" t="s">
        <v>2624</v>
      </c>
      <c r="S266" s="5"/>
      <c r="T266" s="5" t="s">
        <v>2625</v>
      </c>
      <c r="U266" s="5" t="s">
        <v>2626</v>
      </c>
      <c r="V266" s="5" t="s">
        <v>2627</v>
      </c>
      <c r="W266" s="5" t="s">
        <v>2624</v>
      </c>
      <c r="X266" s="5" t="s">
        <v>78</v>
      </c>
      <c r="Y266" s="5" t="s">
        <v>2628</v>
      </c>
      <c r="Z266" s="5" t="s">
        <v>2629</v>
      </c>
      <c r="AA266" s="8">
        <v>45797</v>
      </c>
      <c r="AB266" s="5" t="s">
        <v>218</v>
      </c>
      <c r="AC266" s="5" t="s">
        <v>2629</v>
      </c>
      <c r="AD266" s="8">
        <v>45799</v>
      </c>
      <c r="AE266" s="5">
        <v>600000</v>
      </c>
      <c r="AF266" s="5">
        <v>200000</v>
      </c>
      <c r="AG266" s="5">
        <v>400000</v>
      </c>
      <c r="AH266" s="5">
        <v>600000</v>
      </c>
      <c r="AI266" s="8">
        <v>45799</v>
      </c>
      <c r="AJ266" s="5">
        <v>200000</v>
      </c>
      <c r="AK266" s="9">
        <v>45818</v>
      </c>
      <c r="AL266" s="5">
        <v>400000</v>
      </c>
      <c r="AM266" s="5"/>
    </row>
    <row r="267" spans="1:39" x14ac:dyDescent="0.3">
      <c r="A267" s="5" t="s">
        <v>2630</v>
      </c>
      <c r="B267" s="5">
        <v>2025</v>
      </c>
      <c r="C267" s="5" t="s">
        <v>40</v>
      </c>
      <c r="D267" s="5" t="s">
        <v>2631</v>
      </c>
      <c r="E267" s="5" t="s">
        <v>1322</v>
      </c>
      <c r="F267" s="5" t="s">
        <v>2632</v>
      </c>
      <c r="G267" s="7">
        <v>138</v>
      </c>
      <c r="H267" s="7" t="s">
        <v>1289</v>
      </c>
      <c r="I267" s="8">
        <v>45777</v>
      </c>
      <c r="J267" s="8">
        <v>45805</v>
      </c>
      <c r="K267" s="5"/>
      <c r="L267" s="5" t="s">
        <v>46</v>
      </c>
      <c r="M267" s="5" t="s">
        <v>1322</v>
      </c>
      <c r="N267" s="5" t="s">
        <v>2633</v>
      </c>
      <c r="O267" s="5">
        <v>64</v>
      </c>
      <c r="P267" s="5">
        <v>3078303842</v>
      </c>
      <c r="Q267" s="5">
        <v>90800126981</v>
      </c>
      <c r="R267" s="5" t="s">
        <v>2634</v>
      </c>
      <c r="S267" s="5"/>
      <c r="T267" s="5" t="s">
        <v>2635</v>
      </c>
      <c r="U267" s="5" t="s">
        <v>2636</v>
      </c>
      <c r="V267" s="5" t="s">
        <v>2637</v>
      </c>
      <c r="W267" s="5" t="s">
        <v>845</v>
      </c>
      <c r="X267" s="5" t="s">
        <v>442</v>
      </c>
      <c r="Y267" s="5" t="s">
        <v>846</v>
      </c>
      <c r="Z267" s="5" t="s">
        <v>847</v>
      </c>
      <c r="AA267" s="8">
        <v>45834</v>
      </c>
      <c r="AB267" s="5" t="s">
        <v>46</v>
      </c>
      <c r="AC267" s="5"/>
      <c r="AD267" s="8"/>
      <c r="AE267" s="5">
        <v>0</v>
      </c>
      <c r="AF267" s="5"/>
      <c r="AG267" s="5"/>
      <c r="AH267" s="5">
        <v>0</v>
      </c>
      <c r="AI267" s="8"/>
      <c r="AJ267" s="5"/>
      <c r="AK267" s="9"/>
      <c r="AL267" s="5"/>
      <c r="AM267" s="5"/>
    </row>
    <row r="268" spans="1:39" x14ac:dyDescent="0.3">
      <c r="A268" s="5" t="s">
        <v>2638</v>
      </c>
      <c r="B268" s="5">
        <v>2025</v>
      </c>
      <c r="C268" s="5" t="s">
        <v>40</v>
      </c>
      <c r="D268" s="5" t="s">
        <v>58</v>
      </c>
      <c r="E268" s="5" t="s">
        <v>1322</v>
      </c>
      <c r="F268" s="5" t="s">
        <v>2639</v>
      </c>
      <c r="G268" s="7">
        <v>139</v>
      </c>
      <c r="H268" s="7" t="s">
        <v>1289</v>
      </c>
      <c r="I268" s="8">
        <v>45779</v>
      </c>
      <c r="J268" s="8">
        <v>45779</v>
      </c>
      <c r="K268" s="5"/>
      <c r="L268" s="5" t="s">
        <v>73</v>
      </c>
      <c r="M268" s="5" t="s">
        <v>1322</v>
      </c>
      <c r="N268" s="5" t="s">
        <v>2640</v>
      </c>
      <c r="O268" s="5">
        <v>3</v>
      </c>
      <c r="P268" s="5">
        <v>3088137832</v>
      </c>
      <c r="Q268" s="5">
        <v>30881378326</v>
      </c>
      <c r="R268" s="5" t="s">
        <v>2641</v>
      </c>
      <c r="S268" s="5"/>
      <c r="T268" s="5" t="s">
        <v>2642</v>
      </c>
      <c r="U268" s="5" t="s">
        <v>2643</v>
      </c>
      <c r="V268" s="5" t="s">
        <v>2644</v>
      </c>
      <c r="W268" s="5" t="s">
        <v>2645</v>
      </c>
      <c r="X268" s="5" t="s">
        <v>638</v>
      </c>
      <c r="Y268" s="5" t="s">
        <v>2646</v>
      </c>
      <c r="Z268" s="5" t="s">
        <v>2647</v>
      </c>
      <c r="AA268" s="8">
        <v>45792</v>
      </c>
      <c r="AB268" s="5" t="s">
        <v>73</v>
      </c>
      <c r="AC268" s="5" t="s">
        <v>2648</v>
      </c>
      <c r="AD268" s="8">
        <v>45792</v>
      </c>
      <c r="AE268" s="5">
        <v>700000</v>
      </c>
      <c r="AF268" s="5">
        <v>700000</v>
      </c>
      <c r="AG268" s="5">
        <v>0</v>
      </c>
      <c r="AH268" s="5">
        <v>700000</v>
      </c>
      <c r="AI268" s="8">
        <v>45818</v>
      </c>
      <c r="AJ268" s="5">
        <v>700000</v>
      </c>
      <c r="AK268" s="9" t="s">
        <v>56</v>
      </c>
      <c r="AL268" s="5">
        <v>0</v>
      </c>
      <c r="AM268" s="5"/>
    </row>
    <row r="269" spans="1:39" x14ac:dyDescent="0.3">
      <c r="A269" s="5" t="s">
        <v>2649</v>
      </c>
      <c r="B269" s="5">
        <v>2025</v>
      </c>
      <c r="C269" s="5" t="s">
        <v>40</v>
      </c>
      <c r="D269" s="5" t="s">
        <v>58</v>
      </c>
      <c r="E269" s="5" t="s">
        <v>1322</v>
      </c>
      <c r="F269" s="5" t="s">
        <v>2650</v>
      </c>
      <c r="G269" s="7">
        <v>140</v>
      </c>
      <c r="H269" s="7" t="s">
        <v>1301</v>
      </c>
      <c r="I269" s="8">
        <v>45784</v>
      </c>
      <c r="J269" s="8">
        <v>45785</v>
      </c>
      <c r="K269" s="5"/>
      <c r="L269" s="5" t="s">
        <v>46</v>
      </c>
      <c r="M269" s="5" t="s">
        <v>1322</v>
      </c>
      <c r="N269" s="5" t="s">
        <v>2651</v>
      </c>
      <c r="O269" s="5">
        <v>15</v>
      </c>
      <c r="P269" s="5">
        <v>3058701389</v>
      </c>
      <c r="Q269" s="5">
        <v>30587013896</v>
      </c>
      <c r="R269" s="5" t="s">
        <v>2652</v>
      </c>
      <c r="S269" s="5"/>
      <c r="T269" s="5" t="s">
        <v>2653</v>
      </c>
      <c r="U269" s="5"/>
      <c r="V269" s="5"/>
      <c r="W269" s="5" t="s">
        <v>2654</v>
      </c>
      <c r="X269" s="5" t="s">
        <v>134</v>
      </c>
      <c r="Y269" s="5" t="s">
        <v>2655</v>
      </c>
      <c r="Z269" s="5" t="s">
        <v>2656</v>
      </c>
      <c r="AA269" s="8">
        <v>45812</v>
      </c>
      <c r="AB269" s="5" t="s">
        <v>46</v>
      </c>
      <c r="AC269" s="5" t="s">
        <v>2656</v>
      </c>
      <c r="AD269" s="8">
        <v>45813</v>
      </c>
      <c r="AE269" s="5">
        <v>2800000</v>
      </c>
      <c r="AF269" s="5">
        <v>2800000</v>
      </c>
      <c r="AG269" s="5">
        <v>0</v>
      </c>
      <c r="AH269" s="5">
        <v>2800000</v>
      </c>
      <c r="AI269" s="8">
        <v>45813</v>
      </c>
      <c r="AJ269" s="5">
        <v>2800000</v>
      </c>
      <c r="AK269" s="9" t="s">
        <v>56</v>
      </c>
      <c r="AL269" s="5">
        <v>0</v>
      </c>
      <c r="AM269" s="5"/>
    </row>
    <row r="270" spans="1:39" x14ac:dyDescent="0.3">
      <c r="A270" s="5" t="s">
        <v>2657</v>
      </c>
      <c r="B270" s="5">
        <v>2025</v>
      </c>
      <c r="C270" s="5" t="s">
        <v>40</v>
      </c>
      <c r="D270" s="5" t="s">
        <v>238</v>
      </c>
      <c r="E270" s="5" t="s">
        <v>1322</v>
      </c>
      <c r="F270" s="5" t="s">
        <v>2658</v>
      </c>
      <c r="G270" s="7">
        <v>141</v>
      </c>
      <c r="H270" s="7" t="s">
        <v>1311</v>
      </c>
      <c r="I270" s="8">
        <v>45785</v>
      </c>
      <c r="J270" s="8">
        <v>45785</v>
      </c>
      <c r="K270" s="5"/>
      <c r="L270" s="5" t="s">
        <v>73</v>
      </c>
      <c r="M270" s="5" t="s">
        <v>1322</v>
      </c>
      <c r="N270" s="5" t="s">
        <v>2659</v>
      </c>
      <c r="O270" s="5">
        <v>55</v>
      </c>
      <c r="P270" s="5">
        <v>3068104878</v>
      </c>
      <c r="Q270" s="5">
        <v>30681048780</v>
      </c>
      <c r="R270" s="5" t="s">
        <v>2660</v>
      </c>
      <c r="S270" s="5"/>
      <c r="T270" s="5" t="s">
        <v>2661</v>
      </c>
      <c r="U270" s="5" t="s">
        <v>2662</v>
      </c>
      <c r="V270" s="5" t="s">
        <v>2663</v>
      </c>
      <c r="W270" s="5" t="s">
        <v>2664</v>
      </c>
      <c r="X270" s="5" t="s">
        <v>2159</v>
      </c>
      <c r="Y270" s="5" t="s">
        <v>2665</v>
      </c>
      <c r="Z270" s="5" t="s">
        <v>2666</v>
      </c>
      <c r="AA270" s="8">
        <v>45813</v>
      </c>
      <c r="AB270" s="5" t="s">
        <v>73</v>
      </c>
      <c r="AC270" s="5" t="s">
        <v>2667</v>
      </c>
      <c r="AD270" s="8">
        <v>45813</v>
      </c>
      <c r="AE270" s="5">
        <v>2400000</v>
      </c>
      <c r="AF270" s="5">
        <v>2400000</v>
      </c>
      <c r="AG270" s="5">
        <v>0</v>
      </c>
      <c r="AH270" s="5">
        <v>2400000</v>
      </c>
      <c r="AI270" s="8">
        <v>45819</v>
      </c>
      <c r="AJ270" s="5">
        <v>2400000</v>
      </c>
      <c r="AK270" s="9" t="s">
        <v>56</v>
      </c>
      <c r="AL270" s="5">
        <v>0</v>
      </c>
      <c r="AM270" s="5"/>
    </row>
    <row r="271" spans="1:39" x14ac:dyDescent="0.3">
      <c r="A271" s="5" t="s">
        <v>2668</v>
      </c>
      <c r="B271" s="5">
        <v>2025</v>
      </c>
      <c r="C271" s="5" t="s">
        <v>40</v>
      </c>
      <c r="D271" s="5" t="s">
        <v>94</v>
      </c>
      <c r="E271" s="5" t="s">
        <v>1322</v>
      </c>
      <c r="F271" s="5" t="s">
        <v>2669</v>
      </c>
      <c r="G271" s="7">
        <v>142</v>
      </c>
      <c r="H271" s="7" t="s">
        <v>2670</v>
      </c>
      <c r="I271" s="8">
        <v>45791</v>
      </c>
      <c r="J271" s="8">
        <v>45791</v>
      </c>
      <c r="K271" s="5"/>
      <c r="L271" s="5" t="s">
        <v>218</v>
      </c>
      <c r="M271" s="5" t="s">
        <v>1322</v>
      </c>
      <c r="N271" s="5" t="s">
        <v>2671</v>
      </c>
      <c r="O271" s="5">
        <v>6</v>
      </c>
      <c r="P271" s="5">
        <v>3140393020</v>
      </c>
      <c r="Q271" s="5">
        <v>31403930200</v>
      </c>
      <c r="R271" s="5" t="s">
        <v>2672</v>
      </c>
      <c r="S271" s="5"/>
      <c r="T271" s="5" t="s">
        <v>2673</v>
      </c>
      <c r="U271" s="5" t="s">
        <v>2674</v>
      </c>
      <c r="V271" s="5" t="s">
        <v>2675</v>
      </c>
      <c r="W271" s="5" t="s">
        <v>2676</v>
      </c>
      <c r="X271" s="5" t="s">
        <v>134</v>
      </c>
      <c r="Y271" s="5" t="s">
        <v>2677</v>
      </c>
      <c r="Z271" s="5" t="s">
        <v>2678</v>
      </c>
      <c r="AA271" s="8">
        <v>45807</v>
      </c>
      <c r="AB271" s="5" t="s">
        <v>218</v>
      </c>
      <c r="AC271" s="5" t="s">
        <v>2678</v>
      </c>
      <c r="AD271" s="8">
        <v>45824</v>
      </c>
      <c r="AE271" s="5">
        <v>600000</v>
      </c>
      <c r="AF271" s="5">
        <v>200000</v>
      </c>
      <c r="AG271" s="5">
        <v>400000</v>
      </c>
      <c r="AH271" s="5">
        <v>400000</v>
      </c>
      <c r="AI271" s="8"/>
      <c r="AJ271" s="5">
        <v>0</v>
      </c>
      <c r="AK271" s="9">
        <v>45859</v>
      </c>
      <c r="AL271" s="5">
        <v>400000</v>
      </c>
      <c r="AM271" s="5"/>
    </row>
    <row r="272" spans="1:39" x14ac:dyDescent="0.3">
      <c r="A272" s="5" t="s">
        <v>2679</v>
      </c>
      <c r="B272" s="5">
        <v>2025</v>
      </c>
      <c r="C272" s="5" t="s">
        <v>40</v>
      </c>
      <c r="D272" s="5" t="s">
        <v>94</v>
      </c>
      <c r="E272" s="5" t="s">
        <v>1322</v>
      </c>
      <c r="F272" s="5" t="s">
        <v>2680</v>
      </c>
      <c r="G272" s="7">
        <v>143</v>
      </c>
      <c r="H272" s="7" t="s">
        <v>2681</v>
      </c>
      <c r="I272" s="8">
        <v>45791</v>
      </c>
      <c r="J272" s="8">
        <v>45791</v>
      </c>
      <c r="K272" s="5"/>
      <c r="L272" s="5" t="s">
        <v>181</v>
      </c>
      <c r="M272" s="5" t="s">
        <v>1322</v>
      </c>
      <c r="N272" s="5" t="s">
        <v>2682</v>
      </c>
      <c r="O272" s="5">
        <v>5</v>
      </c>
      <c r="P272" s="5">
        <v>7585000517</v>
      </c>
      <c r="Q272" s="5">
        <v>75850005170</v>
      </c>
      <c r="R272" s="5" t="s">
        <v>2683</v>
      </c>
      <c r="S272" s="5"/>
      <c r="T272" s="5" t="s">
        <v>2684</v>
      </c>
      <c r="U272" s="5"/>
      <c r="V272" s="5" t="s">
        <v>2685</v>
      </c>
      <c r="W272" s="5" t="s">
        <v>2686</v>
      </c>
      <c r="X272" s="5" t="s">
        <v>78</v>
      </c>
      <c r="Y272" s="5" t="s">
        <v>2687</v>
      </c>
      <c r="Z272" s="5" t="s">
        <v>2688</v>
      </c>
      <c r="AA272" s="8">
        <v>45807</v>
      </c>
      <c r="AB272" s="5" t="s">
        <v>218</v>
      </c>
      <c r="AC272" s="5" t="s">
        <v>2688</v>
      </c>
      <c r="AD272" s="8">
        <v>45824</v>
      </c>
      <c r="AE272" s="5">
        <v>600000</v>
      </c>
      <c r="AF272" s="5">
        <v>200000</v>
      </c>
      <c r="AG272" s="5">
        <v>400000</v>
      </c>
      <c r="AH272" s="5">
        <v>600000</v>
      </c>
      <c r="AI272" s="8">
        <v>45876</v>
      </c>
      <c r="AJ272" s="5">
        <v>200000</v>
      </c>
      <c r="AK272" s="9">
        <v>45859</v>
      </c>
      <c r="AL272" s="5">
        <v>400000</v>
      </c>
      <c r="AM272" s="5"/>
    </row>
    <row r="273" spans="1:39" x14ac:dyDescent="0.3">
      <c r="A273" s="5" t="s">
        <v>2689</v>
      </c>
      <c r="B273" s="5">
        <v>2025</v>
      </c>
      <c r="C273" s="5" t="s">
        <v>40</v>
      </c>
      <c r="D273" s="5" t="s">
        <v>94</v>
      </c>
      <c r="E273" s="5" t="s">
        <v>1322</v>
      </c>
      <c r="F273" s="5" t="s">
        <v>2690</v>
      </c>
      <c r="G273" s="7">
        <v>144</v>
      </c>
      <c r="H273" s="7" t="s">
        <v>2691</v>
      </c>
      <c r="I273" s="8">
        <v>45793</v>
      </c>
      <c r="J273" s="8">
        <v>45793</v>
      </c>
      <c r="K273" s="5"/>
      <c r="L273" s="5" t="s">
        <v>73</v>
      </c>
      <c r="M273" s="5" t="s">
        <v>1322</v>
      </c>
      <c r="N273" s="5" t="s">
        <v>2692</v>
      </c>
      <c r="O273" s="5">
        <v>9</v>
      </c>
      <c r="P273" s="5">
        <v>4262900218</v>
      </c>
      <c r="Q273" s="5">
        <v>42629002180</v>
      </c>
      <c r="R273" s="5" t="s">
        <v>2693</v>
      </c>
      <c r="S273" s="5"/>
      <c r="T273" s="5" t="s">
        <v>2120</v>
      </c>
      <c r="U273" s="5" t="s">
        <v>2694</v>
      </c>
      <c r="V273" s="5" t="s">
        <v>2695</v>
      </c>
      <c r="W273" s="5" t="s">
        <v>2696</v>
      </c>
      <c r="X273" s="5" t="s">
        <v>78</v>
      </c>
      <c r="Y273" s="5" t="s">
        <v>2697</v>
      </c>
      <c r="Z273" s="5" t="s">
        <v>2698</v>
      </c>
      <c r="AA273" s="8">
        <v>45817</v>
      </c>
      <c r="AB273" s="5" t="s">
        <v>73</v>
      </c>
      <c r="AC273" s="5" t="s">
        <v>2698</v>
      </c>
      <c r="AD273" s="8">
        <v>45793</v>
      </c>
      <c r="AE273" s="5">
        <v>600000</v>
      </c>
      <c r="AF273" s="5">
        <v>200000</v>
      </c>
      <c r="AG273" s="5">
        <v>400000</v>
      </c>
      <c r="AH273" s="5">
        <v>600000</v>
      </c>
      <c r="AI273" s="8">
        <v>45793</v>
      </c>
      <c r="AJ273" s="5">
        <v>200000</v>
      </c>
      <c r="AK273" s="9">
        <v>45859</v>
      </c>
      <c r="AL273" s="5">
        <v>400000</v>
      </c>
      <c r="AM273" s="5"/>
    </row>
    <row r="274" spans="1:39" x14ac:dyDescent="0.3">
      <c r="A274" s="5" t="s">
        <v>2699</v>
      </c>
      <c r="B274" s="5">
        <v>2025</v>
      </c>
      <c r="C274" s="5" t="s">
        <v>40</v>
      </c>
      <c r="D274" s="5" t="s">
        <v>314</v>
      </c>
      <c r="E274" s="5" t="s">
        <v>1322</v>
      </c>
      <c r="F274" s="5" t="s">
        <v>2700</v>
      </c>
      <c r="G274" s="7">
        <v>145</v>
      </c>
      <c r="H274" s="7" t="s">
        <v>2701</v>
      </c>
      <c r="I274" s="8">
        <v>45797</v>
      </c>
      <c r="J274" s="8">
        <v>45797</v>
      </c>
      <c r="K274" s="5"/>
      <c r="L274" s="5" t="s">
        <v>73</v>
      </c>
      <c r="M274" s="5" t="s">
        <v>1322</v>
      </c>
      <c r="N274" s="5" t="s">
        <v>2702</v>
      </c>
      <c r="O274" s="5">
        <v>81</v>
      </c>
      <c r="P274" s="5">
        <v>7308502523</v>
      </c>
      <c r="Q274" s="5">
        <v>73085025230</v>
      </c>
      <c r="R274" s="5" t="s">
        <v>2703</v>
      </c>
      <c r="S274" s="5"/>
      <c r="T274" s="5" t="s">
        <v>2704</v>
      </c>
      <c r="U274" s="5" t="s">
        <v>2705</v>
      </c>
      <c r="V274" s="5" t="s">
        <v>2706</v>
      </c>
      <c r="W274" s="5" t="s">
        <v>2707</v>
      </c>
      <c r="X274" s="5" t="s">
        <v>52</v>
      </c>
      <c r="Y274" s="5" t="s">
        <v>2708</v>
      </c>
      <c r="Z274" s="5" t="s">
        <v>2709</v>
      </c>
      <c r="AA274" s="8">
        <v>45825</v>
      </c>
      <c r="AB274" s="5" t="s">
        <v>73</v>
      </c>
      <c r="AC274" s="5" t="s">
        <v>2709</v>
      </c>
      <c r="AD274" s="8">
        <v>45824</v>
      </c>
      <c r="AE274" s="5">
        <v>1700000</v>
      </c>
      <c r="AF274" s="5">
        <v>1700000</v>
      </c>
      <c r="AG274" s="5">
        <v>0</v>
      </c>
      <c r="AH274" s="5">
        <v>1700000</v>
      </c>
      <c r="AI274" s="8">
        <v>45869</v>
      </c>
      <c r="AJ274" s="5">
        <v>1700000</v>
      </c>
      <c r="AK274" s="9" t="s">
        <v>56</v>
      </c>
      <c r="AL274" s="5">
        <v>0</v>
      </c>
      <c r="AM274" s="5"/>
    </row>
    <row r="275" spans="1:39" x14ac:dyDescent="0.3">
      <c r="A275" s="5" t="s">
        <v>2710</v>
      </c>
      <c r="B275" s="5">
        <v>2025</v>
      </c>
      <c r="C275" s="5" t="s">
        <v>40</v>
      </c>
      <c r="D275" s="5" t="s">
        <v>2711</v>
      </c>
      <c r="E275" s="5" t="s">
        <v>1322</v>
      </c>
      <c r="F275" s="5" t="s">
        <v>2712</v>
      </c>
      <c r="G275" s="7">
        <v>146</v>
      </c>
      <c r="H275" s="7" t="s">
        <v>2713</v>
      </c>
      <c r="I275" s="8">
        <v>45805</v>
      </c>
      <c r="J275" s="8">
        <v>45805</v>
      </c>
      <c r="K275" s="5"/>
      <c r="L275" s="5" t="s">
        <v>61</v>
      </c>
      <c r="M275" s="5" t="s">
        <v>1322</v>
      </c>
      <c r="N275" s="5" t="s">
        <v>2714</v>
      </c>
      <c r="O275" s="5">
        <v>18</v>
      </c>
      <c r="P275" s="5">
        <v>3078511875</v>
      </c>
      <c r="Q275" s="5">
        <v>30785118750</v>
      </c>
      <c r="R275" s="5" t="s">
        <v>2715</v>
      </c>
      <c r="S275" s="5"/>
      <c r="T275" s="5" t="s">
        <v>2716</v>
      </c>
      <c r="U275" s="5" t="s">
        <v>2717</v>
      </c>
      <c r="V275" s="5" t="s">
        <v>2718</v>
      </c>
      <c r="W275" s="5" t="s">
        <v>2719</v>
      </c>
      <c r="X275" s="5" t="s">
        <v>224</v>
      </c>
      <c r="Y275" s="5" t="s">
        <v>2720</v>
      </c>
      <c r="Z275" s="5" t="s">
        <v>2721</v>
      </c>
      <c r="AA275" s="8">
        <v>45828</v>
      </c>
      <c r="AB275" s="5" t="s">
        <v>61</v>
      </c>
      <c r="AC275" s="5" t="s">
        <v>2721</v>
      </c>
      <c r="AD275" s="8">
        <v>45831</v>
      </c>
      <c r="AE275" s="5">
        <v>700000</v>
      </c>
      <c r="AF275" s="5">
        <v>700000</v>
      </c>
      <c r="AG275" s="5">
        <v>0</v>
      </c>
      <c r="AH275" s="5">
        <v>700000</v>
      </c>
      <c r="AI275" s="8">
        <v>45853</v>
      </c>
      <c r="AJ275" s="5">
        <v>700000</v>
      </c>
      <c r="AK275" s="9" t="s">
        <v>56</v>
      </c>
      <c r="AL275" s="5">
        <v>0</v>
      </c>
      <c r="AM275" s="5"/>
    </row>
    <row r="276" spans="1:39" x14ac:dyDescent="0.3">
      <c r="A276" s="5" t="s">
        <v>2722</v>
      </c>
      <c r="B276" s="5">
        <v>2025</v>
      </c>
      <c r="C276" s="5" t="s">
        <v>40</v>
      </c>
      <c r="D276" s="5" t="s">
        <v>71</v>
      </c>
      <c r="E276" s="5" t="s">
        <v>1322</v>
      </c>
      <c r="F276" s="5" t="s">
        <v>2723</v>
      </c>
      <c r="G276" s="7">
        <v>147</v>
      </c>
      <c r="H276" s="7" t="s">
        <v>2724</v>
      </c>
      <c r="I276" s="8">
        <v>45806</v>
      </c>
      <c r="J276" s="8">
        <v>45806</v>
      </c>
      <c r="K276" s="5"/>
      <c r="L276" s="5" t="s">
        <v>719</v>
      </c>
      <c r="M276" s="5" t="s">
        <v>1322</v>
      </c>
      <c r="N276" s="5" t="s">
        <v>2725</v>
      </c>
      <c r="O276" s="5">
        <v>406</v>
      </c>
      <c r="P276" s="5">
        <v>3078201717</v>
      </c>
      <c r="Q276" s="5">
        <v>30782017170</v>
      </c>
      <c r="R276" s="5" t="s">
        <v>2726</v>
      </c>
      <c r="S276" s="5"/>
      <c r="T276" s="5" t="s">
        <v>2727</v>
      </c>
      <c r="U276" s="5" t="s">
        <v>2728</v>
      </c>
      <c r="V276" s="5" t="s">
        <v>2729</v>
      </c>
      <c r="W276" s="5" t="s">
        <v>2730</v>
      </c>
      <c r="X276" s="5"/>
      <c r="Y276" s="5" t="s">
        <v>2731</v>
      </c>
      <c r="Z276" s="5" t="s">
        <v>2732</v>
      </c>
      <c r="AA276" s="8">
        <v>45828</v>
      </c>
      <c r="AB276" s="5" t="s">
        <v>73</v>
      </c>
      <c r="AC276" s="5" t="s">
        <v>2733</v>
      </c>
      <c r="AD276" s="8">
        <v>45828</v>
      </c>
      <c r="AE276" s="5">
        <v>2500000</v>
      </c>
      <c r="AF276" s="5">
        <v>2500000</v>
      </c>
      <c r="AG276" s="5">
        <v>0</v>
      </c>
      <c r="AH276" s="5">
        <v>2500000</v>
      </c>
      <c r="AI276" s="8">
        <v>45869</v>
      </c>
      <c r="AJ276" s="5">
        <v>2500000</v>
      </c>
      <c r="AK276" s="9" t="s">
        <v>56</v>
      </c>
      <c r="AL276" s="5">
        <v>0</v>
      </c>
      <c r="AM276" s="5"/>
    </row>
    <row r="277" spans="1:39" x14ac:dyDescent="0.3">
      <c r="A277" s="5" t="s">
        <v>2734</v>
      </c>
      <c r="B277" s="5">
        <v>2025</v>
      </c>
      <c r="C277" s="5" t="s">
        <v>40</v>
      </c>
      <c r="D277" s="5" t="s">
        <v>71</v>
      </c>
      <c r="E277" s="5" t="s">
        <v>1322</v>
      </c>
      <c r="F277" s="5" t="s">
        <v>2735</v>
      </c>
      <c r="G277" s="7">
        <v>148</v>
      </c>
      <c r="H277" s="7" t="s">
        <v>2736</v>
      </c>
      <c r="I277" s="8">
        <v>45827</v>
      </c>
      <c r="J277" s="8">
        <v>45827</v>
      </c>
      <c r="K277" s="5"/>
      <c r="L277" s="5" t="s">
        <v>46</v>
      </c>
      <c r="M277" s="5" t="s">
        <v>1322</v>
      </c>
      <c r="N277" s="5" t="s">
        <v>2737</v>
      </c>
      <c r="O277" s="5">
        <v>99</v>
      </c>
      <c r="P277" s="5">
        <v>7058200339</v>
      </c>
      <c r="Q277" s="5">
        <v>70582003390</v>
      </c>
      <c r="R277" s="5" t="s">
        <v>2738</v>
      </c>
      <c r="S277" s="5"/>
      <c r="T277" s="5" t="s">
        <v>2739</v>
      </c>
      <c r="U277" s="5" t="s">
        <v>2740</v>
      </c>
      <c r="V277" s="5" t="s">
        <v>2741</v>
      </c>
      <c r="W277" s="5" t="s">
        <v>2742</v>
      </c>
      <c r="X277" s="5" t="s">
        <v>2743</v>
      </c>
      <c r="Y277" s="5" t="s">
        <v>2744</v>
      </c>
      <c r="Z277" s="5" t="s">
        <v>2745</v>
      </c>
      <c r="AA277" s="8">
        <v>45852</v>
      </c>
      <c r="AB277" s="5" t="s">
        <v>46</v>
      </c>
      <c r="AC277" s="5" t="s">
        <v>2745</v>
      </c>
      <c r="AD277" s="8">
        <v>45853</v>
      </c>
      <c r="AE277" s="5">
        <v>700000</v>
      </c>
      <c r="AF277" s="5">
        <v>700000</v>
      </c>
      <c r="AG277" s="5">
        <v>0</v>
      </c>
      <c r="AH277" s="5">
        <v>700000</v>
      </c>
      <c r="AI277" s="8">
        <v>45897</v>
      </c>
      <c r="AJ277" s="5">
        <v>700000</v>
      </c>
      <c r="AK277" s="9" t="s">
        <v>56</v>
      </c>
      <c r="AL277" s="5">
        <v>0</v>
      </c>
      <c r="AM277" s="5"/>
    </row>
    <row r="278" spans="1:39" x14ac:dyDescent="0.3">
      <c r="A278" s="5" t="s">
        <v>2746</v>
      </c>
      <c r="B278" s="5">
        <v>2025</v>
      </c>
      <c r="C278" s="5" t="s">
        <v>40</v>
      </c>
      <c r="D278" s="5" t="s">
        <v>71</v>
      </c>
      <c r="E278" s="5" t="s">
        <v>1322</v>
      </c>
      <c r="F278" s="5" t="s">
        <v>2747</v>
      </c>
      <c r="G278" s="7">
        <v>149</v>
      </c>
      <c r="H278" s="7" t="s">
        <v>2748</v>
      </c>
      <c r="I278" s="8">
        <v>45828</v>
      </c>
      <c r="J278" s="8">
        <v>45828</v>
      </c>
      <c r="K278" s="5"/>
      <c r="L278" s="5" t="s">
        <v>73</v>
      </c>
      <c r="M278" s="5" t="s">
        <v>1322</v>
      </c>
      <c r="N278" s="5" t="s">
        <v>2749</v>
      </c>
      <c r="O278" s="5">
        <v>52</v>
      </c>
      <c r="P278" s="5">
        <v>3148164111</v>
      </c>
      <c r="Q278" s="5">
        <v>31481641110</v>
      </c>
      <c r="R278" s="5" t="s">
        <v>2750</v>
      </c>
      <c r="S278" s="5"/>
      <c r="T278" s="5" t="s">
        <v>2751</v>
      </c>
      <c r="U278" s="5" t="s">
        <v>2752</v>
      </c>
      <c r="V278" s="5" t="s">
        <v>2753</v>
      </c>
      <c r="W278" s="5" t="s">
        <v>2754</v>
      </c>
      <c r="X278" s="5" t="s">
        <v>168</v>
      </c>
      <c r="Y278" s="5" t="s">
        <v>2755</v>
      </c>
      <c r="Z278" s="5" t="s">
        <v>2756</v>
      </c>
      <c r="AA278" s="8">
        <v>45852</v>
      </c>
      <c r="AB278" s="5" t="s">
        <v>46</v>
      </c>
      <c r="AC278" s="5" t="s">
        <v>2757</v>
      </c>
      <c r="AD278" s="8">
        <v>45856</v>
      </c>
      <c r="AE278" s="5">
        <v>1300000</v>
      </c>
      <c r="AF278" s="5">
        <v>1300000</v>
      </c>
      <c r="AG278" s="5">
        <v>0</v>
      </c>
      <c r="AH278" s="5">
        <v>0</v>
      </c>
      <c r="AI278" s="8"/>
      <c r="AJ278" s="5">
        <v>0</v>
      </c>
      <c r="AK278" s="9" t="s">
        <v>56</v>
      </c>
      <c r="AL278" s="5">
        <v>0</v>
      </c>
      <c r="AM278" s="5"/>
    </row>
    <row r="279" spans="1:39" x14ac:dyDescent="0.3">
      <c r="A279" s="5" t="s">
        <v>2758</v>
      </c>
      <c r="B279" s="5">
        <v>2025</v>
      </c>
      <c r="C279" s="5" t="s">
        <v>40</v>
      </c>
      <c r="D279" s="5" t="s">
        <v>2759</v>
      </c>
      <c r="E279" s="5" t="s">
        <v>1322</v>
      </c>
      <c r="F279" s="5" t="s">
        <v>2760</v>
      </c>
      <c r="G279" s="7">
        <v>150</v>
      </c>
      <c r="H279" s="7" t="s">
        <v>2761</v>
      </c>
      <c r="I279" s="8">
        <v>45838</v>
      </c>
      <c r="J279" s="8">
        <v>45838</v>
      </c>
      <c r="K279" s="5"/>
      <c r="L279" s="5" t="s">
        <v>97</v>
      </c>
      <c r="M279" s="5" t="s">
        <v>1322</v>
      </c>
      <c r="N279" s="5" t="s">
        <v>2762</v>
      </c>
      <c r="O279" s="5">
        <v>6</v>
      </c>
      <c r="P279" s="5">
        <v>3060230973</v>
      </c>
      <c r="Q279" s="5">
        <v>30602309730</v>
      </c>
      <c r="R279" s="5" t="s">
        <v>2763</v>
      </c>
      <c r="S279" s="5"/>
      <c r="T279" s="5" t="s">
        <v>2764</v>
      </c>
      <c r="U279" s="5" t="s">
        <v>2765</v>
      </c>
      <c r="V279" s="5" t="s">
        <v>2766</v>
      </c>
      <c r="W279" s="5" t="s">
        <v>2767</v>
      </c>
      <c r="X279" s="5"/>
      <c r="Y279" s="5" t="s">
        <v>2768</v>
      </c>
      <c r="Z279" s="5" t="s">
        <v>2769</v>
      </c>
      <c r="AA279" s="8">
        <v>45852</v>
      </c>
      <c r="AB279" s="5" t="s">
        <v>181</v>
      </c>
      <c r="AC279" s="5" t="s">
        <v>2769</v>
      </c>
      <c r="AD279" s="8">
        <v>45853</v>
      </c>
      <c r="AE279" s="5">
        <v>600000</v>
      </c>
      <c r="AF279" s="5">
        <v>200000</v>
      </c>
      <c r="AG279" s="5">
        <v>400000</v>
      </c>
      <c r="AH279" s="5">
        <v>600000</v>
      </c>
      <c r="AI279" s="8">
        <v>45868</v>
      </c>
      <c r="AJ279" s="5">
        <v>200000</v>
      </c>
      <c r="AK279" s="9">
        <v>45898</v>
      </c>
      <c r="AL279" s="5">
        <v>400000</v>
      </c>
      <c r="AM279" s="5"/>
    </row>
    <row r="280" spans="1:39" x14ac:dyDescent="0.3">
      <c r="A280" s="5" t="s">
        <v>2770</v>
      </c>
      <c r="B280" s="5">
        <v>2025</v>
      </c>
      <c r="C280" s="5" t="s">
        <v>40</v>
      </c>
      <c r="D280" s="5" t="s">
        <v>2759</v>
      </c>
      <c r="E280" s="5" t="s">
        <v>1322</v>
      </c>
      <c r="F280" s="5" t="s">
        <v>2771</v>
      </c>
      <c r="G280" s="7">
        <v>151</v>
      </c>
      <c r="H280" s="7" t="s">
        <v>2772</v>
      </c>
      <c r="I280" s="8">
        <v>45838</v>
      </c>
      <c r="J280" s="8">
        <v>45838</v>
      </c>
      <c r="K280" s="5"/>
      <c r="L280" s="5" t="s">
        <v>181</v>
      </c>
      <c r="M280" s="5" t="s">
        <v>1322</v>
      </c>
      <c r="N280" s="5" t="s">
        <v>2773</v>
      </c>
      <c r="O280" s="5">
        <v>9</v>
      </c>
      <c r="P280" s="5">
        <v>1462300950</v>
      </c>
      <c r="Q280" s="5">
        <v>14623009500</v>
      </c>
      <c r="R280" s="5" t="s">
        <v>2774</v>
      </c>
      <c r="S280" s="5"/>
      <c r="T280" s="5" t="s">
        <v>2775</v>
      </c>
      <c r="U280" s="5" t="s">
        <v>2776</v>
      </c>
      <c r="V280" s="5" t="s">
        <v>2777</v>
      </c>
      <c r="W280" s="5" t="s">
        <v>2774</v>
      </c>
      <c r="X280" s="5" t="s">
        <v>78</v>
      </c>
      <c r="Y280" s="5" t="s">
        <v>2778</v>
      </c>
      <c r="Z280" s="5" t="s">
        <v>2779</v>
      </c>
      <c r="AA280" s="8">
        <v>45852</v>
      </c>
      <c r="AB280" s="5" t="s">
        <v>181</v>
      </c>
      <c r="AC280" s="5" t="s">
        <v>2779</v>
      </c>
      <c r="AD280" s="8">
        <v>45853</v>
      </c>
      <c r="AE280" s="5">
        <v>600000</v>
      </c>
      <c r="AF280" s="5">
        <v>200000</v>
      </c>
      <c r="AG280" s="5">
        <v>400000</v>
      </c>
      <c r="AH280" s="5">
        <v>600000</v>
      </c>
      <c r="AI280" s="8">
        <v>45854</v>
      </c>
      <c r="AJ280" s="5">
        <v>200000</v>
      </c>
      <c r="AK280" s="9">
        <v>45898</v>
      </c>
      <c r="AL280" s="5">
        <v>400000</v>
      </c>
      <c r="AM280" s="5"/>
    </row>
    <row r="281" spans="1:39" x14ac:dyDescent="0.3">
      <c r="A281" s="5" t="s">
        <v>2780</v>
      </c>
      <c r="B281" s="5">
        <v>2025</v>
      </c>
      <c r="C281" s="5" t="s">
        <v>40</v>
      </c>
      <c r="D281" s="5" t="s">
        <v>94</v>
      </c>
      <c r="E281" s="5" t="s">
        <v>1322</v>
      </c>
      <c r="F281" s="5" t="s">
        <v>2781</v>
      </c>
      <c r="G281" s="7">
        <v>152</v>
      </c>
      <c r="H281" s="7" t="s">
        <v>2772</v>
      </c>
      <c r="I281" s="8">
        <v>45838</v>
      </c>
      <c r="J281" s="8">
        <v>45838</v>
      </c>
      <c r="K281" s="5"/>
      <c r="L281" s="5" t="s">
        <v>46</v>
      </c>
      <c r="M281" s="5" t="s">
        <v>1322</v>
      </c>
      <c r="N281" s="5" t="s">
        <v>2782</v>
      </c>
      <c r="O281" s="5">
        <v>3</v>
      </c>
      <c r="P281" s="5">
        <v>2391001800</v>
      </c>
      <c r="Q281" s="5">
        <v>23910018000</v>
      </c>
      <c r="R281" s="5" t="s">
        <v>2783</v>
      </c>
      <c r="S281" s="5"/>
      <c r="T281" s="5" t="s">
        <v>2784</v>
      </c>
      <c r="U281" s="5" t="s">
        <v>2785</v>
      </c>
      <c r="V281" s="5" t="s">
        <v>2786</v>
      </c>
      <c r="W281" s="5" t="s">
        <v>2783</v>
      </c>
      <c r="X281" s="5" t="s">
        <v>78</v>
      </c>
      <c r="Y281" s="5" t="s">
        <v>2787</v>
      </c>
      <c r="Z281" s="5" t="s">
        <v>2788</v>
      </c>
      <c r="AA281" s="8">
        <v>45852</v>
      </c>
      <c r="AB281" s="5" t="s">
        <v>181</v>
      </c>
      <c r="AC281" s="5" t="s">
        <v>2788</v>
      </c>
      <c r="AD281" s="8">
        <v>45853</v>
      </c>
      <c r="AE281" s="5">
        <v>600000</v>
      </c>
      <c r="AF281" s="5">
        <v>200000</v>
      </c>
      <c r="AG281" s="5">
        <v>400000</v>
      </c>
      <c r="AH281" s="5">
        <v>400000</v>
      </c>
      <c r="AI281" s="8"/>
      <c r="AJ281" s="5">
        <v>0</v>
      </c>
      <c r="AK281" s="9">
        <v>45898</v>
      </c>
      <c r="AL281" s="5">
        <v>400000</v>
      </c>
      <c r="AM281" s="5"/>
    </row>
    <row r="282" spans="1:39" x14ac:dyDescent="0.3">
      <c r="A282" s="5" t="s">
        <v>2789</v>
      </c>
      <c r="B282" s="5">
        <v>2025</v>
      </c>
      <c r="C282" s="5" t="s">
        <v>40</v>
      </c>
      <c r="D282" s="5" t="s">
        <v>71</v>
      </c>
      <c r="E282" s="5" t="s">
        <v>2790</v>
      </c>
      <c r="F282" s="5" t="s">
        <v>2791</v>
      </c>
      <c r="G282" s="7">
        <v>1</v>
      </c>
      <c r="H282" s="7" t="s">
        <v>44</v>
      </c>
      <c r="I282" s="8">
        <v>45707</v>
      </c>
      <c r="J282" s="8">
        <v>45707</v>
      </c>
      <c r="K282" s="5"/>
      <c r="L282" s="5" t="s">
        <v>73</v>
      </c>
      <c r="M282" s="5" t="s">
        <v>2790</v>
      </c>
      <c r="N282" s="5" t="s">
        <v>2792</v>
      </c>
      <c r="O282" s="5">
        <v>120</v>
      </c>
      <c r="P282" s="5">
        <v>1318628077</v>
      </c>
      <c r="Q282" s="5">
        <v>13186280770</v>
      </c>
      <c r="R282" s="5" t="s">
        <v>2793</v>
      </c>
      <c r="S282" s="5"/>
      <c r="T282" s="5" t="s">
        <v>2794</v>
      </c>
      <c r="U282" s="5" t="s">
        <v>2795</v>
      </c>
      <c r="V282" s="5" t="s">
        <v>2796</v>
      </c>
      <c r="W282" s="5" t="s">
        <v>2797</v>
      </c>
      <c r="X282" s="5" t="s">
        <v>2798</v>
      </c>
      <c r="Y282" s="5" t="s">
        <v>2799</v>
      </c>
      <c r="Z282" s="5" t="s">
        <v>2800</v>
      </c>
      <c r="AA282" s="8">
        <v>45735</v>
      </c>
      <c r="AB282" s="5" t="s">
        <v>73</v>
      </c>
      <c r="AC282" s="5" t="s">
        <v>2800</v>
      </c>
      <c r="AD282" s="8">
        <v>45707</v>
      </c>
      <c r="AE282" s="5">
        <v>2200000</v>
      </c>
      <c r="AF282" s="5">
        <v>2200000</v>
      </c>
      <c r="AG282" s="5">
        <v>0</v>
      </c>
      <c r="AH282" s="5"/>
      <c r="AI282" s="8">
        <v>45715</v>
      </c>
      <c r="AJ282" s="5">
        <v>2200000</v>
      </c>
      <c r="AK282" s="9" t="s">
        <v>56</v>
      </c>
      <c r="AL282" s="5">
        <v>0</v>
      </c>
      <c r="AM282" s="5"/>
    </row>
    <row r="283" spans="1:39" x14ac:dyDescent="0.3">
      <c r="A283" s="5" t="s">
        <v>2801</v>
      </c>
      <c r="B283" s="5">
        <v>2025</v>
      </c>
      <c r="C283" s="5" t="s">
        <v>40</v>
      </c>
      <c r="D283" s="5" t="s">
        <v>71</v>
      </c>
      <c r="E283" s="5" t="s">
        <v>2790</v>
      </c>
      <c r="F283" s="5" t="s">
        <v>2802</v>
      </c>
      <c r="G283" s="7">
        <v>2</v>
      </c>
      <c r="H283" s="7" t="s">
        <v>60</v>
      </c>
      <c r="I283" s="8">
        <v>45713</v>
      </c>
      <c r="J283" s="8">
        <v>45713</v>
      </c>
      <c r="K283" s="5"/>
      <c r="L283" s="5" t="s">
        <v>46</v>
      </c>
      <c r="M283" s="5" t="s">
        <v>2790</v>
      </c>
      <c r="N283" s="5" t="s">
        <v>2803</v>
      </c>
      <c r="O283" s="5">
        <v>10</v>
      </c>
      <c r="P283" s="5">
        <v>3258101192</v>
      </c>
      <c r="Q283" s="5">
        <v>32581011920</v>
      </c>
      <c r="R283" s="5" t="s">
        <v>2804</v>
      </c>
      <c r="S283" s="5"/>
      <c r="T283" s="5" t="s">
        <v>2794</v>
      </c>
      <c r="U283" s="5" t="s">
        <v>2795</v>
      </c>
      <c r="V283" s="5" t="s">
        <v>2796</v>
      </c>
      <c r="W283" s="5" t="s">
        <v>2797</v>
      </c>
      <c r="X283" s="5" t="s">
        <v>2798</v>
      </c>
      <c r="Y283" s="5" t="s">
        <v>2799</v>
      </c>
      <c r="Z283" s="5" t="s">
        <v>2800</v>
      </c>
      <c r="AA283" s="8">
        <v>45735</v>
      </c>
      <c r="AB283" s="5" t="s">
        <v>73</v>
      </c>
      <c r="AC283" s="5" t="s">
        <v>2800</v>
      </c>
      <c r="AD283" s="8">
        <v>45707</v>
      </c>
      <c r="AE283" s="5">
        <v>1400000</v>
      </c>
      <c r="AF283" s="5">
        <v>1000000</v>
      </c>
      <c r="AG283" s="5">
        <v>400000</v>
      </c>
      <c r="AH283" s="5"/>
      <c r="AI283" s="8">
        <v>45726</v>
      </c>
      <c r="AJ283" s="5">
        <v>1000000</v>
      </c>
      <c r="AK283" s="9">
        <v>45770</v>
      </c>
      <c r="AL283" s="5">
        <v>400000</v>
      </c>
      <c r="AM283" s="5"/>
    </row>
    <row r="284" spans="1:39" x14ac:dyDescent="0.3">
      <c r="A284" s="5" t="s">
        <v>2805</v>
      </c>
      <c r="B284" s="5">
        <v>2025</v>
      </c>
      <c r="C284" s="5" t="s">
        <v>40</v>
      </c>
      <c r="D284" s="5" t="s">
        <v>191</v>
      </c>
      <c r="E284" s="5" t="s">
        <v>2790</v>
      </c>
      <c r="F284" s="5" t="s">
        <v>2806</v>
      </c>
      <c r="G284" s="7">
        <v>3</v>
      </c>
      <c r="H284" s="7" t="s">
        <v>83</v>
      </c>
      <c r="I284" s="8">
        <v>45713</v>
      </c>
      <c r="J284" s="8">
        <v>45713</v>
      </c>
      <c r="K284" s="5"/>
      <c r="L284" s="5" t="s">
        <v>73</v>
      </c>
      <c r="M284" s="5" t="s">
        <v>2790</v>
      </c>
      <c r="N284" s="5" t="s">
        <v>2807</v>
      </c>
      <c r="O284" s="5">
        <v>10</v>
      </c>
      <c r="P284" s="5">
        <v>2298602864</v>
      </c>
      <c r="Q284" s="5">
        <v>22986028640</v>
      </c>
      <c r="R284" s="5" t="s">
        <v>2808</v>
      </c>
      <c r="S284" s="5"/>
      <c r="T284" s="5" t="s">
        <v>2809</v>
      </c>
      <c r="U284" s="5" t="s">
        <v>2810</v>
      </c>
      <c r="V284" s="5"/>
      <c r="W284" s="5" t="s">
        <v>2811</v>
      </c>
      <c r="X284" s="5" t="s">
        <v>532</v>
      </c>
      <c r="Y284" s="5" t="s">
        <v>2812</v>
      </c>
      <c r="Z284" s="5" t="s">
        <v>2813</v>
      </c>
      <c r="AA284" s="8">
        <v>45741</v>
      </c>
      <c r="AB284" s="5" t="s">
        <v>73</v>
      </c>
      <c r="AC284" s="5" t="s">
        <v>2813</v>
      </c>
      <c r="AD284" s="8">
        <v>45741</v>
      </c>
      <c r="AE284" s="5">
        <v>811890</v>
      </c>
      <c r="AF284" s="5">
        <v>100000</v>
      </c>
      <c r="AG284" s="5">
        <v>711890</v>
      </c>
      <c r="AH284" s="5"/>
      <c r="AI284" s="8">
        <v>45747</v>
      </c>
      <c r="AJ284" s="5">
        <v>100000</v>
      </c>
      <c r="AK284" s="9">
        <v>45770</v>
      </c>
      <c r="AL284" s="5">
        <v>711890</v>
      </c>
      <c r="AM284" s="5"/>
    </row>
    <row r="285" spans="1:39" x14ac:dyDescent="0.3">
      <c r="A285" s="5" t="s">
        <v>2814</v>
      </c>
      <c r="B285" s="5">
        <v>2025</v>
      </c>
      <c r="C285" s="5" t="s">
        <v>40</v>
      </c>
      <c r="D285" s="5"/>
      <c r="E285" s="5" t="s">
        <v>2790</v>
      </c>
      <c r="F285" s="5" t="s">
        <v>2815</v>
      </c>
      <c r="G285" s="7">
        <v>4</v>
      </c>
      <c r="H285" s="7" t="s">
        <v>96</v>
      </c>
      <c r="I285" s="8">
        <v>45736</v>
      </c>
      <c r="J285" s="8">
        <v>45736</v>
      </c>
      <c r="K285" s="5"/>
      <c r="L285" s="5" t="s">
        <v>73</v>
      </c>
      <c r="M285" s="5" t="s">
        <v>2790</v>
      </c>
      <c r="N285" s="5" t="s">
        <v>2816</v>
      </c>
      <c r="O285" s="5">
        <v>29</v>
      </c>
      <c r="P285" s="5">
        <v>1198195310</v>
      </c>
      <c r="Q285" s="5">
        <v>11981953100</v>
      </c>
      <c r="R285" s="5" t="s">
        <v>2817</v>
      </c>
      <c r="S285" s="5"/>
      <c r="T285" s="5" t="s">
        <v>2818</v>
      </c>
      <c r="U285" s="5" t="s">
        <v>2819</v>
      </c>
      <c r="V285" s="5" t="s">
        <v>2820</v>
      </c>
      <c r="W285" s="5" t="s">
        <v>2821</v>
      </c>
      <c r="X285" s="5"/>
      <c r="Y285" s="5" t="s">
        <v>2822</v>
      </c>
      <c r="Z285" s="5" t="s">
        <v>2823</v>
      </c>
      <c r="AA285" s="8">
        <v>45758</v>
      </c>
      <c r="AB285" s="5" t="s">
        <v>218</v>
      </c>
      <c r="AC285" s="5" t="s">
        <v>2824</v>
      </c>
      <c r="AD285" s="8">
        <v>45758</v>
      </c>
      <c r="AE285" s="5">
        <v>1250000</v>
      </c>
      <c r="AF285" s="5">
        <v>850000</v>
      </c>
      <c r="AG285" s="5">
        <v>400000</v>
      </c>
      <c r="AH285" s="5"/>
      <c r="AI285" s="8">
        <v>45763</v>
      </c>
      <c r="AJ285" s="5">
        <v>850000</v>
      </c>
      <c r="AK285" s="9">
        <v>45786</v>
      </c>
      <c r="AL285" s="5">
        <v>400000</v>
      </c>
      <c r="AM285" s="5"/>
    </row>
    <row r="286" spans="1:39" x14ac:dyDescent="0.3">
      <c r="A286" s="5" t="s">
        <v>2825</v>
      </c>
      <c r="B286" s="5">
        <v>2025</v>
      </c>
      <c r="C286" s="5" t="s">
        <v>40</v>
      </c>
      <c r="D286" s="5"/>
      <c r="E286" s="5" t="s">
        <v>2790</v>
      </c>
      <c r="F286" s="5" t="s">
        <v>2826</v>
      </c>
      <c r="G286" s="7">
        <v>5</v>
      </c>
      <c r="H286" s="7" t="s">
        <v>106</v>
      </c>
      <c r="I286" s="8">
        <v>45736</v>
      </c>
      <c r="J286" s="8">
        <v>45736</v>
      </c>
      <c r="K286" s="5"/>
      <c r="L286" s="5" t="s">
        <v>218</v>
      </c>
      <c r="M286" s="5" t="s">
        <v>2790</v>
      </c>
      <c r="N286" s="5" t="s">
        <v>2827</v>
      </c>
      <c r="O286" s="5">
        <v>30</v>
      </c>
      <c r="P286" s="5">
        <v>2180124712</v>
      </c>
      <c r="Q286" s="5">
        <v>21801247120</v>
      </c>
      <c r="R286" s="5" t="s">
        <v>2828</v>
      </c>
      <c r="S286" s="5"/>
      <c r="T286" s="5" t="s">
        <v>2818</v>
      </c>
      <c r="U286" s="5" t="s">
        <v>2819</v>
      </c>
      <c r="V286" s="5" t="s">
        <v>2820</v>
      </c>
      <c r="W286" s="5" t="s">
        <v>2821</v>
      </c>
      <c r="X286" s="5"/>
      <c r="Y286" s="5" t="s">
        <v>2822</v>
      </c>
      <c r="Z286" s="5" t="s">
        <v>2823</v>
      </c>
      <c r="AA286" s="8">
        <v>45758</v>
      </c>
      <c r="AB286" s="5" t="s">
        <v>218</v>
      </c>
      <c r="AC286" s="5" t="s">
        <v>2824</v>
      </c>
      <c r="AD286" s="8">
        <v>45758</v>
      </c>
      <c r="AE286" s="5">
        <v>1250000</v>
      </c>
      <c r="AF286" s="5">
        <v>850000</v>
      </c>
      <c r="AG286" s="5">
        <v>400000</v>
      </c>
      <c r="AH286" s="5"/>
      <c r="AI286" s="8">
        <v>45763</v>
      </c>
      <c r="AJ286" s="5">
        <v>850000</v>
      </c>
      <c r="AK286" s="9">
        <v>45786</v>
      </c>
      <c r="AL286" s="5">
        <v>400000</v>
      </c>
      <c r="AM286" s="5"/>
    </row>
    <row r="287" spans="1:39" x14ac:dyDescent="0.3">
      <c r="A287" s="5" t="s">
        <v>2829</v>
      </c>
      <c r="B287" s="5">
        <v>2025</v>
      </c>
      <c r="C287" s="5" t="s">
        <v>40</v>
      </c>
      <c r="D287" s="5" t="s">
        <v>228</v>
      </c>
      <c r="E287" s="5" t="s">
        <v>2790</v>
      </c>
      <c r="F287" s="5" t="s">
        <v>2830</v>
      </c>
      <c r="G287" s="7">
        <v>6</v>
      </c>
      <c r="H287" s="7" t="s">
        <v>117</v>
      </c>
      <c r="I287" s="8">
        <v>45757</v>
      </c>
      <c r="J287" s="8">
        <v>45757</v>
      </c>
      <c r="K287" s="5"/>
      <c r="L287" s="5" t="s">
        <v>218</v>
      </c>
      <c r="M287" s="5" t="s">
        <v>2790</v>
      </c>
      <c r="N287" s="5" t="s">
        <v>2831</v>
      </c>
      <c r="O287" s="5">
        <v>19</v>
      </c>
      <c r="P287" s="5">
        <v>1258134604</v>
      </c>
      <c r="Q287" s="5">
        <v>12581346040</v>
      </c>
      <c r="R287" s="5" t="s">
        <v>571</v>
      </c>
      <c r="S287" s="5"/>
      <c r="T287" s="5" t="s">
        <v>2832</v>
      </c>
      <c r="U287" s="5" t="s">
        <v>573</v>
      </c>
      <c r="V287" s="5" t="s">
        <v>2833</v>
      </c>
      <c r="W287" s="5" t="s">
        <v>574</v>
      </c>
      <c r="X287" s="5" t="s">
        <v>178</v>
      </c>
      <c r="Y287" s="5" t="s">
        <v>575</v>
      </c>
      <c r="Z287" s="5" t="s">
        <v>576</v>
      </c>
      <c r="AA287" s="8">
        <v>45785</v>
      </c>
      <c r="AB287" s="5" t="s">
        <v>218</v>
      </c>
      <c r="AC287" s="5" t="s">
        <v>576</v>
      </c>
      <c r="AD287" s="8">
        <v>45790</v>
      </c>
      <c r="AE287" s="5">
        <v>600000</v>
      </c>
      <c r="AF287" s="5">
        <v>600000</v>
      </c>
      <c r="AG287" s="5">
        <v>0</v>
      </c>
      <c r="AH287" s="5"/>
      <c r="AI287" s="8">
        <v>45791</v>
      </c>
      <c r="AJ287" s="5">
        <v>600000</v>
      </c>
      <c r="AK287" s="9" t="s">
        <v>56</v>
      </c>
      <c r="AL287" s="5">
        <v>0</v>
      </c>
      <c r="AM287" s="5"/>
    </row>
    <row r="288" spans="1:39" x14ac:dyDescent="0.3">
      <c r="A288" s="5" t="s">
        <v>2834</v>
      </c>
      <c r="B288" s="5">
        <v>2025</v>
      </c>
      <c r="C288" s="5" t="s">
        <v>40</v>
      </c>
      <c r="D288" s="5" t="s">
        <v>2835</v>
      </c>
      <c r="E288" s="5" t="s">
        <v>2790</v>
      </c>
      <c r="F288" s="5" t="s">
        <v>2836</v>
      </c>
      <c r="G288" s="7">
        <v>7</v>
      </c>
      <c r="H288" s="7" t="s">
        <v>128</v>
      </c>
      <c r="I288" s="8">
        <v>45800</v>
      </c>
      <c r="J288" s="8">
        <v>45800</v>
      </c>
      <c r="K288" s="5"/>
      <c r="L288" s="5" t="s">
        <v>73</v>
      </c>
      <c r="M288" s="5" t="s">
        <v>2790</v>
      </c>
      <c r="N288" s="5" t="s">
        <v>2837</v>
      </c>
      <c r="O288" s="5">
        <v>34</v>
      </c>
      <c r="P288" s="5">
        <v>1088201221</v>
      </c>
      <c r="Q288" s="5">
        <v>10882012210</v>
      </c>
      <c r="R288" s="5" t="s">
        <v>2838</v>
      </c>
      <c r="S288" s="5"/>
      <c r="T288" s="5" t="s">
        <v>2839</v>
      </c>
      <c r="U288" s="5" t="s">
        <v>2840</v>
      </c>
      <c r="V288" s="5" t="s">
        <v>2841</v>
      </c>
      <c r="W288" s="5" t="s">
        <v>2842</v>
      </c>
      <c r="X288" s="5"/>
      <c r="Y288" s="5" t="s">
        <v>2843</v>
      </c>
      <c r="Z288" s="5" t="s">
        <v>2844</v>
      </c>
      <c r="AA288" s="8">
        <v>45828</v>
      </c>
      <c r="AB288" s="5" t="s">
        <v>73</v>
      </c>
      <c r="AC288" s="5" t="s">
        <v>2844</v>
      </c>
      <c r="AD288" s="8">
        <v>45828</v>
      </c>
      <c r="AE288" s="5">
        <v>2400000</v>
      </c>
      <c r="AF288" s="5">
        <v>2400000</v>
      </c>
      <c r="AG288" s="5">
        <v>0</v>
      </c>
      <c r="AH288" s="5"/>
      <c r="AI288" s="8">
        <v>45854</v>
      </c>
      <c r="AJ288" s="5">
        <v>2400000</v>
      </c>
      <c r="AK288" s="9" t="s">
        <v>56</v>
      </c>
      <c r="AL288" s="5">
        <v>0</v>
      </c>
      <c r="AM288" s="5"/>
    </row>
    <row r="289" spans="1:39" x14ac:dyDescent="0.3">
      <c r="A289" s="5" t="s">
        <v>2845</v>
      </c>
      <c r="B289" s="5">
        <v>2025</v>
      </c>
      <c r="C289" s="5" t="s">
        <v>40</v>
      </c>
      <c r="D289" s="5" t="s">
        <v>446</v>
      </c>
      <c r="E289" s="5" t="s">
        <v>2790</v>
      </c>
      <c r="F289" s="5" t="s">
        <v>2846</v>
      </c>
      <c r="G289" s="7">
        <v>8</v>
      </c>
      <c r="H289" s="7" t="s">
        <v>139</v>
      </c>
      <c r="I289" s="8">
        <v>45817</v>
      </c>
      <c r="J289" s="8">
        <v>45821</v>
      </c>
      <c r="K289" s="5"/>
      <c r="L289" s="5" t="s">
        <v>2847</v>
      </c>
      <c r="M289" s="5" t="s">
        <v>2790</v>
      </c>
      <c r="N289" s="5" t="s">
        <v>2848</v>
      </c>
      <c r="O289" s="5">
        <v>95</v>
      </c>
      <c r="P289" s="5">
        <v>1258300530</v>
      </c>
      <c r="Q289" s="5">
        <v>90700144261</v>
      </c>
      <c r="R289" s="5" t="s">
        <v>2849</v>
      </c>
      <c r="S289" s="5"/>
      <c r="T289" s="5" t="s">
        <v>2850</v>
      </c>
      <c r="U289" s="5" t="s">
        <v>2851</v>
      </c>
      <c r="V289" s="5"/>
      <c r="W289" s="5" t="s">
        <v>2852</v>
      </c>
      <c r="X289" s="5" t="s">
        <v>947</v>
      </c>
      <c r="Y289" s="5" t="s">
        <v>2853</v>
      </c>
      <c r="Z289" s="5" t="s">
        <v>2854</v>
      </c>
      <c r="AA289" s="8">
        <v>45846</v>
      </c>
      <c r="AB289" s="5" t="s">
        <v>73</v>
      </c>
      <c r="AC289" s="5" t="s">
        <v>2855</v>
      </c>
      <c r="AD289" s="8">
        <v>45853</v>
      </c>
      <c r="AE289" s="5">
        <v>3400000</v>
      </c>
      <c r="AF289" s="5">
        <v>3400000</v>
      </c>
      <c r="AG289" s="5">
        <v>0</v>
      </c>
      <c r="AH289" s="5"/>
      <c r="AI289" s="8">
        <v>45853</v>
      </c>
      <c r="AJ289" s="5">
        <v>3400000</v>
      </c>
      <c r="AK289" s="9" t="s">
        <v>56</v>
      </c>
      <c r="AL289" s="5">
        <v>0</v>
      </c>
      <c r="AM289" s="5"/>
    </row>
    <row r="290" spans="1:39" x14ac:dyDescent="0.3">
      <c r="A290" s="5" t="s">
        <v>2856</v>
      </c>
      <c r="B290" s="5">
        <v>2025</v>
      </c>
      <c r="C290" s="5" t="s">
        <v>40</v>
      </c>
      <c r="D290" s="5"/>
      <c r="E290" s="5" t="s">
        <v>2790</v>
      </c>
      <c r="F290" s="5" t="s">
        <v>2857</v>
      </c>
      <c r="G290" s="7">
        <v>9</v>
      </c>
      <c r="H290" s="7" t="s">
        <v>148</v>
      </c>
      <c r="I290" s="8">
        <v>45820</v>
      </c>
      <c r="J290" s="8">
        <v>45820</v>
      </c>
      <c r="K290" s="5"/>
      <c r="L290" s="5" t="s">
        <v>181</v>
      </c>
      <c r="M290" s="5" t="s">
        <v>2790</v>
      </c>
      <c r="N290" s="5" t="s">
        <v>2858</v>
      </c>
      <c r="O290" s="5">
        <v>15</v>
      </c>
      <c r="P290" s="5">
        <v>1198130845</v>
      </c>
      <c r="Q290" s="5">
        <v>90901157901</v>
      </c>
      <c r="R290" s="5" t="s">
        <v>1067</v>
      </c>
      <c r="S290" s="5"/>
      <c r="T290" s="5" t="s">
        <v>2859</v>
      </c>
      <c r="U290" s="5" t="s">
        <v>1079</v>
      </c>
      <c r="V290" s="5" t="s">
        <v>2860</v>
      </c>
      <c r="W290" s="5" t="s">
        <v>2861</v>
      </c>
      <c r="X290" s="5"/>
      <c r="Y290" s="5" t="s">
        <v>2862</v>
      </c>
      <c r="Z290" s="5" t="s">
        <v>2863</v>
      </c>
      <c r="AA290" s="8">
        <v>45842</v>
      </c>
      <c r="AB290" s="5" t="s">
        <v>181</v>
      </c>
      <c r="AC290" s="5"/>
      <c r="AD290" s="8"/>
      <c r="AE290" s="5">
        <v>0</v>
      </c>
      <c r="AF290" s="5"/>
      <c r="AG290" s="5"/>
      <c r="AH290" s="5">
        <v>0</v>
      </c>
      <c r="AI290" s="8"/>
      <c r="AJ290" s="5"/>
      <c r="AK290" s="9"/>
      <c r="AL290" s="5"/>
      <c r="AM290" s="5"/>
    </row>
    <row r="291" spans="1:39" x14ac:dyDescent="0.3">
      <c r="A291" s="5" t="s">
        <v>2864</v>
      </c>
      <c r="B291" s="5">
        <v>2025</v>
      </c>
      <c r="C291" s="5" t="s">
        <v>40</v>
      </c>
      <c r="D291" s="5" t="s">
        <v>191</v>
      </c>
      <c r="E291" s="5" t="s">
        <v>2790</v>
      </c>
      <c r="F291" s="5" t="s">
        <v>2865</v>
      </c>
      <c r="G291" s="7">
        <v>10</v>
      </c>
      <c r="H291" s="7" t="s">
        <v>148</v>
      </c>
      <c r="I291" s="8">
        <v>45827</v>
      </c>
      <c r="J291" s="8">
        <v>45827</v>
      </c>
      <c r="K291" s="5"/>
      <c r="L291" s="5" t="s">
        <v>218</v>
      </c>
      <c r="M291" s="5" t="s">
        <v>2790</v>
      </c>
      <c r="N291" s="5" t="s">
        <v>2866</v>
      </c>
      <c r="O291" s="5">
        <v>2</v>
      </c>
      <c r="P291" s="5">
        <v>1838602229</v>
      </c>
      <c r="Q291" s="5">
        <v>92232429351</v>
      </c>
      <c r="R291" s="5" t="s">
        <v>865</v>
      </c>
      <c r="S291" s="5"/>
      <c r="T291" s="5" t="s">
        <v>2867</v>
      </c>
      <c r="U291" s="5" t="s">
        <v>1160</v>
      </c>
      <c r="V291" s="5" t="s">
        <v>2868</v>
      </c>
      <c r="W291" s="5" t="s">
        <v>2869</v>
      </c>
      <c r="X291" s="5" t="s">
        <v>491</v>
      </c>
      <c r="Y291" s="5" t="s">
        <v>2870</v>
      </c>
      <c r="Z291" s="5" t="s">
        <v>859</v>
      </c>
      <c r="AA291" s="8">
        <v>45842</v>
      </c>
      <c r="AB291" s="5" t="s">
        <v>218</v>
      </c>
      <c r="AC291" s="5" t="s">
        <v>859</v>
      </c>
      <c r="AD291" s="8">
        <v>45854</v>
      </c>
      <c r="AE291" s="5">
        <v>500000</v>
      </c>
      <c r="AF291" s="5">
        <v>500000</v>
      </c>
      <c r="AG291" s="5">
        <v>0</v>
      </c>
      <c r="AH291" s="5"/>
      <c r="AI291" s="8">
        <v>45890</v>
      </c>
      <c r="AJ291" s="5">
        <v>500000</v>
      </c>
      <c r="AK291" s="9" t="s">
        <v>56</v>
      </c>
      <c r="AL291" s="5">
        <v>0</v>
      </c>
      <c r="AM291" s="5"/>
    </row>
  </sheetData>
  <autoFilter ref="A2:AM291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D11B-5E79-446A-85FE-D1B86E6D375F}">
  <sheetPr>
    <tabColor theme="6" tint="-0.249977111117893"/>
  </sheetPr>
  <dimension ref="A1:AM212"/>
  <sheetViews>
    <sheetView zoomScale="85" zoomScaleNormal="85" workbookViewId="0">
      <pane ySplit="2" topLeftCell="A184" activePane="bottomLeft" state="frozen"/>
      <selection activeCell="C290" sqref="C290"/>
      <selection pane="bottomLeft" activeCell="D210" sqref="D210"/>
    </sheetView>
  </sheetViews>
  <sheetFormatPr defaultRowHeight="17.25" x14ac:dyDescent="0.3"/>
  <cols>
    <col min="1" max="3" width="12.125" style="3" customWidth="1"/>
    <col min="4" max="4" width="37.875" style="3" bestFit="1" customWidth="1"/>
    <col min="5" max="5" width="7" style="3" customWidth="1"/>
    <col min="6" max="6" width="14.375" style="3" customWidth="1"/>
    <col min="7" max="7" width="9.75" style="12" bestFit="1" customWidth="1"/>
    <col min="8" max="8" width="18.625" style="12" bestFit="1" customWidth="1"/>
    <col min="9" max="10" width="14.375" style="3" customWidth="1"/>
    <col min="11" max="11" width="12.125" style="3" customWidth="1"/>
    <col min="12" max="12" width="17.75" style="3" customWidth="1"/>
    <col min="13" max="13" width="16.75" style="3" bestFit="1" customWidth="1"/>
    <col min="14" max="14" width="29" style="3" customWidth="1"/>
    <col min="15" max="15" width="12.125" style="3" customWidth="1"/>
    <col min="16" max="18" width="17.75" style="3" customWidth="1"/>
    <col min="19" max="19" width="14.375" style="3" customWidth="1"/>
    <col min="20" max="20" width="88.625" style="3" bestFit="1" customWidth="1"/>
    <col min="21" max="23" width="17.75" style="3" customWidth="1"/>
    <col min="24" max="24" width="14.375" style="3" customWidth="1"/>
    <col min="25" max="25" width="17.75" style="3" customWidth="1"/>
    <col min="26" max="26" width="29" style="3" customWidth="1"/>
    <col min="27" max="27" width="14.375" style="3" customWidth="1"/>
    <col min="28" max="28" width="17.75" style="3" customWidth="1"/>
    <col min="29" max="29" width="29" style="3" customWidth="1"/>
    <col min="30" max="34" width="17.75" style="3" customWidth="1"/>
    <col min="35" max="35" width="14.375" style="3" customWidth="1"/>
    <col min="36" max="36" width="17.75" style="3" customWidth="1"/>
    <col min="37" max="37" width="14.375" style="3" customWidth="1"/>
    <col min="38" max="38" width="17.75" style="3" customWidth="1"/>
    <col min="39" max="39" width="34.625" style="3" customWidth="1"/>
    <col min="40" max="16384" width="9" style="3"/>
  </cols>
  <sheetData>
    <row r="1" spans="1:39" x14ac:dyDescent="0.3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  <c r="V1" s="3">
        <v>22</v>
      </c>
      <c r="W1" s="3">
        <v>23</v>
      </c>
      <c r="X1" s="3">
        <v>24</v>
      </c>
      <c r="Y1" s="3">
        <v>25</v>
      </c>
      <c r="Z1" s="3">
        <v>26</v>
      </c>
      <c r="AA1" s="3">
        <v>27</v>
      </c>
      <c r="AB1" s="3">
        <v>28</v>
      </c>
      <c r="AC1" s="3">
        <v>29</v>
      </c>
      <c r="AD1" s="3">
        <v>30</v>
      </c>
      <c r="AE1" s="3">
        <v>31</v>
      </c>
      <c r="AF1" s="3">
        <v>32</v>
      </c>
      <c r="AG1" s="3">
        <v>33</v>
      </c>
      <c r="AH1" s="3">
        <v>34</v>
      </c>
      <c r="AI1" s="3">
        <v>35</v>
      </c>
      <c r="AJ1" s="3">
        <v>36</v>
      </c>
      <c r="AK1" s="3">
        <v>37</v>
      </c>
      <c r="AL1" s="3">
        <v>38</v>
      </c>
      <c r="AM1" s="3">
        <v>39</v>
      </c>
    </row>
    <row r="2" spans="1:39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4" t="s">
        <v>6</v>
      </c>
      <c r="H2" s="14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3" t="s">
        <v>24</v>
      </c>
      <c r="Z2" s="13" t="s">
        <v>25</v>
      </c>
      <c r="AA2" s="13" t="s">
        <v>26</v>
      </c>
      <c r="AB2" s="13" t="s">
        <v>27</v>
      </c>
      <c r="AC2" s="13" t="s">
        <v>28</v>
      </c>
      <c r="AD2" s="13" t="s">
        <v>29</v>
      </c>
      <c r="AE2" s="15" t="s">
        <v>30</v>
      </c>
      <c r="AF2" s="13" t="s">
        <v>31</v>
      </c>
      <c r="AG2" s="13" t="s">
        <v>32</v>
      </c>
      <c r="AH2" s="15" t="s">
        <v>33</v>
      </c>
      <c r="AI2" s="13" t="s">
        <v>34</v>
      </c>
      <c r="AJ2" s="13" t="s">
        <v>35</v>
      </c>
      <c r="AK2" s="13" t="s">
        <v>36</v>
      </c>
      <c r="AL2" s="13" t="s">
        <v>37</v>
      </c>
      <c r="AM2" s="13" t="s">
        <v>38</v>
      </c>
    </row>
    <row r="3" spans="1:39" x14ac:dyDescent="0.3">
      <c r="A3" s="16" t="s">
        <v>727</v>
      </c>
      <c r="B3" s="17">
        <v>2025</v>
      </c>
      <c r="C3" s="17" t="s">
        <v>2871</v>
      </c>
      <c r="D3" s="17" t="s">
        <v>2872</v>
      </c>
      <c r="E3" s="17" t="s">
        <v>42</v>
      </c>
      <c r="F3" s="18" t="s">
        <v>2873</v>
      </c>
      <c r="G3" s="19">
        <v>65</v>
      </c>
      <c r="H3" s="19" t="s">
        <v>696</v>
      </c>
      <c r="I3" s="20">
        <v>45965</v>
      </c>
      <c r="J3" s="20">
        <v>45965</v>
      </c>
      <c r="K3" s="17"/>
      <c r="L3" s="17" t="s">
        <v>181</v>
      </c>
      <c r="M3" s="17" t="s">
        <v>42</v>
      </c>
      <c r="N3" s="17" t="s">
        <v>2874</v>
      </c>
      <c r="O3" s="17">
        <v>26</v>
      </c>
      <c r="P3" s="17">
        <v>3128118552</v>
      </c>
      <c r="Q3" s="17">
        <v>31281185526</v>
      </c>
      <c r="R3" s="17" t="s">
        <v>731</v>
      </c>
      <c r="S3" s="17"/>
      <c r="T3" s="17" t="s">
        <v>732</v>
      </c>
      <c r="U3" s="17" t="s">
        <v>733</v>
      </c>
      <c r="V3" s="17" t="s">
        <v>2875</v>
      </c>
      <c r="W3" s="17" t="s">
        <v>734</v>
      </c>
      <c r="X3" s="17" t="s">
        <v>89</v>
      </c>
      <c r="Y3" s="17" t="s">
        <v>735</v>
      </c>
      <c r="Z3" s="17" t="s">
        <v>736</v>
      </c>
      <c r="AA3" s="21">
        <v>45993</v>
      </c>
      <c r="AB3" s="17" t="s">
        <v>181</v>
      </c>
      <c r="AC3" s="17" t="s">
        <v>737</v>
      </c>
      <c r="AD3" s="20" t="s">
        <v>2876</v>
      </c>
      <c r="AE3" s="17">
        <v>1300000</v>
      </c>
      <c r="AF3" s="17">
        <v>900000</v>
      </c>
      <c r="AG3" s="17">
        <v>400000</v>
      </c>
      <c r="AH3" s="17">
        <v>700000</v>
      </c>
      <c r="AI3" s="21" t="s">
        <v>2876</v>
      </c>
      <c r="AJ3" s="17">
        <v>300000</v>
      </c>
      <c r="AK3" s="20">
        <v>46006</v>
      </c>
      <c r="AL3" s="17">
        <v>400000</v>
      </c>
      <c r="AM3" s="17" t="s">
        <v>2877</v>
      </c>
    </row>
    <row r="4" spans="1:39" x14ac:dyDescent="0.3">
      <c r="A4" s="16" t="s">
        <v>190</v>
      </c>
      <c r="B4" s="17">
        <v>2025</v>
      </c>
      <c r="C4" s="17" t="s">
        <v>2871</v>
      </c>
      <c r="D4" s="17" t="s">
        <v>2878</v>
      </c>
      <c r="E4" s="17" t="s">
        <v>42</v>
      </c>
      <c r="F4" s="18" t="s">
        <v>2879</v>
      </c>
      <c r="G4" s="19">
        <v>66</v>
      </c>
      <c r="H4" s="19" t="s">
        <v>708</v>
      </c>
      <c r="I4" s="20">
        <v>45965</v>
      </c>
      <c r="J4" s="20">
        <v>45965</v>
      </c>
      <c r="K4" s="17"/>
      <c r="L4" s="17" t="s">
        <v>46</v>
      </c>
      <c r="M4" s="17" t="s">
        <v>42</v>
      </c>
      <c r="N4" s="17" t="s">
        <v>194</v>
      </c>
      <c r="O4" s="17">
        <v>45</v>
      </c>
      <c r="P4" s="17">
        <v>1268663320</v>
      </c>
      <c r="Q4" s="17">
        <v>91303758101</v>
      </c>
      <c r="R4" s="17" t="s">
        <v>195</v>
      </c>
      <c r="S4" s="17"/>
      <c r="T4" s="17" t="s">
        <v>196</v>
      </c>
      <c r="U4" s="17" t="s">
        <v>197</v>
      </c>
      <c r="V4" s="17" t="s">
        <v>2880</v>
      </c>
      <c r="W4" s="17" t="s">
        <v>198</v>
      </c>
      <c r="X4" s="17"/>
      <c r="Y4" s="17" t="s">
        <v>199</v>
      </c>
      <c r="Z4" s="17" t="s">
        <v>2881</v>
      </c>
      <c r="AA4" s="20">
        <v>45993</v>
      </c>
      <c r="AB4" s="17" t="s">
        <v>46</v>
      </c>
      <c r="AC4" s="17" t="s">
        <v>2881</v>
      </c>
      <c r="AD4" s="20">
        <v>45994</v>
      </c>
      <c r="AE4" s="17">
        <v>1000000</v>
      </c>
      <c r="AF4" s="17">
        <v>1000000</v>
      </c>
      <c r="AG4" s="17">
        <v>0</v>
      </c>
      <c r="AH4" s="17">
        <v>1000000</v>
      </c>
      <c r="AI4" s="20">
        <v>45994</v>
      </c>
      <c r="AJ4" s="17">
        <v>1000000</v>
      </c>
      <c r="AK4" s="20" t="s">
        <v>56</v>
      </c>
      <c r="AL4" s="17">
        <v>0</v>
      </c>
      <c r="AM4" s="17"/>
    </row>
    <row r="5" spans="1:39" x14ac:dyDescent="0.3">
      <c r="A5" s="16" t="s">
        <v>795</v>
      </c>
      <c r="B5" s="17">
        <v>2025</v>
      </c>
      <c r="C5" s="17" t="s">
        <v>2871</v>
      </c>
      <c r="D5" s="17" t="s">
        <v>2878</v>
      </c>
      <c r="E5" s="17" t="s">
        <v>42</v>
      </c>
      <c r="F5" s="18" t="s">
        <v>2882</v>
      </c>
      <c r="G5" s="19">
        <v>67</v>
      </c>
      <c r="H5" s="19" t="s">
        <v>718</v>
      </c>
      <c r="I5" s="20">
        <v>45966</v>
      </c>
      <c r="J5" s="20">
        <v>45966</v>
      </c>
      <c r="K5" s="17"/>
      <c r="L5" s="17" t="s">
        <v>798</v>
      </c>
      <c r="M5" s="17" t="s">
        <v>42</v>
      </c>
      <c r="N5" s="17" t="s">
        <v>799</v>
      </c>
      <c r="O5" s="17">
        <v>139</v>
      </c>
      <c r="P5" s="17">
        <v>3128525589</v>
      </c>
      <c r="Q5" s="17" t="s">
        <v>2883</v>
      </c>
      <c r="R5" s="17" t="s">
        <v>800</v>
      </c>
      <c r="S5" s="17"/>
      <c r="T5" s="17" t="s">
        <v>801</v>
      </c>
      <c r="U5" s="17" t="s">
        <v>802</v>
      </c>
      <c r="V5" s="17" t="s">
        <v>2884</v>
      </c>
      <c r="W5" s="17" t="s">
        <v>803</v>
      </c>
      <c r="X5" s="17" t="s">
        <v>224</v>
      </c>
      <c r="Y5" s="17" t="s">
        <v>804</v>
      </c>
      <c r="Z5" s="17" t="s">
        <v>805</v>
      </c>
      <c r="AA5" s="20">
        <v>45994</v>
      </c>
      <c r="AB5" s="17" t="s">
        <v>218</v>
      </c>
      <c r="AC5" s="17" t="s">
        <v>805</v>
      </c>
      <c r="AD5" s="20">
        <v>45966</v>
      </c>
      <c r="AE5" s="17">
        <v>3500000</v>
      </c>
      <c r="AF5" s="17">
        <v>3500000</v>
      </c>
      <c r="AG5" s="17">
        <v>0</v>
      </c>
      <c r="AH5" s="17">
        <v>3500000</v>
      </c>
      <c r="AI5" s="20">
        <v>45966</v>
      </c>
      <c r="AJ5" s="17">
        <v>3500000</v>
      </c>
      <c r="AK5" s="20" t="s">
        <v>56</v>
      </c>
      <c r="AL5" s="17">
        <v>0</v>
      </c>
      <c r="AM5" s="17"/>
    </row>
    <row r="6" spans="1:39" x14ac:dyDescent="0.3">
      <c r="A6" s="16" t="s">
        <v>706</v>
      </c>
      <c r="B6" s="17">
        <v>2025</v>
      </c>
      <c r="C6" s="17" t="s">
        <v>2871</v>
      </c>
      <c r="D6" s="17" t="s">
        <v>2872</v>
      </c>
      <c r="E6" s="17" t="s">
        <v>42</v>
      </c>
      <c r="F6" s="18" t="s">
        <v>2885</v>
      </c>
      <c r="G6" s="19">
        <v>68</v>
      </c>
      <c r="H6" s="19" t="s">
        <v>729</v>
      </c>
      <c r="I6" s="20">
        <v>45968</v>
      </c>
      <c r="J6" s="20">
        <v>45968</v>
      </c>
      <c r="K6" s="17"/>
      <c r="L6" s="17" t="s">
        <v>61</v>
      </c>
      <c r="M6" s="17" t="s">
        <v>42</v>
      </c>
      <c r="N6" s="17" t="s">
        <v>709</v>
      </c>
      <c r="O6" s="17">
        <v>58</v>
      </c>
      <c r="P6" s="17">
        <v>2148678417</v>
      </c>
      <c r="Q6" s="17">
        <v>21486784176</v>
      </c>
      <c r="R6" s="17" t="s">
        <v>743</v>
      </c>
      <c r="S6" s="17"/>
      <c r="T6" s="17" t="s">
        <v>711</v>
      </c>
      <c r="U6" s="17"/>
      <c r="V6" s="17"/>
      <c r="W6" s="17" t="s">
        <v>712</v>
      </c>
      <c r="X6" s="17" t="s">
        <v>713</v>
      </c>
      <c r="Y6" s="17" t="s">
        <v>714</v>
      </c>
      <c r="Z6" s="17" t="s">
        <v>715</v>
      </c>
      <c r="AA6" s="21">
        <v>45987</v>
      </c>
      <c r="AB6" s="17" t="s">
        <v>61</v>
      </c>
      <c r="AC6" s="17" t="s">
        <v>715</v>
      </c>
      <c r="AD6" s="21">
        <v>45986</v>
      </c>
      <c r="AE6" s="17">
        <v>2000000</v>
      </c>
      <c r="AF6" s="17">
        <v>2000000</v>
      </c>
      <c r="AG6" s="17">
        <v>0</v>
      </c>
      <c r="AH6" s="17">
        <v>2000000</v>
      </c>
      <c r="AI6" s="20">
        <v>45986</v>
      </c>
      <c r="AJ6" s="17">
        <v>2000000</v>
      </c>
      <c r="AK6" s="20" t="s">
        <v>56</v>
      </c>
      <c r="AL6" s="17">
        <v>0</v>
      </c>
      <c r="AM6" s="17"/>
    </row>
    <row r="7" spans="1:39" x14ac:dyDescent="0.3">
      <c r="A7" s="16" t="s">
        <v>1204</v>
      </c>
      <c r="B7" s="17">
        <v>2025</v>
      </c>
      <c r="C7" s="17" t="s">
        <v>2871</v>
      </c>
      <c r="D7" s="17" t="s">
        <v>71</v>
      </c>
      <c r="E7" s="17" t="s">
        <v>42</v>
      </c>
      <c r="F7" s="18" t="s">
        <v>2886</v>
      </c>
      <c r="G7" s="19">
        <v>69</v>
      </c>
      <c r="H7" s="19" t="s">
        <v>741</v>
      </c>
      <c r="I7" s="20">
        <v>45971</v>
      </c>
      <c r="J7" s="20">
        <v>45971</v>
      </c>
      <c r="K7" s="17"/>
      <c r="L7" s="17" t="s">
        <v>46</v>
      </c>
      <c r="M7" s="17" t="s">
        <v>42</v>
      </c>
      <c r="N7" s="17" t="s">
        <v>1207</v>
      </c>
      <c r="O7" s="17">
        <v>69</v>
      </c>
      <c r="P7" s="17">
        <v>2161021273</v>
      </c>
      <c r="Q7" s="17">
        <v>21610212730</v>
      </c>
      <c r="R7" s="17" t="s">
        <v>1208</v>
      </c>
      <c r="S7" s="17"/>
      <c r="T7" s="17" t="s">
        <v>1209</v>
      </c>
      <c r="U7" s="17" t="s">
        <v>1210</v>
      </c>
      <c r="V7" s="17" t="s">
        <v>2887</v>
      </c>
      <c r="W7" s="17" t="s">
        <v>1211</v>
      </c>
      <c r="X7" s="17" t="s">
        <v>1212</v>
      </c>
      <c r="Y7" s="17" t="s">
        <v>1213</v>
      </c>
      <c r="Z7" s="17" t="s">
        <v>1214</v>
      </c>
      <c r="AA7" s="20">
        <v>45993</v>
      </c>
      <c r="AB7" s="17" t="s">
        <v>46</v>
      </c>
      <c r="AC7" s="17" t="s">
        <v>1215</v>
      </c>
      <c r="AD7" s="20">
        <v>45994</v>
      </c>
      <c r="AE7" s="17">
        <v>800000</v>
      </c>
      <c r="AF7" s="17">
        <v>800000</v>
      </c>
      <c r="AG7" s="17">
        <v>0</v>
      </c>
      <c r="AH7" s="17">
        <v>0</v>
      </c>
      <c r="AI7" s="20">
        <v>45994</v>
      </c>
      <c r="AJ7" s="17">
        <v>0</v>
      </c>
      <c r="AK7" s="20" t="s">
        <v>56</v>
      </c>
      <c r="AL7" s="17">
        <v>0</v>
      </c>
      <c r="AM7" s="17"/>
    </row>
    <row r="8" spans="1:39" x14ac:dyDescent="0.3">
      <c r="A8" s="16" t="s">
        <v>342</v>
      </c>
      <c r="B8" s="17">
        <v>2025</v>
      </c>
      <c r="C8" s="17" t="s">
        <v>2871</v>
      </c>
      <c r="D8" s="17"/>
      <c r="E8" s="17" t="s">
        <v>42</v>
      </c>
      <c r="F8" s="18" t="s">
        <v>2888</v>
      </c>
      <c r="G8" s="19">
        <v>70</v>
      </c>
      <c r="H8" s="19" t="s">
        <v>747</v>
      </c>
      <c r="I8" s="20">
        <v>45971</v>
      </c>
      <c r="J8" s="20">
        <v>45971</v>
      </c>
      <c r="K8" s="17"/>
      <c r="L8" s="17" t="s">
        <v>181</v>
      </c>
      <c r="M8" s="17" t="s">
        <v>42</v>
      </c>
      <c r="N8" s="17" t="s">
        <v>345</v>
      </c>
      <c r="O8" s="17">
        <v>8</v>
      </c>
      <c r="P8" s="17">
        <v>8428701893</v>
      </c>
      <c r="Q8" s="17">
        <v>84287018930</v>
      </c>
      <c r="R8" s="17" t="s">
        <v>346</v>
      </c>
      <c r="S8" s="17"/>
      <c r="T8" s="17" t="s">
        <v>347</v>
      </c>
      <c r="U8" s="17"/>
      <c r="V8" s="17"/>
      <c r="W8" s="17" t="s">
        <v>348</v>
      </c>
      <c r="X8" s="17" t="s">
        <v>224</v>
      </c>
      <c r="Y8" s="17" t="s">
        <v>349</v>
      </c>
      <c r="Z8" s="17" t="s">
        <v>350</v>
      </c>
      <c r="AA8" s="21">
        <v>45999</v>
      </c>
      <c r="AB8" s="17" t="s">
        <v>181</v>
      </c>
      <c r="AC8" s="17" t="s">
        <v>350</v>
      </c>
      <c r="AD8" s="21">
        <v>46001</v>
      </c>
      <c r="AE8" s="17">
        <v>1000000</v>
      </c>
      <c r="AF8" s="17">
        <v>600000</v>
      </c>
      <c r="AG8" s="17">
        <v>400000</v>
      </c>
      <c r="AH8" s="17">
        <v>1000000</v>
      </c>
      <c r="AI8" s="20">
        <v>46001</v>
      </c>
      <c r="AJ8" s="17">
        <v>600000</v>
      </c>
      <c r="AK8" s="20">
        <v>46006</v>
      </c>
      <c r="AL8" s="17">
        <v>400000</v>
      </c>
      <c r="AM8" s="17"/>
    </row>
    <row r="9" spans="1:39" x14ac:dyDescent="0.3">
      <c r="A9" s="16" t="s">
        <v>1019</v>
      </c>
      <c r="B9" s="17">
        <v>2025</v>
      </c>
      <c r="C9" s="17" t="s">
        <v>2871</v>
      </c>
      <c r="D9" s="17" t="s">
        <v>2889</v>
      </c>
      <c r="E9" s="17" t="s">
        <v>42</v>
      </c>
      <c r="F9" s="18" t="s">
        <v>2890</v>
      </c>
      <c r="G9" s="19">
        <v>71</v>
      </c>
      <c r="H9" s="19" t="s">
        <v>758</v>
      </c>
      <c r="I9" s="20">
        <v>45973</v>
      </c>
      <c r="J9" s="20">
        <v>45973</v>
      </c>
      <c r="K9" s="17"/>
      <c r="L9" s="17" t="s">
        <v>1023</v>
      </c>
      <c r="M9" s="17" t="s">
        <v>613</v>
      </c>
      <c r="N9" s="17" t="s">
        <v>1024</v>
      </c>
      <c r="O9" s="17">
        <v>340</v>
      </c>
      <c r="P9" s="17">
        <v>4118119799</v>
      </c>
      <c r="Q9" s="17" t="s">
        <v>2891</v>
      </c>
      <c r="R9" s="17" t="s">
        <v>1025</v>
      </c>
      <c r="S9" s="17"/>
      <c r="T9" s="17" t="s">
        <v>779</v>
      </c>
      <c r="U9" s="17"/>
      <c r="V9" s="17"/>
      <c r="W9" s="17" t="s">
        <v>1026</v>
      </c>
      <c r="X9" s="17" t="s">
        <v>442</v>
      </c>
      <c r="Y9" s="17" t="s">
        <v>1027</v>
      </c>
      <c r="Z9" s="17" t="s">
        <v>1028</v>
      </c>
      <c r="AA9" s="20">
        <v>46001</v>
      </c>
      <c r="AB9" s="17" t="s">
        <v>46</v>
      </c>
      <c r="AC9" s="17" t="s">
        <v>1029</v>
      </c>
      <c r="AD9" s="20">
        <v>46001</v>
      </c>
      <c r="AE9" s="17">
        <v>9800000</v>
      </c>
      <c r="AF9" s="17">
        <v>9800000</v>
      </c>
      <c r="AG9" s="17">
        <v>0</v>
      </c>
      <c r="AH9" s="17">
        <v>8200000</v>
      </c>
      <c r="AI9" s="20">
        <v>46001</v>
      </c>
      <c r="AJ9" s="17">
        <v>8200000</v>
      </c>
      <c r="AK9" s="20" t="s">
        <v>56</v>
      </c>
      <c r="AL9" s="17">
        <v>0</v>
      </c>
      <c r="AM9" s="17" t="s">
        <v>2892</v>
      </c>
    </row>
    <row r="10" spans="1:39" x14ac:dyDescent="0.3">
      <c r="A10" s="16" t="s">
        <v>916</v>
      </c>
      <c r="B10" s="17">
        <v>2025</v>
      </c>
      <c r="C10" s="17" t="s">
        <v>2871</v>
      </c>
      <c r="D10" s="17" t="s">
        <v>71</v>
      </c>
      <c r="E10" s="17" t="s">
        <v>42</v>
      </c>
      <c r="F10" s="18" t="s">
        <v>2893</v>
      </c>
      <c r="G10" s="19">
        <v>72</v>
      </c>
      <c r="H10" s="19" t="s">
        <v>767</v>
      </c>
      <c r="I10" s="20">
        <v>45974</v>
      </c>
      <c r="J10" s="20">
        <v>45974</v>
      </c>
      <c r="K10" s="17"/>
      <c r="L10" s="17" t="s">
        <v>2894</v>
      </c>
      <c r="M10" s="17" t="s">
        <v>2895</v>
      </c>
      <c r="N10" s="17" t="s">
        <v>920</v>
      </c>
      <c r="O10" s="17">
        <v>340</v>
      </c>
      <c r="P10" s="17">
        <v>2048203788</v>
      </c>
      <c r="Q10" s="17" t="s">
        <v>2896</v>
      </c>
      <c r="R10" s="17" t="s">
        <v>921</v>
      </c>
      <c r="S10" s="17"/>
      <c r="T10" s="17" t="s">
        <v>922</v>
      </c>
      <c r="U10" s="17" t="s">
        <v>923</v>
      </c>
      <c r="V10" s="17" t="s">
        <v>2897</v>
      </c>
      <c r="W10" s="17" t="s">
        <v>924</v>
      </c>
      <c r="X10" s="17" t="s">
        <v>178</v>
      </c>
      <c r="Y10" s="17" t="s">
        <v>925</v>
      </c>
      <c r="Z10" s="17" t="s">
        <v>926</v>
      </c>
      <c r="AA10" s="20">
        <v>46002</v>
      </c>
      <c r="AB10" s="17" t="s">
        <v>46</v>
      </c>
      <c r="AC10" s="17" t="s">
        <v>926</v>
      </c>
      <c r="AD10" s="20">
        <v>46002</v>
      </c>
      <c r="AE10" s="17">
        <v>4900000</v>
      </c>
      <c r="AF10" s="17">
        <v>4900000</v>
      </c>
      <c r="AG10" s="17">
        <v>0</v>
      </c>
      <c r="AH10" s="17">
        <v>0</v>
      </c>
      <c r="AI10" s="20">
        <v>46002</v>
      </c>
      <c r="AJ10" s="17">
        <v>0</v>
      </c>
      <c r="AK10" s="20" t="s">
        <v>56</v>
      </c>
      <c r="AL10" s="17">
        <v>0</v>
      </c>
      <c r="AM10" s="17"/>
    </row>
    <row r="11" spans="1:39" x14ac:dyDescent="0.3">
      <c r="A11" s="16" t="s">
        <v>860</v>
      </c>
      <c r="B11" s="17">
        <v>2025</v>
      </c>
      <c r="C11" s="17" t="s">
        <v>2871</v>
      </c>
      <c r="D11" s="17" t="s">
        <v>71</v>
      </c>
      <c r="E11" s="17" t="s">
        <v>42</v>
      </c>
      <c r="F11" s="18" t="s">
        <v>2898</v>
      </c>
      <c r="G11" s="19">
        <v>73</v>
      </c>
      <c r="H11" s="19" t="s">
        <v>776</v>
      </c>
      <c r="I11" s="20">
        <v>45974</v>
      </c>
      <c r="J11" s="20">
        <v>45974</v>
      </c>
      <c r="K11" s="17"/>
      <c r="L11" s="17" t="s">
        <v>2899</v>
      </c>
      <c r="M11" s="17" t="s">
        <v>42</v>
      </c>
      <c r="N11" s="17" t="s">
        <v>864</v>
      </c>
      <c r="O11" s="17">
        <v>240</v>
      </c>
      <c r="P11" s="17">
        <v>1838602229</v>
      </c>
      <c r="Q11" s="17" t="s">
        <v>2900</v>
      </c>
      <c r="R11" s="17" t="s">
        <v>865</v>
      </c>
      <c r="S11" s="17"/>
      <c r="T11" s="17" t="s">
        <v>855</v>
      </c>
      <c r="U11" s="17" t="s">
        <v>866</v>
      </c>
      <c r="V11" s="17" t="s">
        <v>2868</v>
      </c>
      <c r="W11" s="17" t="s">
        <v>857</v>
      </c>
      <c r="X11" s="17" t="s">
        <v>491</v>
      </c>
      <c r="Y11" s="17" t="s">
        <v>858</v>
      </c>
      <c r="Z11" s="17" t="s">
        <v>859</v>
      </c>
      <c r="AA11" s="20">
        <v>46002</v>
      </c>
      <c r="AB11" s="17" t="s">
        <v>218</v>
      </c>
      <c r="AC11" s="17" t="s">
        <v>859</v>
      </c>
      <c r="AD11" s="20">
        <v>46013</v>
      </c>
      <c r="AE11" s="17">
        <v>3000000</v>
      </c>
      <c r="AF11" s="17">
        <v>3000000</v>
      </c>
      <c r="AG11" s="17">
        <v>0</v>
      </c>
      <c r="AH11" s="17">
        <v>0</v>
      </c>
      <c r="AI11" s="20">
        <v>46013</v>
      </c>
      <c r="AJ11" s="17">
        <v>0</v>
      </c>
      <c r="AK11" s="20" t="s">
        <v>56</v>
      </c>
      <c r="AL11" s="17">
        <v>0</v>
      </c>
      <c r="AM11" s="17"/>
    </row>
    <row r="12" spans="1:39" x14ac:dyDescent="0.3">
      <c r="A12" s="16" t="s">
        <v>867</v>
      </c>
      <c r="B12" s="17">
        <v>2025</v>
      </c>
      <c r="C12" s="17" t="s">
        <v>2871</v>
      </c>
      <c r="D12" s="17" t="s">
        <v>2901</v>
      </c>
      <c r="E12" s="17" t="s">
        <v>42</v>
      </c>
      <c r="F12" s="18" t="s">
        <v>2902</v>
      </c>
      <c r="G12" s="19">
        <v>74</v>
      </c>
      <c r="H12" s="19" t="s">
        <v>786</v>
      </c>
      <c r="I12" s="20">
        <v>45979</v>
      </c>
      <c r="J12" s="20">
        <v>45980</v>
      </c>
      <c r="K12" s="17"/>
      <c r="L12" s="17" t="s">
        <v>2903</v>
      </c>
      <c r="M12" s="17" t="s">
        <v>42</v>
      </c>
      <c r="N12" s="17" t="s">
        <v>872</v>
      </c>
      <c r="O12" s="17">
        <v>340</v>
      </c>
      <c r="P12" s="17">
        <v>1078111563</v>
      </c>
      <c r="Q12" s="17" t="s">
        <v>2904</v>
      </c>
      <c r="R12" s="17" t="s">
        <v>873</v>
      </c>
      <c r="S12" s="17"/>
      <c r="T12" s="17" t="s">
        <v>874</v>
      </c>
      <c r="U12" s="17" t="s">
        <v>2905</v>
      </c>
      <c r="V12" s="17" t="s">
        <v>2906</v>
      </c>
      <c r="W12" s="17" t="s">
        <v>2907</v>
      </c>
      <c r="X12" s="17" t="s">
        <v>388</v>
      </c>
      <c r="Y12" s="17" t="s">
        <v>2908</v>
      </c>
      <c r="Z12" s="17" t="s">
        <v>2909</v>
      </c>
      <c r="AA12" s="20">
        <v>46009</v>
      </c>
      <c r="AB12" s="17" t="s">
        <v>61</v>
      </c>
      <c r="AC12" s="17" t="s">
        <v>2909</v>
      </c>
      <c r="AD12" s="20">
        <v>46013</v>
      </c>
      <c r="AE12" s="17">
        <v>9000000</v>
      </c>
      <c r="AF12" s="17">
        <v>9000000</v>
      </c>
      <c r="AG12" s="17">
        <v>0</v>
      </c>
      <c r="AH12" s="17">
        <v>0</v>
      </c>
      <c r="AI12" s="20">
        <v>46013</v>
      </c>
      <c r="AJ12" s="17">
        <v>0</v>
      </c>
      <c r="AK12" s="20"/>
      <c r="AL12" s="17">
        <v>0</v>
      </c>
      <c r="AM12" s="17"/>
    </row>
    <row r="13" spans="1:39" x14ac:dyDescent="0.3">
      <c r="A13" s="16" t="s">
        <v>2910</v>
      </c>
      <c r="B13" s="17">
        <v>2025</v>
      </c>
      <c r="C13" s="17" t="s">
        <v>2871</v>
      </c>
      <c r="D13" s="17" t="s">
        <v>2911</v>
      </c>
      <c r="E13" s="17" t="s">
        <v>42</v>
      </c>
      <c r="F13" s="18" t="s">
        <v>2912</v>
      </c>
      <c r="G13" s="19">
        <v>75</v>
      </c>
      <c r="H13" s="19" t="s">
        <v>797</v>
      </c>
      <c r="I13" s="20">
        <v>45980</v>
      </c>
      <c r="J13" s="20">
        <v>45980</v>
      </c>
      <c r="K13" s="17"/>
      <c r="L13" s="17" t="s">
        <v>46</v>
      </c>
      <c r="M13" s="17" t="s">
        <v>42</v>
      </c>
      <c r="N13" s="17" t="s">
        <v>2913</v>
      </c>
      <c r="O13" s="17">
        <v>10</v>
      </c>
      <c r="P13" s="17">
        <v>7478602912</v>
      </c>
      <c r="Q13" s="17" t="s">
        <v>2914</v>
      </c>
      <c r="R13" s="17" t="s">
        <v>2915</v>
      </c>
      <c r="S13" s="17"/>
      <c r="T13" s="17" t="s">
        <v>2916</v>
      </c>
      <c r="U13" s="17" t="s">
        <v>2917</v>
      </c>
      <c r="V13" s="17" t="s">
        <v>2918</v>
      </c>
      <c r="W13" s="17" t="s">
        <v>2919</v>
      </c>
      <c r="X13" s="17" t="s">
        <v>66</v>
      </c>
      <c r="Y13" s="17" t="s">
        <v>2920</v>
      </c>
      <c r="Z13" s="17" t="s">
        <v>2921</v>
      </c>
      <c r="AA13" s="20">
        <v>46007</v>
      </c>
      <c r="AB13" s="17" t="s">
        <v>46</v>
      </c>
      <c r="AC13" s="17" t="s">
        <v>2921</v>
      </c>
      <c r="AD13" s="20">
        <v>46007</v>
      </c>
      <c r="AE13" s="17">
        <v>500000</v>
      </c>
      <c r="AF13" s="17">
        <v>100000</v>
      </c>
      <c r="AG13" s="17">
        <v>400000</v>
      </c>
      <c r="AH13" s="17">
        <v>0</v>
      </c>
      <c r="AI13" s="20">
        <v>46007</v>
      </c>
      <c r="AJ13" s="17">
        <v>0</v>
      </c>
      <c r="AK13" s="20" t="s">
        <v>56</v>
      </c>
      <c r="AL13" s="17">
        <v>0</v>
      </c>
      <c r="AM13" s="17"/>
    </row>
    <row r="14" spans="1:39" x14ac:dyDescent="0.3">
      <c r="A14" s="16" t="s">
        <v>282</v>
      </c>
      <c r="B14" s="17">
        <v>2025</v>
      </c>
      <c r="C14" s="17" t="s">
        <v>2871</v>
      </c>
      <c r="D14" s="17" t="s">
        <v>71</v>
      </c>
      <c r="E14" s="17" t="s">
        <v>42</v>
      </c>
      <c r="F14" s="18" t="s">
        <v>2922</v>
      </c>
      <c r="G14" s="19">
        <v>76</v>
      </c>
      <c r="H14" s="19" t="s">
        <v>808</v>
      </c>
      <c r="I14" s="20">
        <v>45981</v>
      </c>
      <c r="J14" s="20">
        <v>45981</v>
      </c>
      <c r="K14" s="17"/>
      <c r="L14" s="17" t="s">
        <v>46</v>
      </c>
      <c r="M14" s="17" t="s">
        <v>231</v>
      </c>
      <c r="N14" s="17" t="s">
        <v>286</v>
      </c>
      <c r="O14" s="17">
        <v>46</v>
      </c>
      <c r="P14" s="17">
        <v>4558100330</v>
      </c>
      <c r="Q14" s="17">
        <v>45581003300</v>
      </c>
      <c r="R14" s="17" t="s">
        <v>287</v>
      </c>
      <c r="S14" s="17"/>
      <c r="T14" s="17" t="s">
        <v>288</v>
      </c>
      <c r="U14" s="17" t="s">
        <v>289</v>
      </c>
      <c r="V14" s="17" t="s">
        <v>2923</v>
      </c>
      <c r="W14" s="17" t="s">
        <v>290</v>
      </c>
      <c r="X14" s="17" t="s">
        <v>224</v>
      </c>
      <c r="Y14" s="17" t="s">
        <v>291</v>
      </c>
      <c r="Z14" s="17" t="s">
        <v>292</v>
      </c>
      <c r="AA14" s="20">
        <v>46007</v>
      </c>
      <c r="AB14" s="17" t="s">
        <v>46</v>
      </c>
      <c r="AC14" s="17" t="s">
        <v>293</v>
      </c>
      <c r="AD14" s="20">
        <v>46007</v>
      </c>
      <c r="AE14" s="17">
        <v>3300000</v>
      </c>
      <c r="AF14" s="17">
        <v>2900000</v>
      </c>
      <c r="AG14" s="17">
        <v>400000</v>
      </c>
      <c r="AH14" s="17">
        <v>2900000</v>
      </c>
      <c r="AI14" s="20">
        <v>46007</v>
      </c>
      <c r="AJ14" s="17">
        <v>2900000</v>
      </c>
      <c r="AK14" s="20"/>
      <c r="AL14" s="17">
        <v>0</v>
      </c>
      <c r="AM14" s="17"/>
    </row>
    <row r="15" spans="1:39" x14ac:dyDescent="0.3">
      <c r="A15" s="16" t="s">
        <v>504</v>
      </c>
      <c r="B15" s="17">
        <v>2025</v>
      </c>
      <c r="C15" s="17" t="s">
        <v>2871</v>
      </c>
      <c r="D15" s="17" t="s">
        <v>2872</v>
      </c>
      <c r="E15" s="17" t="s">
        <v>42</v>
      </c>
      <c r="F15" s="18" t="s">
        <v>2924</v>
      </c>
      <c r="G15" s="19">
        <v>77</v>
      </c>
      <c r="H15" s="19" t="s">
        <v>818</v>
      </c>
      <c r="I15" s="20">
        <v>45982</v>
      </c>
      <c r="J15" s="20">
        <v>45982</v>
      </c>
      <c r="K15" s="17"/>
      <c r="L15" s="17" t="s">
        <v>2925</v>
      </c>
      <c r="M15" s="17" t="s">
        <v>42</v>
      </c>
      <c r="N15" s="17" t="s">
        <v>508</v>
      </c>
      <c r="O15" s="17">
        <v>217</v>
      </c>
      <c r="P15" s="17">
        <v>1048118121</v>
      </c>
      <c r="Q15" s="17">
        <v>10481181216</v>
      </c>
      <c r="R15" s="17" t="s">
        <v>509</v>
      </c>
      <c r="S15" s="17"/>
      <c r="T15" s="17" t="s">
        <v>510</v>
      </c>
      <c r="U15" s="17"/>
      <c r="V15" s="17"/>
      <c r="W15" s="17" t="s">
        <v>2926</v>
      </c>
      <c r="X15" s="17"/>
      <c r="Y15" s="17" t="s">
        <v>513</v>
      </c>
      <c r="Z15" s="17" t="s">
        <v>2927</v>
      </c>
      <c r="AA15" s="20">
        <v>46002</v>
      </c>
      <c r="AB15" s="17" t="s">
        <v>73</v>
      </c>
      <c r="AC15" s="17" t="s">
        <v>2927</v>
      </c>
      <c r="AD15" s="20">
        <v>46002</v>
      </c>
      <c r="AE15" s="17">
        <v>5600000</v>
      </c>
      <c r="AF15" s="17">
        <v>5600000</v>
      </c>
      <c r="AG15" s="17">
        <v>0</v>
      </c>
      <c r="AH15" s="17">
        <v>0</v>
      </c>
      <c r="AI15" s="20">
        <v>46002</v>
      </c>
      <c r="AJ15" s="17">
        <v>0</v>
      </c>
      <c r="AK15" s="20" t="s">
        <v>56</v>
      </c>
      <c r="AL15" s="17">
        <v>0</v>
      </c>
      <c r="AM15" s="17"/>
    </row>
    <row r="16" spans="1:39" x14ac:dyDescent="0.3">
      <c r="A16" s="16" t="s">
        <v>848</v>
      </c>
      <c r="B16" s="17">
        <v>2025</v>
      </c>
      <c r="C16" s="17" t="s">
        <v>2871</v>
      </c>
      <c r="D16" s="17" t="s">
        <v>2928</v>
      </c>
      <c r="E16" s="17" t="s">
        <v>42</v>
      </c>
      <c r="F16" s="18" t="s">
        <v>2929</v>
      </c>
      <c r="G16" s="19">
        <v>78</v>
      </c>
      <c r="H16" s="19" t="s">
        <v>828</v>
      </c>
      <c r="I16" s="20">
        <v>45985</v>
      </c>
      <c r="J16" s="20">
        <v>45986</v>
      </c>
      <c r="K16" s="17"/>
      <c r="L16" s="17" t="s">
        <v>2930</v>
      </c>
      <c r="M16" s="17" t="s">
        <v>42</v>
      </c>
      <c r="N16" s="17" t="s">
        <v>853</v>
      </c>
      <c r="O16" s="17">
        <v>223</v>
      </c>
      <c r="P16" s="17">
        <v>2208113641</v>
      </c>
      <c r="Q16" s="17" t="s">
        <v>2931</v>
      </c>
      <c r="R16" s="17" t="s">
        <v>854</v>
      </c>
      <c r="S16" s="17"/>
      <c r="T16" s="17" t="s">
        <v>855</v>
      </c>
      <c r="U16" s="17" t="s">
        <v>856</v>
      </c>
      <c r="V16" s="17" t="s">
        <v>2868</v>
      </c>
      <c r="W16" s="17" t="s">
        <v>857</v>
      </c>
      <c r="X16" s="17" t="s">
        <v>491</v>
      </c>
      <c r="Y16" s="17" t="s">
        <v>858</v>
      </c>
      <c r="Z16" s="17" t="s">
        <v>859</v>
      </c>
      <c r="AA16" s="20">
        <v>46014</v>
      </c>
      <c r="AB16" s="17" t="s">
        <v>61</v>
      </c>
      <c r="AC16" s="17" t="s">
        <v>859</v>
      </c>
      <c r="AD16" s="20">
        <v>46013</v>
      </c>
      <c r="AE16" s="17">
        <v>7500000</v>
      </c>
      <c r="AF16" s="17">
        <v>7500000</v>
      </c>
      <c r="AG16" s="17">
        <v>0</v>
      </c>
      <c r="AH16" s="17">
        <v>0</v>
      </c>
      <c r="AI16" s="20">
        <v>46013</v>
      </c>
      <c r="AJ16" s="17">
        <v>0</v>
      </c>
      <c r="AK16" s="20" t="s">
        <v>56</v>
      </c>
      <c r="AL16" s="17">
        <v>0</v>
      </c>
      <c r="AM16" s="17"/>
    </row>
    <row r="17" spans="1:39" x14ac:dyDescent="0.3">
      <c r="A17" s="16" t="s">
        <v>826</v>
      </c>
      <c r="B17" s="17">
        <v>2025</v>
      </c>
      <c r="C17" s="17" t="s">
        <v>2871</v>
      </c>
      <c r="D17" s="17" t="s">
        <v>2928</v>
      </c>
      <c r="E17" s="17" t="s">
        <v>42</v>
      </c>
      <c r="F17" s="18" t="s">
        <v>2932</v>
      </c>
      <c r="G17" s="19">
        <v>79</v>
      </c>
      <c r="H17" s="19" t="s">
        <v>839</v>
      </c>
      <c r="I17" s="20">
        <v>45986</v>
      </c>
      <c r="J17" s="20">
        <v>45992</v>
      </c>
      <c r="K17" s="17"/>
      <c r="L17" s="17" t="s">
        <v>73</v>
      </c>
      <c r="M17" s="17" t="s">
        <v>42</v>
      </c>
      <c r="N17" s="17" t="s">
        <v>829</v>
      </c>
      <c r="O17" s="17">
        <v>22</v>
      </c>
      <c r="P17" s="17">
        <v>3118204843</v>
      </c>
      <c r="Q17" s="17" t="s">
        <v>2933</v>
      </c>
      <c r="R17" s="17" t="s">
        <v>830</v>
      </c>
      <c r="S17" s="17"/>
      <c r="T17" s="17" t="s">
        <v>831</v>
      </c>
      <c r="U17" s="17" t="s">
        <v>832</v>
      </c>
      <c r="V17" s="17" t="s">
        <v>2934</v>
      </c>
      <c r="W17" s="17" t="s">
        <v>833</v>
      </c>
      <c r="X17" s="17"/>
      <c r="Y17" s="17" t="s">
        <v>834</v>
      </c>
      <c r="Z17" s="17" t="s">
        <v>835</v>
      </c>
      <c r="AA17" s="20">
        <v>46013</v>
      </c>
      <c r="AB17" s="17" t="s">
        <v>73</v>
      </c>
      <c r="AC17" s="17" t="s">
        <v>2935</v>
      </c>
      <c r="AD17" s="20">
        <v>46015</v>
      </c>
      <c r="AE17" s="17">
        <v>3000000</v>
      </c>
      <c r="AF17" s="17">
        <v>2600000</v>
      </c>
      <c r="AG17" s="17">
        <v>400000</v>
      </c>
      <c r="AH17" s="17">
        <v>0</v>
      </c>
      <c r="AI17" s="20">
        <v>46015</v>
      </c>
      <c r="AJ17" s="17">
        <v>0</v>
      </c>
      <c r="AK17" s="20"/>
      <c r="AL17" s="17">
        <v>0</v>
      </c>
      <c r="AM17" s="17"/>
    </row>
    <row r="18" spans="1:39" x14ac:dyDescent="0.3">
      <c r="A18" s="16" t="s">
        <v>70</v>
      </c>
      <c r="B18" s="17">
        <v>2025</v>
      </c>
      <c r="C18" s="17" t="s">
        <v>2871</v>
      </c>
      <c r="D18" s="17" t="s">
        <v>71</v>
      </c>
      <c r="E18" s="17" t="s">
        <v>42</v>
      </c>
      <c r="F18" s="18" t="s">
        <v>2936</v>
      </c>
      <c r="G18" s="19">
        <v>80</v>
      </c>
      <c r="H18" s="19" t="s">
        <v>839</v>
      </c>
      <c r="I18" s="20">
        <v>45986</v>
      </c>
      <c r="J18" s="20">
        <v>45986</v>
      </c>
      <c r="K18" s="17"/>
      <c r="L18" s="17" t="s">
        <v>46</v>
      </c>
      <c r="M18" s="17" t="s">
        <v>42</v>
      </c>
      <c r="N18" s="17" t="s">
        <v>74</v>
      </c>
      <c r="O18" s="17">
        <v>3</v>
      </c>
      <c r="P18" s="17">
        <v>3128609757</v>
      </c>
      <c r="Q18" s="17" t="s">
        <v>2937</v>
      </c>
      <c r="R18" s="17" t="s">
        <v>75</v>
      </c>
      <c r="S18" s="17"/>
      <c r="T18" s="17" t="s">
        <v>76</v>
      </c>
      <c r="U18" s="17" t="s">
        <v>77</v>
      </c>
      <c r="V18" s="17" t="s">
        <v>2938</v>
      </c>
      <c r="W18" s="17" t="s">
        <v>75</v>
      </c>
      <c r="X18" s="17" t="s">
        <v>78</v>
      </c>
      <c r="Y18" s="17" t="s">
        <v>79</v>
      </c>
      <c r="Z18" s="17" t="s">
        <v>80</v>
      </c>
      <c r="AA18" s="21">
        <v>46007</v>
      </c>
      <c r="AB18" s="17" t="s">
        <v>46</v>
      </c>
      <c r="AC18" s="17" t="s">
        <v>80</v>
      </c>
      <c r="AD18" s="20" t="s">
        <v>69</v>
      </c>
      <c r="AE18" s="17">
        <v>400000</v>
      </c>
      <c r="AF18" s="17">
        <v>0</v>
      </c>
      <c r="AG18" s="17">
        <v>400000</v>
      </c>
      <c r="AH18" s="17">
        <v>0</v>
      </c>
      <c r="AI18" s="21" t="s">
        <v>69</v>
      </c>
      <c r="AJ18" s="17">
        <v>0</v>
      </c>
      <c r="AK18" s="20"/>
      <c r="AL18" s="17">
        <v>0</v>
      </c>
      <c r="AM18" s="17"/>
    </row>
    <row r="19" spans="1:39" x14ac:dyDescent="0.3">
      <c r="A19" s="16" t="s">
        <v>2939</v>
      </c>
      <c r="B19" s="17">
        <v>2025</v>
      </c>
      <c r="C19" s="17" t="s">
        <v>2871</v>
      </c>
      <c r="D19" s="17" t="s">
        <v>2872</v>
      </c>
      <c r="E19" s="17" t="s">
        <v>42</v>
      </c>
      <c r="F19" s="18" t="s">
        <v>2940</v>
      </c>
      <c r="G19" s="19">
        <v>81</v>
      </c>
      <c r="H19" s="19" t="s">
        <v>851</v>
      </c>
      <c r="I19" s="20">
        <v>45987</v>
      </c>
      <c r="J19" s="20">
        <v>45992</v>
      </c>
      <c r="K19" s="17"/>
      <c r="L19" s="17" t="s">
        <v>2941</v>
      </c>
      <c r="M19" s="17" t="s">
        <v>2942</v>
      </c>
      <c r="N19" s="17" t="s">
        <v>2943</v>
      </c>
      <c r="O19" s="17">
        <v>750</v>
      </c>
      <c r="P19" s="17">
        <v>1148116377</v>
      </c>
      <c r="Q19" s="17" t="s">
        <v>2944</v>
      </c>
      <c r="R19" s="17" t="s">
        <v>2945</v>
      </c>
      <c r="S19" s="17"/>
      <c r="T19" s="17" t="s">
        <v>2946</v>
      </c>
      <c r="U19" s="17" t="s">
        <v>2947</v>
      </c>
      <c r="V19" s="17" t="s">
        <v>2948</v>
      </c>
      <c r="W19" s="17" t="s">
        <v>2949</v>
      </c>
      <c r="X19" s="17" t="s">
        <v>178</v>
      </c>
      <c r="Y19" s="17" t="s">
        <v>2950</v>
      </c>
      <c r="Z19" s="17" t="s">
        <v>2951</v>
      </c>
      <c r="AA19" s="21">
        <v>46021</v>
      </c>
      <c r="AB19" s="17" t="s">
        <v>46</v>
      </c>
      <c r="AC19" s="17" t="s">
        <v>2951</v>
      </c>
      <c r="AD19" s="20"/>
      <c r="AE19" s="17">
        <v>15000000</v>
      </c>
      <c r="AF19" s="17">
        <v>15000000</v>
      </c>
      <c r="AG19" s="17">
        <v>0</v>
      </c>
      <c r="AH19" s="17">
        <v>0</v>
      </c>
      <c r="AI19" s="20"/>
      <c r="AJ19" s="17">
        <v>0</v>
      </c>
      <c r="AK19" s="20" t="s">
        <v>56</v>
      </c>
      <c r="AL19" s="17">
        <v>0</v>
      </c>
      <c r="AM19" s="17"/>
    </row>
    <row r="20" spans="1:39" x14ac:dyDescent="0.3">
      <c r="A20" s="16" t="s">
        <v>2952</v>
      </c>
      <c r="B20" s="17">
        <v>2025</v>
      </c>
      <c r="C20" s="17" t="s">
        <v>2871</v>
      </c>
      <c r="D20" s="17" t="s">
        <v>2953</v>
      </c>
      <c r="E20" s="17" t="s">
        <v>42</v>
      </c>
      <c r="F20" s="18" t="s">
        <v>2954</v>
      </c>
      <c r="G20" s="19">
        <v>82</v>
      </c>
      <c r="H20" s="19" t="s">
        <v>862</v>
      </c>
      <c r="I20" s="20">
        <v>45987</v>
      </c>
      <c r="J20" s="20">
        <v>45987</v>
      </c>
      <c r="K20" s="17"/>
      <c r="L20" s="17" t="s">
        <v>61</v>
      </c>
      <c r="M20" s="17" t="s">
        <v>42</v>
      </c>
      <c r="N20" s="17" t="s">
        <v>2955</v>
      </c>
      <c r="O20" s="17">
        <v>20</v>
      </c>
      <c r="P20" s="17">
        <v>5888100474</v>
      </c>
      <c r="Q20" s="17">
        <v>58881004746</v>
      </c>
      <c r="R20" s="17" t="s">
        <v>2956</v>
      </c>
      <c r="S20" s="17"/>
      <c r="T20" s="17" t="s">
        <v>2957</v>
      </c>
      <c r="U20" s="17"/>
      <c r="V20" s="17"/>
      <c r="W20" s="17" t="s">
        <v>2958</v>
      </c>
      <c r="X20" s="17" t="s">
        <v>2959</v>
      </c>
      <c r="Y20" s="17" t="s">
        <v>2960</v>
      </c>
      <c r="Z20" s="17" t="s">
        <v>2961</v>
      </c>
      <c r="AA20" s="20">
        <v>46007</v>
      </c>
      <c r="AB20" s="17" t="s">
        <v>46</v>
      </c>
      <c r="AC20" s="17">
        <v>0</v>
      </c>
      <c r="AD20" s="20" t="s">
        <v>69</v>
      </c>
      <c r="AE20" s="17">
        <v>937090</v>
      </c>
      <c r="AF20" s="17">
        <v>0</v>
      </c>
      <c r="AG20" s="17">
        <v>937090</v>
      </c>
      <c r="AH20" s="17">
        <v>0</v>
      </c>
      <c r="AI20" s="21" t="s">
        <v>69</v>
      </c>
      <c r="AJ20" s="17">
        <v>0</v>
      </c>
      <c r="AK20" s="20"/>
      <c r="AL20" s="17">
        <v>0</v>
      </c>
      <c r="AM20" s="17"/>
    </row>
    <row r="21" spans="1:39" x14ac:dyDescent="0.3">
      <c r="A21" s="16" t="s">
        <v>1010</v>
      </c>
      <c r="B21" s="17">
        <v>2025</v>
      </c>
      <c r="C21" s="17" t="s">
        <v>2871</v>
      </c>
      <c r="D21" s="17" t="s">
        <v>2878</v>
      </c>
      <c r="E21" s="17" t="s">
        <v>42</v>
      </c>
      <c r="F21" s="18" t="s">
        <v>2962</v>
      </c>
      <c r="G21" s="19">
        <v>83</v>
      </c>
      <c r="H21" s="19" t="s">
        <v>870</v>
      </c>
      <c r="I21" s="20">
        <v>45992</v>
      </c>
      <c r="J21" s="20">
        <v>45992</v>
      </c>
      <c r="K21" s="17"/>
      <c r="L21" s="17" t="s">
        <v>181</v>
      </c>
      <c r="M21" s="17" t="s">
        <v>42</v>
      </c>
      <c r="N21" s="17" t="s">
        <v>1013</v>
      </c>
      <c r="O21" s="17">
        <v>65</v>
      </c>
      <c r="P21" s="17">
        <v>1248148819</v>
      </c>
      <c r="Q21" s="17">
        <v>31285467170</v>
      </c>
      <c r="R21" s="17" t="s">
        <v>457</v>
      </c>
      <c r="S21" s="17"/>
      <c r="T21" s="17" t="s">
        <v>1014</v>
      </c>
      <c r="U21" s="17" t="s">
        <v>1015</v>
      </c>
      <c r="V21" s="17" t="s">
        <v>2963</v>
      </c>
      <c r="W21" s="17" t="s">
        <v>1016</v>
      </c>
      <c r="X21" s="17" t="s">
        <v>388</v>
      </c>
      <c r="Y21" s="17" t="s">
        <v>1017</v>
      </c>
      <c r="Z21" s="17" t="s">
        <v>1018</v>
      </c>
      <c r="AA21" s="20"/>
      <c r="AB21" s="17"/>
      <c r="AC21" s="17" t="s">
        <v>463</v>
      </c>
      <c r="AD21" s="21">
        <v>46015</v>
      </c>
      <c r="AE21" s="17">
        <v>500000</v>
      </c>
      <c r="AF21" s="17">
        <v>500000</v>
      </c>
      <c r="AG21" s="17">
        <v>0</v>
      </c>
      <c r="AH21" s="17">
        <v>500000</v>
      </c>
      <c r="AI21" s="20">
        <v>46015</v>
      </c>
      <c r="AJ21" s="17">
        <v>500000</v>
      </c>
      <c r="AK21" s="20" t="s">
        <v>56</v>
      </c>
      <c r="AL21" s="17">
        <v>0</v>
      </c>
      <c r="AM21" s="17"/>
    </row>
    <row r="22" spans="1:39" x14ac:dyDescent="0.3">
      <c r="A22" s="16" t="s">
        <v>2964</v>
      </c>
      <c r="B22" s="17">
        <v>2025</v>
      </c>
      <c r="C22" s="17" t="s">
        <v>2871</v>
      </c>
      <c r="D22" s="17"/>
      <c r="E22" s="17" t="s">
        <v>42</v>
      </c>
      <c r="F22" s="18" t="s">
        <v>2965</v>
      </c>
      <c r="G22" s="19">
        <v>84</v>
      </c>
      <c r="H22" s="19" t="s">
        <v>889</v>
      </c>
      <c r="I22" s="20">
        <v>45993</v>
      </c>
      <c r="J22" s="20">
        <v>45993</v>
      </c>
      <c r="K22" s="17"/>
      <c r="L22" s="17" t="s">
        <v>181</v>
      </c>
      <c r="M22" s="17" t="s">
        <v>42</v>
      </c>
      <c r="N22" s="17" t="s">
        <v>2966</v>
      </c>
      <c r="O22" s="17">
        <v>68</v>
      </c>
      <c r="P22" s="17">
        <v>1258187120</v>
      </c>
      <c r="Q22" s="17">
        <v>92229694161</v>
      </c>
      <c r="R22" s="17" t="s">
        <v>2967</v>
      </c>
      <c r="S22" s="17"/>
      <c r="T22" s="17" t="s">
        <v>2968</v>
      </c>
      <c r="U22" s="17" t="s">
        <v>2969</v>
      </c>
      <c r="V22" s="17" t="s">
        <v>2970</v>
      </c>
      <c r="W22" s="17" t="s">
        <v>2971</v>
      </c>
      <c r="X22" s="17" t="s">
        <v>168</v>
      </c>
      <c r="Y22" s="17" t="s">
        <v>2972</v>
      </c>
      <c r="Z22" s="17" t="s">
        <v>2973</v>
      </c>
      <c r="AA22" s="20"/>
      <c r="AB22" s="17"/>
      <c r="AC22" s="17" t="s">
        <v>2974</v>
      </c>
      <c r="AD22" s="20">
        <v>46015</v>
      </c>
      <c r="AE22" s="17">
        <v>450000</v>
      </c>
      <c r="AF22" s="17">
        <v>450000</v>
      </c>
      <c r="AG22" s="17">
        <v>0</v>
      </c>
      <c r="AH22" s="17">
        <v>0</v>
      </c>
      <c r="AI22" s="20">
        <v>46015</v>
      </c>
      <c r="AJ22" s="17">
        <v>0</v>
      </c>
      <c r="AK22" s="20" t="s">
        <v>56</v>
      </c>
      <c r="AL22" s="17">
        <v>0</v>
      </c>
      <c r="AM22" s="17"/>
    </row>
    <row r="23" spans="1:39" x14ac:dyDescent="0.3">
      <c r="A23" s="16" t="s">
        <v>1224</v>
      </c>
      <c r="B23" s="17">
        <v>2025</v>
      </c>
      <c r="C23" s="17" t="s">
        <v>2871</v>
      </c>
      <c r="D23" s="17" t="s">
        <v>2872</v>
      </c>
      <c r="E23" s="17" t="s">
        <v>42</v>
      </c>
      <c r="F23" s="18" t="s">
        <v>2975</v>
      </c>
      <c r="G23" s="19">
        <v>85</v>
      </c>
      <c r="H23" s="19" t="s">
        <v>908</v>
      </c>
      <c r="I23" s="20">
        <v>45995</v>
      </c>
      <c r="J23" s="20">
        <v>45995</v>
      </c>
      <c r="K23" s="17"/>
      <c r="L23" s="17" t="s">
        <v>2976</v>
      </c>
      <c r="M23" s="17" t="s">
        <v>1228</v>
      </c>
      <c r="N23" s="17" t="s">
        <v>1229</v>
      </c>
      <c r="O23" s="17">
        <v>342</v>
      </c>
      <c r="P23" s="17">
        <v>1168107777</v>
      </c>
      <c r="Q23" s="17">
        <v>11681077776</v>
      </c>
      <c r="R23" s="17" t="s">
        <v>1230</v>
      </c>
      <c r="S23" s="17"/>
      <c r="T23" s="17" t="s">
        <v>1231</v>
      </c>
      <c r="U23" s="17" t="s">
        <v>1232</v>
      </c>
      <c r="V23" s="17" t="s">
        <v>2977</v>
      </c>
      <c r="W23" s="17" t="s">
        <v>1233</v>
      </c>
      <c r="X23" s="17" t="s">
        <v>134</v>
      </c>
      <c r="Y23" s="17" t="s">
        <v>1234</v>
      </c>
      <c r="Z23" s="17" t="s">
        <v>1235</v>
      </c>
      <c r="AA23" s="20">
        <v>46022</v>
      </c>
      <c r="AB23" s="17" t="s">
        <v>73</v>
      </c>
      <c r="AC23" s="17" t="s">
        <v>1235</v>
      </c>
      <c r="AD23" s="20">
        <v>46008</v>
      </c>
      <c r="AE23" s="17">
        <v>10600000</v>
      </c>
      <c r="AF23" s="17">
        <v>10600000</v>
      </c>
      <c r="AG23" s="17">
        <v>0</v>
      </c>
      <c r="AH23" s="17">
        <v>10600000</v>
      </c>
      <c r="AI23" s="20">
        <v>46008</v>
      </c>
      <c r="AJ23" s="17">
        <v>10600000</v>
      </c>
      <c r="AK23" s="20" t="s">
        <v>56</v>
      </c>
      <c r="AL23" s="17">
        <v>0</v>
      </c>
      <c r="AM23" s="17"/>
    </row>
    <row r="24" spans="1:39" x14ac:dyDescent="0.3">
      <c r="A24" s="16" t="s">
        <v>1236</v>
      </c>
      <c r="B24" s="17">
        <v>2025</v>
      </c>
      <c r="C24" s="17" t="s">
        <v>2871</v>
      </c>
      <c r="D24" s="17"/>
      <c r="E24" s="17" t="s">
        <v>42</v>
      </c>
      <c r="F24" s="18" t="s">
        <v>2978</v>
      </c>
      <c r="G24" s="19">
        <v>86</v>
      </c>
      <c r="H24" s="19" t="s">
        <v>908</v>
      </c>
      <c r="I24" s="20">
        <v>45995</v>
      </c>
      <c r="J24" s="20">
        <v>45995</v>
      </c>
      <c r="K24" s="17"/>
      <c r="L24" s="17" t="s">
        <v>218</v>
      </c>
      <c r="M24" s="17" t="s">
        <v>1238</v>
      </c>
      <c r="N24" s="17" t="s">
        <v>1239</v>
      </c>
      <c r="O24" s="17">
        <v>4</v>
      </c>
      <c r="P24" s="17">
        <v>1198130845</v>
      </c>
      <c r="Q24" s="17">
        <v>91303824841</v>
      </c>
      <c r="R24" s="17" t="s">
        <v>1067</v>
      </c>
      <c r="S24" s="17"/>
      <c r="T24" s="17" t="s">
        <v>1240</v>
      </c>
      <c r="U24" s="17" t="s">
        <v>1079</v>
      </c>
      <c r="V24" s="17" t="s">
        <v>2979</v>
      </c>
      <c r="W24" s="17" t="s">
        <v>1241</v>
      </c>
      <c r="X24" s="17" t="s">
        <v>1112</v>
      </c>
      <c r="Y24" s="17" t="s">
        <v>1242</v>
      </c>
      <c r="Z24" s="17" t="s">
        <v>1243</v>
      </c>
      <c r="AA24" s="20">
        <v>46021</v>
      </c>
      <c r="AB24" s="17" t="s">
        <v>218</v>
      </c>
      <c r="AC24" s="17" t="s">
        <v>1073</v>
      </c>
      <c r="AD24" s="20">
        <v>46028</v>
      </c>
      <c r="AE24" s="17">
        <v>1000000</v>
      </c>
      <c r="AF24" s="17">
        <v>1000000</v>
      </c>
      <c r="AG24" s="17">
        <v>0</v>
      </c>
      <c r="AH24" s="17">
        <v>1000000</v>
      </c>
      <c r="AI24" s="20">
        <v>46028</v>
      </c>
      <c r="AJ24" s="17">
        <v>1000000</v>
      </c>
      <c r="AK24" s="20" t="s">
        <v>56</v>
      </c>
      <c r="AL24" s="17">
        <v>0</v>
      </c>
      <c r="AM24" s="17"/>
    </row>
    <row r="25" spans="1:39" x14ac:dyDescent="0.3">
      <c r="A25" s="16" t="s">
        <v>774</v>
      </c>
      <c r="B25" s="17">
        <v>2025</v>
      </c>
      <c r="C25" s="17" t="s">
        <v>2871</v>
      </c>
      <c r="D25" s="17" t="s">
        <v>2872</v>
      </c>
      <c r="E25" s="17" t="s">
        <v>42</v>
      </c>
      <c r="F25" s="18" t="s">
        <v>2980</v>
      </c>
      <c r="G25" s="19">
        <v>87</v>
      </c>
      <c r="H25" s="19" t="s">
        <v>918</v>
      </c>
      <c r="I25" s="20">
        <v>45999</v>
      </c>
      <c r="J25" s="20">
        <v>45999</v>
      </c>
      <c r="K25" s="17"/>
      <c r="L25" s="17" t="s">
        <v>181</v>
      </c>
      <c r="M25" s="17" t="s">
        <v>613</v>
      </c>
      <c r="N25" s="17" t="s">
        <v>777</v>
      </c>
      <c r="O25" s="17">
        <v>7</v>
      </c>
      <c r="P25" s="17">
        <v>4098618375</v>
      </c>
      <c r="Q25" s="17">
        <v>40986183756</v>
      </c>
      <c r="R25" s="17" t="s">
        <v>778</v>
      </c>
      <c r="S25" s="17"/>
      <c r="T25" s="17" t="s">
        <v>779</v>
      </c>
      <c r="U25" s="17"/>
      <c r="V25" s="17"/>
      <c r="W25" s="17" t="s">
        <v>780</v>
      </c>
      <c r="X25" s="17" t="s">
        <v>224</v>
      </c>
      <c r="Y25" s="17" t="s">
        <v>781</v>
      </c>
      <c r="Z25" s="17" t="s">
        <v>2981</v>
      </c>
      <c r="AA25" s="20"/>
      <c r="AB25" s="17"/>
      <c r="AC25" s="17" t="s">
        <v>2981</v>
      </c>
      <c r="AD25" s="20">
        <v>46028</v>
      </c>
      <c r="AE25" s="17">
        <v>1000000</v>
      </c>
      <c r="AF25" s="17">
        <v>600000</v>
      </c>
      <c r="AG25" s="17">
        <v>400000</v>
      </c>
      <c r="AH25" s="17">
        <v>0</v>
      </c>
      <c r="AI25" s="20">
        <v>46028</v>
      </c>
      <c r="AJ25" s="17">
        <v>0</v>
      </c>
      <c r="AK25" s="20"/>
      <c r="AL25" s="17">
        <v>0</v>
      </c>
      <c r="AM25" s="17"/>
    </row>
    <row r="26" spans="1:39" x14ac:dyDescent="0.3">
      <c r="A26" s="16" t="s">
        <v>1259</v>
      </c>
      <c r="B26" s="17">
        <v>2025</v>
      </c>
      <c r="C26" s="17" t="s">
        <v>2871</v>
      </c>
      <c r="D26" s="17"/>
      <c r="E26" s="17" t="s">
        <v>42</v>
      </c>
      <c r="F26" s="18" t="s">
        <v>2982</v>
      </c>
      <c r="G26" s="19">
        <v>88</v>
      </c>
      <c r="H26" s="19" t="s">
        <v>929</v>
      </c>
      <c r="I26" s="20">
        <v>46000</v>
      </c>
      <c r="J26" s="20">
        <v>46000</v>
      </c>
      <c r="K26" s="17"/>
      <c r="L26" s="17" t="s">
        <v>181</v>
      </c>
      <c r="M26" s="17" t="s">
        <v>334</v>
      </c>
      <c r="N26" s="17" t="s">
        <v>1262</v>
      </c>
      <c r="O26" s="17">
        <v>5</v>
      </c>
      <c r="P26" s="17">
        <v>1198130845</v>
      </c>
      <c r="Q26" s="17">
        <v>91920118401</v>
      </c>
      <c r="R26" s="17" t="s">
        <v>1067</v>
      </c>
      <c r="S26" s="17"/>
      <c r="T26" s="17" t="s">
        <v>1263</v>
      </c>
      <c r="U26" s="17" t="s">
        <v>1079</v>
      </c>
      <c r="V26" s="17" t="s">
        <v>2983</v>
      </c>
      <c r="W26" s="17" t="s">
        <v>1264</v>
      </c>
      <c r="X26" s="17"/>
      <c r="Y26" s="17" t="s">
        <v>1265</v>
      </c>
      <c r="Z26" s="17" t="s">
        <v>1266</v>
      </c>
      <c r="AA26" s="20"/>
      <c r="AB26" s="17"/>
      <c r="AC26" s="17" t="s">
        <v>1073</v>
      </c>
      <c r="AD26" s="20">
        <v>46028</v>
      </c>
      <c r="AE26" s="17">
        <v>1000000</v>
      </c>
      <c r="AF26" s="17">
        <v>1000000</v>
      </c>
      <c r="AG26" s="17">
        <v>0</v>
      </c>
      <c r="AH26" s="17">
        <v>1000000</v>
      </c>
      <c r="AI26" s="20">
        <v>46028</v>
      </c>
      <c r="AJ26" s="17">
        <v>1000000</v>
      </c>
      <c r="AK26" s="20" t="s">
        <v>56</v>
      </c>
      <c r="AL26" s="17">
        <v>0</v>
      </c>
      <c r="AM26" s="17"/>
    </row>
    <row r="27" spans="1:39" x14ac:dyDescent="0.3">
      <c r="A27" s="16" t="s">
        <v>622</v>
      </c>
      <c r="B27" s="17">
        <v>2025</v>
      </c>
      <c r="C27" s="17" t="s">
        <v>2871</v>
      </c>
      <c r="D27" s="17" t="s">
        <v>2872</v>
      </c>
      <c r="E27" s="17" t="s">
        <v>42</v>
      </c>
      <c r="F27" s="18" t="s">
        <v>2984</v>
      </c>
      <c r="G27" s="19">
        <v>89</v>
      </c>
      <c r="H27" s="19" t="s">
        <v>2315</v>
      </c>
      <c r="I27" s="20">
        <v>46001</v>
      </c>
      <c r="J27" s="20">
        <v>46001</v>
      </c>
      <c r="K27" s="17"/>
      <c r="L27" s="17" t="s">
        <v>46</v>
      </c>
      <c r="M27" s="17" t="s">
        <v>42</v>
      </c>
      <c r="N27" s="17" t="s">
        <v>625</v>
      </c>
      <c r="O27" s="17">
        <v>18</v>
      </c>
      <c r="P27" s="17">
        <v>5058108961</v>
      </c>
      <c r="Q27" s="17">
        <v>50581089616</v>
      </c>
      <c r="R27" s="17" t="s">
        <v>626</v>
      </c>
      <c r="S27" s="17"/>
      <c r="T27" s="17" t="s">
        <v>627</v>
      </c>
      <c r="U27" s="17"/>
      <c r="V27" s="17"/>
      <c r="W27" s="17" t="s">
        <v>2985</v>
      </c>
      <c r="X27" s="17" t="s">
        <v>89</v>
      </c>
      <c r="Y27" s="17" t="s">
        <v>2986</v>
      </c>
      <c r="Z27" s="17" t="s">
        <v>2987</v>
      </c>
      <c r="AA27" s="20">
        <v>46028</v>
      </c>
      <c r="AB27" s="17" t="s">
        <v>46</v>
      </c>
      <c r="AC27" s="17" t="s">
        <v>2987</v>
      </c>
      <c r="AD27" s="20">
        <v>46028</v>
      </c>
      <c r="AE27" s="17">
        <v>1150000</v>
      </c>
      <c r="AF27" s="17">
        <v>750000</v>
      </c>
      <c r="AG27" s="17">
        <v>400000</v>
      </c>
      <c r="AH27" s="17">
        <v>0</v>
      </c>
      <c r="AI27" s="20">
        <v>46028</v>
      </c>
      <c r="AJ27" s="17">
        <v>0</v>
      </c>
      <c r="AK27" s="20"/>
      <c r="AL27" s="17">
        <v>0</v>
      </c>
      <c r="AM27" s="17"/>
    </row>
    <row r="28" spans="1:39" x14ac:dyDescent="0.3">
      <c r="A28" s="16" t="s">
        <v>999</v>
      </c>
      <c r="B28" s="17">
        <v>2025</v>
      </c>
      <c r="C28" s="17" t="s">
        <v>2871</v>
      </c>
      <c r="D28" s="17" t="s">
        <v>71</v>
      </c>
      <c r="E28" s="17" t="s">
        <v>42</v>
      </c>
      <c r="F28" s="18" t="s">
        <v>2988</v>
      </c>
      <c r="G28" s="19">
        <v>90</v>
      </c>
      <c r="H28" s="19" t="s">
        <v>951</v>
      </c>
      <c r="I28" s="20">
        <v>46002</v>
      </c>
      <c r="J28" s="20">
        <v>46002</v>
      </c>
      <c r="K28" s="17"/>
      <c r="L28" s="17" t="s">
        <v>73</v>
      </c>
      <c r="M28" s="17" t="s">
        <v>42</v>
      </c>
      <c r="N28" s="17" t="s">
        <v>1002</v>
      </c>
      <c r="O28" s="17">
        <v>128</v>
      </c>
      <c r="P28" s="17">
        <v>2078146590</v>
      </c>
      <c r="Q28" s="17" t="s">
        <v>2989</v>
      </c>
      <c r="R28" s="17" t="s">
        <v>1003</v>
      </c>
      <c r="S28" s="17"/>
      <c r="T28" s="17" t="s">
        <v>1004</v>
      </c>
      <c r="U28" s="17" t="s">
        <v>1005</v>
      </c>
      <c r="V28" s="17" t="s">
        <v>2990</v>
      </c>
      <c r="W28" s="17" t="s">
        <v>1006</v>
      </c>
      <c r="X28" s="17"/>
      <c r="Y28" s="17" t="s">
        <v>1007</v>
      </c>
      <c r="Z28" s="17" t="s">
        <v>1008</v>
      </c>
      <c r="AA28" s="21">
        <v>46022</v>
      </c>
      <c r="AB28" s="17" t="s">
        <v>73</v>
      </c>
      <c r="AC28" s="17" t="s">
        <v>1009</v>
      </c>
      <c r="AD28" s="20">
        <v>46008</v>
      </c>
      <c r="AE28" s="17">
        <v>1300000</v>
      </c>
      <c r="AF28" s="17">
        <v>1300000</v>
      </c>
      <c r="AG28" s="17">
        <v>0</v>
      </c>
      <c r="AH28" s="17">
        <v>0</v>
      </c>
      <c r="AI28" s="20">
        <v>46008</v>
      </c>
      <c r="AJ28" s="17">
        <v>0</v>
      </c>
      <c r="AK28" s="20" t="s">
        <v>56</v>
      </c>
      <c r="AL28" s="17">
        <v>0</v>
      </c>
      <c r="AM28" s="17"/>
    </row>
    <row r="29" spans="1:39" x14ac:dyDescent="0.3">
      <c r="A29" s="16" t="s">
        <v>2991</v>
      </c>
      <c r="B29" s="17">
        <v>2025</v>
      </c>
      <c r="C29" s="17" t="s">
        <v>2871</v>
      </c>
      <c r="D29" s="17" t="s">
        <v>2992</v>
      </c>
      <c r="E29" s="17" t="s">
        <v>42</v>
      </c>
      <c r="F29" s="18" t="s">
        <v>2993</v>
      </c>
      <c r="G29" s="19">
        <v>91</v>
      </c>
      <c r="H29" s="19" t="s">
        <v>962</v>
      </c>
      <c r="I29" s="20">
        <v>46002</v>
      </c>
      <c r="J29" s="20">
        <v>46002</v>
      </c>
      <c r="K29" s="17"/>
      <c r="L29" s="17" t="s">
        <v>61</v>
      </c>
      <c r="M29" s="17" t="s">
        <v>42</v>
      </c>
      <c r="N29" s="17" t="s">
        <v>2994</v>
      </c>
      <c r="O29" s="17">
        <v>22</v>
      </c>
      <c r="P29" s="17">
        <v>3718701178</v>
      </c>
      <c r="Q29" s="17" t="s">
        <v>2995</v>
      </c>
      <c r="R29" s="17" t="s">
        <v>2996</v>
      </c>
      <c r="S29" s="17"/>
      <c r="T29" s="17" t="s">
        <v>2997</v>
      </c>
      <c r="U29" s="17" t="s">
        <v>2998</v>
      </c>
      <c r="V29" s="17" t="s">
        <v>2999</v>
      </c>
      <c r="W29" s="17" t="s">
        <v>3000</v>
      </c>
      <c r="X29" s="17" t="s">
        <v>321</v>
      </c>
      <c r="Y29" s="17" t="s">
        <v>3001</v>
      </c>
      <c r="Z29" s="17" t="s">
        <v>3002</v>
      </c>
      <c r="AA29" s="20">
        <v>46028</v>
      </c>
      <c r="AB29" s="17" t="s">
        <v>61</v>
      </c>
      <c r="AC29" s="17" t="s">
        <v>3002</v>
      </c>
      <c r="AD29" s="20">
        <v>46013</v>
      </c>
      <c r="AE29" s="17">
        <v>1200000</v>
      </c>
      <c r="AF29" s="17">
        <v>800000</v>
      </c>
      <c r="AG29" s="17">
        <v>400000</v>
      </c>
      <c r="AH29" s="17">
        <v>0</v>
      </c>
      <c r="AI29" s="20">
        <v>46013</v>
      </c>
      <c r="AJ29" s="17">
        <v>0</v>
      </c>
      <c r="AK29" s="20"/>
      <c r="AL29" s="17">
        <v>0</v>
      </c>
      <c r="AM29" s="17"/>
    </row>
    <row r="30" spans="1:39" x14ac:dyDescent="0.3">
      <c r="A30" s="16" t="s">
        <v>3003</v>
      </c>
      <c r="B30" s="17">
        <v>2025</v>
      </c>
      <c r="C30" s="17" t="s">
        <v>2871</v>
      </c>
      <c r="D30" s="17" t="s">
        <v>2992</v>
      </c>
      <c r="E30" s="17" t="s">
        <v>42</v>
      </c>
      <c r="F30" s="18" t="s">
        <v>3004</v>
      </c>
      <c r="G30" s="19">
        <v>92</v>
      </c>
      <c r="H30" s="19" t="s">
        <v>974</v>
      </c>
      <c r="I30" s="20">
        <v>46002</v>
      </c>
      <c r="J30" s="20">
        <v>46002</v>
      </c>
      <c r="K30" s="17"/>
      <c r="L30" s="17" t="s">
        <v>181</v>
      </c>
      <c r="M30" s="17" t="s">
        <v>42</v>
      </c>
      <c r="N30" s="17" t="s">
        <v>3005</v>
      </c>
      <c r="O30" s="17">
        <v>13</v>
      </c>
      <c r="P30" s="17">
        <v>3128188679</v>
      </c>
      <c r="Q30" s="17" t="s">
        <v>3006</v>
      </c>
      <c r="R30" s="17" t="s">
        <v>3007</v>
      </c>
      <c r="S30" s="17"/>
      <c r="T30" s="17" t="s">
        <v>3008</v>
      </c>
      <c r="U30" s="17" t="s">
        <v>2998</v>
      </c>
      <c r="V30" s="17" t="s">
        <v>2999</v>
      </c>
      <c r="W30" s="17" t="s">
        <v>3000</v>
      </c>
      <c r="X30" s="17" t="s">
        <v>321</v>
      </c>
      <c r="Y30" s="17" t="s">
        <v>3001</v>
      </c>
      <c r="Z30" s="17" t="s">
        <v>3002</v>
      </c>
      <c r="AA30" s="20">
        <v>46029</v>
      </c>
      <c r="AB30" s="17" t="s">
        <v>61</v>
      </c>
      <c r="AC30" s="17" t="s">
        <v>3002</v>
      </c>
      <c r="AD30" s="20">
        <v>46013</v>
      </c>
      <c r="AE30" s="17">
        <v>600000</v>
      </c>
      <c r="AF30" s="17">
        <v>200000</v>
      </c>
      <c r="AG30" s="17">
        <v>400000</v>
      </c>
      <c r="AH30" s="17">
        <v>0</v>
      </c>
      <c r="AI30" s="20">
        <v>46013</v>
      </c>
      <c r="AJ30" s="17">
        <v>0</v>
      </c>
      <c r="AK30" s="20"/>
      <c r="AL30" s="17">
        <v>0</v>
      </c>
      <c r="AM30" s="17"/>
    </row>
    <row r="31" spans="1:39" x14ac:dyDescent="0.3">
      <c r="A31" s="16" t="s">
        <v>1286</v>
      </c>
      <c r="B31" s="17">
        <v>2025</v>
      </c>
      <c r="C31" s="17" t="s">
        <v>2871</v>
      </c>
      <c r="D31" s="17" t="s">
        <v>3009</v>
      </c>
      <c r="E31" s="17" t="s">
        <v>42</v>
      </c>
      <c r="F31" s="18" t="s">
        <v>3010</v>
      </c>
      <c r="G31" s="19">
        <v>93</v>
      </c>
      <c r="H31" s="19" t="s">
        <v>987</v>
      </c>
      <c r="I31" s="20">
        <v>46006</v>
      </c>
      <c r="J31" s="20">
        <v>46007</v>
      </c>
      <c r="K31" s="17"/>
      <c r="L31" s="17" t="s">
        <v>2930</v>
      </c>
      <c r="M31" s="17" t="s">
        <v>42</v>
      </c>
      <c r="N31" s="17" t="s">
        <v>1291</v>
      </c>
      <c r="O31" s="17">
        <v>168</v>
      </c>
      <c r="P31" s="17">
        <v>3128149360</v>
      </c>
      <c r="Q31" s="17">
        <v>31281493600</v>
      </c>
      <c r="R31" s="17" t="s">
        <v>1292</v>
      </c>
      <c r="S31" s="17"/>
      <c r="T31" s="17" t="s">
        <v>1293</v>
      </c>
      <c r="U31" s="17" t="s">
        <v>1294</v>
      </c>
      <c r="V31" s="17" t="s">
        <v>3011</v>
      </c>
      <c r="W31" s="17" t="s">
        <v>1295</v>
      </c>
      <c r="X31" s="17" t="s">
        <v>134</v>
      </c>
      <c r="Y31" s="17" t="s">
        <v>1296</v>
      </c>
      <c r="Z31" s="17" t="s">
        <v>1297</v>
      </c>
      <c r="AA31" s="20"/>
      <c r="AB31" s="17"/>
      <c r="AC31" s="17" t="s">
        <v>1298</v>
      </c>
      <c r="AD31" s="20">
        <v>46013</v>
      </c>
      <c r="AE31" s="17">
        <v>9500000</v>
      </c>
      <c r="AF31" s="17">
        <v>9500000</v>
      </c>
      <c r="AG31" s="17">
        <v>0</v>
      </c>
      <c r="AH31" s="17">
        <v>0</v>
      </c>
      <c r="AI31" s="20">
        <v>46013</v>
      </c>
      <c r="AJ31" s="17">
        <v>0</v>
      </c>
      <c r="AK31" s="20" t="s">
        <v>56</v>
      </c>
      <c r="AL31" s="17">
        <v>0</v>
      </c>
      <c r="AM31" s="17"/>
    </row>
    <row r="32" spans="1:39" x14ac:dyDescent="0.3">
      <c r="A32" s="16" t="s">
        <v>1170</v>
      </c>
      <c r="B32" s="17">
        <v>2025</v>
      </c>
      <c r="C32" s="17" t="s">
        <v>2871</v>
      </c>
      <c r="D32" s="17" t="s">
        <v>2872</v>
      </c>
      <c r="E32" s="17" t="s">
        <v>42</v>
      </c>
      <c r="F32" s="18" t="s">
        <v>3012</v>
      </c>
      <c r="G32" s="19">
        <v>94</v>
      </c>
      <c r="H32" s="19" t="s">
        <v>992</v>
      </c>
      <c r="I32" s="20">
        <v>46006</v>
      </c>
      <c r="J32" s="20">
        <v>46006</v>
      </c>
      <c r="K32" s="17"/>
      <c r="L32" s="17" t="s">
        <v>73</v>
      </c>
      <c r="M32" s="17" t="s">
        <v>42</v>
      </c>
      <c r="N32" s="17" t="s">
        <v>1173</v>
      </c>
      <c r="O32" s="17">
        <v>9</v>
      </c>
      <c r="P32" s="17">
        <v>7358600094</v>
      </c>
      <c r="Q32" s="17">
        <v>73586000946</v>
      </c>
      <c r="R32" s="17" t="s">
        <v>63</v>
      </c>
      <c r="S32" s="17"/>
      <c r="T32" s="17" t="s">
        <v>1174</v>
      </c>
      <c r="U32" s="17" t="s">
        <v>1175</v>
      </c>
      <c r="V32" s="17" t="s">
        <v>3013</v>
      </c>
      <c r="W32" s="17" t="s">
        <v>65</v>
      </c>
      <c r="X32" s="17" t="s">
        <v>66</v>
      </c>
      <c r="Y32" s="17" t="s">
        <v>67</v>
      </c>
      <c r="Z32" s="17" t="s">
        <v>68</v>
      </c>
      <c r="AA32" s="20"/>
      <c r="AB32" s="17"/>
      <c r="AC32" s="17" t="s">
        <v>68</v>
      </c>
      <c r="AD32" s="20" t="s">
        <v>69</v>
      </c>
      <c r="AE32" s="17">
        <v>400000</v>
      </c>
      <c r="AF32" s="17">
        <v>0</v>
      </c>
      <c r="AG32" s="17">
        <v>400000</v>
      </c>
      <c r="AH32" s="17">
        <v>0</v>
      </c>
      <c r="AI32" s="21" t="s">
        <v>69</v>
      </c>
      <c r="AJ32" s="17">
        <v>0</v>
      </c>
      <c r="AK32" s="20"/>
      <c r="AL32" s="17">
        <v>0</v>
      </c>
      <c r="AM32" s="17"/>
    </row>
    <row r="33" spans="1:39" x14ac:dyDescent="0.3">
      <c r="A33" s="16" t="s">
        <v>1186</v>
      </c>
      <c r="B33" s="17">
        <v>2025</v>
      </c>
      <c r="C33" s="17" t="s">
        <v>2871</v>
      </c>
      <c r="D33" s="17" t="s">
        <v>71</v>
      </c>
      <c r="E33" s="17" t="s">
        <v>42</v>
      </c>
      <c r="F33" s="18" t="s">
        <v>3014</v>
      </c>
      <c r="G33" s="19">
        <v>95</v>
      </c>
      <c r="H33" s="19" t="s">
        <v>1001</v>
      </c>
      <c r="I33" s="20">
        <v>46007</v>
      </c>
      <c r="J33" s="20">
        <v>46007</v>
      </c>
      <c r="K33" s="17"/>
      <c r="L33" s="17" t="s">
        <v>46</v>
      </c>
      <c r="M33" s="17" t="s">
        <v>42</v>
      </c>
      <c r="N33" s="17" t="s">
        <v>1190</v>
      </c>
      <c r="O33" s="17">
        <v>240</v>
      </c>
      <c r="P33" s="17">
        <v>1298118421</v>
      </c>
      <c r="Q33" s="17" t="s">
        <v>3015</v>
      </c>
      <c r="R33" s="17" t="s">
        <v>1191</v>
      </c>
      <c r="S33" s="17"/>
      <c r="T33" s="17" t="s">
        <v>1192</v>
      </c>
      <c r="U33" s="17" t="s">
        <v>1193</v>
      </c>
      <c r="V33" s="17" t="s">
        <v>3016</v>
      </c>
      <c r="W33" s="17" t="s">
        <v>1194</v>
      </c>
      <c r="X33" s="17" t="s">
        <v>178</v>
      </c>
      <c r="Y33" s="17" t="s">
        <v>1195</v>
      </c>
      <c r="Z33" s="17" t="s">
        <v>1196</v>
      </c>
      <c r="AA33" s="20"/>
      <c r="AB33" s="17"/>
      <c r="AC33" s="17" t="s">
        <v>1196</v>
      </c>
      <c r="AD33" s="20">
        <v>46021</v>
      </c>
      <c r="AE33" s="17">
        <v>1900000</v>
      </c>
      <c r="AF33" s="17">
        <v>1900000</v>
      </c>
      <c r="AG33" s="17">
        <v>0</v>
      </c>
      <c r="AH33" s="17">
        <v>0</v>
      </c>
      <c r="AI33" s="20">
        <v>46021</v>
      </c>
      <c r="AJ33" s="17">
        <v>0</v>
      </c>
      <c r="AK33" s="20" t="s">
        <v>56</v>
      </c>
      <c r="AL33" s="17">
        <v>0</v>
      </c>
      <c r="AM33" s="17"/>
    </row>
    <row r="34" spans="1:39" x14ac:dyDescent="0.3">
      <c r="A34" s="16" t="s">
        <v>3017</v>
      </c>
      <c r="B34" s="17">
        <v>2025</v>
      </c>
      <c r="C34" s="17" t="s">
        <v>2871</v>
      </c>
      <c r="D34" s="17" t="s">
        <v>2953</v>
      </c>
      <c r="E34" s="17" t="s">
        <v>42</v>
      </c>
      <c r="F34" s="18" t="s">
        <v>3018</v>
      </c>
      <c r="G34" s="19">
        <v>96</v>
      </c>
      <c r="H34" s="19" t="s">
        <v>1001</v>
      </c>
      <c r="I34" s="20">
        <v>46008</v>
      </c>
      <c r="J34" s="20">
        <v>46008</v>
      </c>
      <c r="K34" s="17"/>
      <c r="L34" s="17" t="s">
        <v>181</v>
      </c>
      <c r="M34" s="17" t="s">
        <v>613</v>
      </c>
      <c r="N34" s="17" t="s">
        <v>3019</v>
      </c>
      <c r="O34" s="17">
        <v>4</v>
      </c>
      <c r="P34" s="17">
        <v>3138102242</v>
      </c>
      <c r="Q34" s="17">
        <v>31381022426</v>
      </c>
      <c r="R34" s="17" t="s">
        <v>3020</v>
      </c>
      <c r="S34" s="17"/>
      <c r="T34" s="17" t="s">
        <v>3021</v>
      </c>
      <c r="U34" s="17" t="s">
        <v>3022</v>
      </c>
      <c r="V34" s="17" t="s">
        <v>3023</v>
      </c>
      <c r="W34" s="17" t="s">
        <v>3024</v>
      </c>
      <c r="X34" s="17" t="s">
        <v>134</v>
      </c>
      <c r="Y34" s="17" t="s">
        <v>3025</v>
      </c>
      <c r="Z34" s="17" t="s">
        <v>3026</v>
      </c>
      <c r="AA34" s="20"/>
      <c r="AB34" s="17"/>
      <c r="AC34" s="17" t="s">
        <v>3027</v>
      </c>
      <c r="AD34" s="20" t="s">
        <v>69</v>
      </c>
      <c r="AE34" s="17">
        <v>981880</v>
      </c>
      <c r="AF34" s="17">
        <v>0</v>
      </c>
      <c r="AG34" s="17">
        <v>981880</v>
      </c>
      <c r="AH34" s="17">
        <v>0</v>
      </c>
      <c r="AI34" s="21" t="s">
        <v>69</v>
      </c>
      <c r="AJ34" s="17">
        <v>0</v>
      </c>
      <c r="AK34" s="20"/>
      <c r="AL34" s="17">
        <v>0</v>
      </c>
      <c r="AM34" s="17"/>
    </row>
    <row r="35" spans="1:39" x14ac:dyDescent="0.3">
      <c r="A35" s="16" t="s">
        <v>585</v>
      </c>
      <c r="B35" s="17">
        <v>2025</v>
      </c>
      <c r="C35" s="17" t="s">
        <v>2871</v>
      </c>
      <c r="D35" s="17" t="s">
        <v>3028</v>
      </c>
      <c r="E35" s="17" t="s">
        <v>42</v>
      </c>
      <c r="F35" s="18" t="s">
        <v>3029</v>
      </c>
      <c r="G35" s="19">
        <v>97</v>
      </c>
      <c r="H35" s="19" t="s">
        <v>1012</v>
      </c>
      <c r="I35" s="20">
        <v>46008</v>
      </c>
      <c r="J35" s="20">
        <v>46008</v>
      </c>
      <c r="K35" s="17"/>
      <c r="L35" s="17" t="s">
        <v>46</v>
      </c>
      <c r="M35" s="17" t="s">
        <v>589</v>
      </c>
      <c r="N35" s="17" t="s">
        <v>590</v>
      </c>
      <c r="O35" s="17">
        <v>23</v>
      </c>
      <c r="P35" s="17">
        <v>1378144615</v>
      </c>
      <c r="Q35" s="17">
        <v>13781446150</v>
      </c>
      <c r="R35" s="17" t="s">
        <v>591</v>
      </c>
      <c r="S35" s="17"/>
      <c r="T35" s="17" t="s">
        <v>592</v>
      </c>
      <c r="U35" s="17" t="s">
        <v>593</v>
      </c>
      <c r="V35" s="17" t="s">
        <v>3030</v>
      </c>
      <c r="W35" s="17" t="s">
        <v>594</v>
      </c>
      <c r="X35" s="17" t="s">
        <v>134</v>
      </c>
      <c r="Y35" s="17" t="s">
        <v>595</v>
      </c>
      <c r="Z35" s="17" t="s">
        <v>596</v>
      </c>
      <c r="AA35" s="20"/>
      <c r="AB35" s="17"/>
      <c r="AC35" s="17" t="s">
        <v>597</v>
      </c>
      <c r="AD35" s="20"/>
      <c r="AE35" s="17">
        <v>1880000</v>
      </c>
      <c r="AF35" s="17">
        <v>1480000</v>
      </c>
      <c r="AG35" s="17">
        <v>400000</v>
      </c>
      <c r="AH35" s="17">
        <v>0</v>
      </c>
      <c r="AI35" s="20"/>
      <c r="AJ35" s="17">
        <v>0</v>
      </c>
      <c r="AK35" s="20"/>
      <c r="AL35" s="17">
        <v>0</v>
      </c>
      <c r="AM35" s="17"/>
    </row>
    <row r="36" spans="1:39" x14ac:dyDescent="0.3">
      <c r="A36" s="16" t="s">
        <v>3031</v>
      </c>
      <c r="B36" s="17">
        <v>2025</v>
      </c>
      <c r="C36" s="17" t="s">
        <v>2871</v>
      </c>
      <c r="D36" s="17"/>
      <c r="E36" s="17" t="s">
        <v>42</v>
      </c>
      <c r="F36" s="18" t="s">
        <v>3032</v>
      </c>
      <c r="G36" s="19">
        <v>98</v>
      </c>
      <c r="H36" s="19" t="s">
        <v>1022</v>
      </c>
      <c r="I36" s="20">
        <v>46009</v>
      </c>
      <c r="J36" s="20">
        <v>46009</v>
      </c>
      <c r="K36" s="17"/>
      <c r="L36" s="17" t="s">
        <v>46</v>
      </c>
      <c r="M36" s="17" t="s">
        <v>2895</v>
      </c>
      <c r="N36" s="17" t="s">
        <v>3033</v>
      </c>
      <c r="O36" s="17">
        <v>255</v>
      </c>
      <c r="P36" s="17">
        <v>6168127929</v>
      </c>
      <c r="Q36" s="17" t="s">
        <v>3034</v>
      </c>
      <c r="R36" s="17" t="s">
        <v>3035</v>
      </c>
      <c r="S36" s="17"/>
      <c r="T36" s="17" t="s">
        <v>3036</v>
      </c>
      <c r="U36" s="17" t="s">
        <v>3037</v>
      </c>
      <c r="V36" s="17" t="s">
        <v>3038</v>
      </c>
      <c r="W36" s="17" t="s">
        <v>3039</v>
      </c>
      <c r="X36" s="17" t="s">
        <v>442</v>
      </c>
      <c r="Y36" s="17" t="s">
        <v>3040</v>
      </c>
      <c r="Z36" s="17" t="s">
        <v>3041</v>
      </c>
      <c r="AA36" s="20">
        <v>46028</v>
      </c>
      <c r="AB36" s="17" t="s">
        <v>46</v>
      </c>
      <c r="AC36" s="17" t="s">
        <v>3042</v>
      </c>
      <c r="AD36" s="21">
        <v>46008</v>
      </c>
      <c r="AE36" s="17">
        <v>750000</v>
      </c>
      <c r="AF36" s="17">
        <v>750000</v>
      </c>
      <c r="AG36" s="17">
        <v>0</v>
      </c>
      <c r="AH36" s="17">
        <v>750000</v>
      </c>
      <c r="AI36" s="20">
        <v>46008</v>
      </c>
      <c r="AJ36" s="17">
        <v>750000</v>
      </c>
      <c r="AK36" s="20" t="s">
        <v>56</v>
      </c>
      <c r="AL36" s="17">
        <v>0</v>
      </c>
      <c r="AM36" s="17" t="s">
        <v>3043</v>
      </c>
    </row>
    <row r="37" spans="1:39" x14ac:dyDescent="0.3">
      <c r="A37" s="16" t="s">
        <v>3044</v>
      </c>
      <c r="B37" s="17">
        <v>2025</v>
      </c>
      <c r="C37" s="17" t="s">
        <v>2871</v>
      </c>
      <c r="D37" s="17" t="s">
        <v>2953</v>
      </c>
      <c r="E37" s="17" t="s">
        <v>42</v>
      </c>
      <c r="F37" s="18" t="s">
        <v>3045</v>
      </c>
      <c r="G37" s="19">
        <v>99</v>
      </c>
      <c r="H37" s="19" t="s">
        <v>1036</v>
      </c>
      <c r="I37" s="20">
        <v>46009</v>
      </c>
      <c r="J37" s="20">
        <v>46009</v>
      </c>
      <c r="K37" s="17"/>
      <c r="L37" s="17" t="s">
        <v>61</v>
      </c>
      <c r="M37" s="17" t="s">
        <v>42</v>
      </c>
      <c r="N37" s="17" t="s">
        <v>3046</v>
      </c>
      <c r="O37" s="17">
        <v>50</v>
      </c>
      <c r="P37" s="17">
        <v>1188121173</v>
      </c>
      <c r="Q37" s="17">
        <v>21486072996</v>
      </c>
      <c r="R37" s="17" t="s">
        <v>3047</v>
      </c>
      <c r="S37" s="17"/>
      <c r="T37" s="17" t="s">
        <v>3048</v>
      </c>
      <c r="U37" s="17"/>
      <c r="V37" s="17"/>
      <c r="W37" s="17" t="s">
        <v>2605</v>
      </c>
      <c r="X37" s="17"/>
      <c r="Y37" s="17" t="s">
        <v>3049</v>
      </c>
      <c r="Z37" s="17" t="s">
        <v>3050</v>
      </c>
      <c r="AA37" s="21"/>
      <c r="AB37" s="17"/>
      <c r="AC37" s="17" t="s">
        <v>3051</v>
      </c>
      <c r="AD37" s="20">
        <v>46013</v>
      </c>
      <c r="AE37" s="17">
        <v>1300000</v>
      </c>
      <c r="AF37" s="17">
        <v>1300000</v>
      </c>
      <c r="AG37" s="17">
        <v>0</v>
      </c>
      <c r="AH37" s="17">
        <v>1300000</v>
      </c>
      <c r="AI37" s="20">
        <v>46013</v>
      </c>
      <c r="AJ37" s="17">
        <v>1300000</v>
      </c>
      <c r="AK37" s="20" t="s">
        <v>56</v>
      </c>
      <c r="AL37" s="17">
        <v>0</v>
      </c>
      <c r="AM37" s="17"/>
    </row>
    <row r="38" spans="1:39" x14ac:dyDescent="0.3">
      <c r="A38" s="16" t="s">
        <v>3052</v>
      </c>
      <c r="B38" s="17">
        <v>2025</v>
      </c>
      <c r="C38" s="17" t="s">
        <v>2871</v>
      </c>
      <c r="D38" s="17" t="s">
        <v>2953</v>
      </c>
      <c r="E38" s="17" t="s">
        <v>42</v>
      </c>
      <c r="F38" s="18" t="s">
        <v>3053</v>
      </c>
      <c r="G38" s="19">
        <v>100</v>
      </c>
      <c r="H38" s="19" t="s">
        <v>1044</v>
      </c>
      <c r="I38" s="20">
        <v>46009</v>
      </c>
      <c r="J38" s="20">
        <v>46009</v>
      </c>
      <c r="K38" s="17"/>
      <c r="L38" s="17" t="s">
        <v>218</v>
      </c>
      <c r="M38" s="17" t="s">
        <v>42</v>
      </c>
      <c r="N38" s="17" t="s">
        <v>3054</v>
      </c>
      <c r="O38" s="17">
        <v>25</v>
      </c>
      <c r="P38" s="17">
        <v>2048171256</v>
      </c>
      <c r="Q38" s="17">
        <v>91201346717</v>
      </c>
      <c r="R38" s="17" t="s">
        <v>3055</v>
      </c>
      <c r="S38" s="17"/>
      <c r="T38" s="17" t="s">
        <v>3048</v>
      </c>
      <c r="U38" s="17"/>
      <c r="V38" s="17"/>
      <c r="W38" s="17" t="s">
        <v>3056</v>
      </c>
      <c r="X38" s="17" t="s">
        <v>532</v>
      </c>
      <c r="Y38" s="17" t="s">
        <v>3057</v>
      </c>
      <c r="Z38" s="17" t="s">
        <v>3058</v>
      </c>
      <c r="AA38" s="20"/>
      <c r="AB38" s="17"/>
      <c r="AC38" s="17" t="s">
        <v>3059</v>
      </c>
      <c r="AD38" s="20">
        <v>46013</v>
      </c>
      <c r="AE38" s="17">
        <v>1500000</v>
      </c>
      <c r="AF38" s="17">
        <v>500000</v>
      </c>
      <c r="AG38" s="17">
        <v>1000000</v>
      </c>
      <c r="AH38" s="17">
        <v>1000000</v>
      </c>
      <c r="AI38" s="20">
        <v>46013</v>
      </c>
      <c r="AJ38" s="17">
        <v>1000000</v>
      </c>
      <c r="AK38" s="20"/>
      <c r="AL38" s="17">
        <v>0</v>
      </c>
      <c r="AM38" s="17"/>
    </row>
    <row r="39" spans="1:39" x14ac:dyDescent="0.3">
      <c r="A39" s="16" t="s">
        <v>3060</v>
      </c>
      <c r="B39" s="17">
        <v>2025</v>
      </c>
      <c r="C39" s="17" t="s">
        <v>2871</v>
      </c>
      <c r="D39" s="17" t="s">
        <v>2953</v>
      </c>
      <c r="E39" s="17" t="s">
        <v>42</v>
      </c>
      <c r="F39" s="18" t="s">
        <v>3061</v>
      </c>
      <c r="G39" s="19">
        <v>101</v>
      </c>
      <c r="H39" s="19" t="s">
        <v>1055</v>
      </c>
      <c r="I39" s="20">
        <v>46009</v>
      </c>
      <c r="J39" s="20">
        <v>46009</v>
      </c>
      <c r="K39" s="17"/>
      <c r="L39" s="17" t="s">
        <v>97</v>
      </c>
      <c r="M39" s="17" t="s">
        <v>42</v>
      </c>
      <c r="N39" s="17" t="s">
        <v>3062</v>
      </c>
      <c r="O39" s="17">
        <v>33</v>
      </c>
      <c r="P39" s="17">
        <v>4358600457</v>
      </c>
      <c r="Q39" s="17">
        <v>43586004576</v>
      </c>
      <c r="R39" s="17" t="s">
        <v>3063</v>
      </c>
      <c r="S39" s="17"/>
      <c r="T39" s="17" t="s">
        <v>3048</v>
      </c>
      <c r="U39" s="17"/>
      <c r="V39" s="17"/>
      <c r="W39" s="17" t="s">
        <v>3064</v>
      </c>
      <c r="X39" s="17"/>
      <c r="Y39" s="17" t="s">
        <v>3065</v>
      </c>
      <c r="Z39" s="17" t="s">
        <v>3066</v>
      </c>
      <c r="AA39" s="20"/>
      <c r="AB39" s="17"/>
      <c r="AC39" s="17" t="s">
        <v>3067</v>
      </c>
      <c r="AD39" s="20" t="s">
        <v>69</v>
      </c>
      <c r="AE39" s="17">
        <v>1000000</v>
      </c>
      <c r="AF39" s="17">
        <v>0</v>
      </c>
      <c r="AG39" s="17">
        <v>1000000</v>
      </c>
      <c r="AH39" s="17">
        <v>0</v>
      </c>
      <c r="AI39" s="21" t="s">
        <v>69</v>
      </c>
      <c r="AJ39" s="17">
        <v>0</v>
      </c>
      <c r="AK39" s="20"/>
      <c r="AL39" s="17">
        <v>0</v>
      </c>
      <c r="AM39" s="17"/>
    </row>
    <row r="40" spans="1:39" x14ac:dyDescent="0.3">
      <c r="A40" s="16" t="s">
        <v>1154</v>
      </c>
      <c r="B40" s="17">
        <v>2025</v>
      </c>
      <c r="C40" s="17" t="s">
        <v>2871</v>
      </c>
      <c r="D40" s="17"/>
      <c r="E40" s="17" t="s">
        <v>42</v>
      </c>
      <c r="F40" s="18" t="s">
        <v>3068</v>
      </c>
      <c r="G40" s="19">
        <v>102</v>
      </c>
      <c r="H40" s="19" t="s">
        <v>1085</v>
      </c>
      <c r="I40" s="20">
        <v>46009</v>
      </c>
      <c r="J40" s="20">
        <v>46009</v>
      </c>
      <c r="K40" s="17"/>
      <c r="L40" s="17" t="s">
        <v>181</v>
      </c>
      <c r="M40" s="17" t="s">
        <v>42</v>
      </c>
      <c r="N40" s="17" t="s">
        <v>1158</v>
      </c>
      <c r="O40" s="17">
        <v>10</v>
      </c>
      <c r="P40" s="17">
        <v>1838602229</v>
      </c>
      <c r="Q40" s="17" t="s">
        <v>3069</v>
      </c>
      <c r="R40" s="17" t="s">
        <v>865</v>
      </c>
      <c r="S40" s="17"/>
      <c r="T40" s="17" t="s">
        <v>1159</v>
      </c>
      <c r="U40" s="17" t="s">
        <v>1160</v>
      </c>
      <c r="V40" s="17" t="s">
        <v>2868</v>
      </c>
      <c r="W40" s="17" t="s">
        <v>857</v>
      </c>
      <c r="X40" s="17" t="s">
        <v>491</v>
      </c>
      <c r="Y40" s="17" t="s">
        <v>858</v>
      </c>
      <c r="Z40" s="17" t="s">
        <v>859</v>
      </c>
      <c r="AA40" s="20"/>
      <c r="AB40" s="17"/>
      <c r="AC40" s="17" t="s">
        <v>859</v>
      </c>
      <c r="AD40" s="20">
        <v>46013</v>
      </c>
      <c r="AE40" s="17">
        <v>600000</v>
      </c>
      <c r="AF40" s="17">
        <v>600000</v>
      </c>
      <c r="AG40" s="17">
        <v>0</v>
      </c>
      <c r="AH40" s="17">
        <v>0</v>
      </c>
      <c r="AI40" s="20">
        <v>46013</v>
      </c>
      <c r="AJ40" s="17">
        <v>0</v>
      </c>
      <c r="AK40" s="20" t="s">
        <v>56</v>
      </c>
      <c r="AL40" s="17">
        <v>0</v>
      </c>
      <c r="AM40" s="17"/>
    </row>
    <row r="41" spans="1:39" x14ac:dyDescent="0.3">
      <c r="A41" s="16" t="s">
        <v>3070</v>
      </c>
      <c r="B41" s="17">
        <v>2025</v>
      </c>
      <c r="C41" s="17" t="s">
        <v>2871</v>
      </c>
      <c r="D41" s="17" t="s">
        <v>2953</v>
      </c>
      <c r="E41" s="17" t="s">
        <v>42</v>
      </c>
      <c r="F41" s="18" t="s">
        <v>3071</v>
      </c>
      <c r="G41" s="19">
        <v>103</v>
      </c>
      <c r="H41" s="19" t="s">
        <v>1092</v>
      </c>
      <c r="I41" s="20">
        <v>46020</v>
      </c>
      <c r="J41" s="20">
        <v>46020</v>
      </c>
      <c r="K41" s="17"/>
      <c r="L41" s="17" t="s">
        <v>46</v>
      </c>
      <c r="M41" s="17" t="s">
        <v>3072</v>
      </c>
      <c r="N41" s="17" t="s">
        <v>3073</v>
      </c>
      <c r="O41" s="17">
        <v>15</v>
      </c>
      <c r="P41" s="17">
        <v>6108161666</v>
      </c>
      <c r="Q41" s="17">
        <v>61081616666</v>
      </c>
      <c r="R41" s="17" t="s">
        <v>3074</v>
      </c>
      <c r="S41" s="17"/>
      <c r="T41" s="17" t="s">
        <v>3075</v>
      </c>
      <c r="U41" s="17"/>
      <c r="V41" s="17"/>
      <c r="W41" s="17" t="s">
        <v>133</v>
      </c>
      <c r="X41" s="17" t="s">
        <v>134</v>
      </c>
      <c r="Y41" s="17" t="s">
        <v>3076</v>
      </c>
      <c r="Z41" s="17" t="s">
        <v>136</v>
      </c>
      <c r="AA41" s="21"/>
      <c r="AB41" s="17"/>
      <c r="AC41" s="17" t="s">
        <v>136</v>
      </c>
      <c r="AD41" s="21" t="s">
        <v>69</v>
      </c>
      <c r="AE41" s="17">
        <v>755490</v>
      </c>
      <c r="AF41" s="17">
        <v>0</v>
      </c>
      <c r="AG41" s="17">
        <v>755490</v>
      </c>
      <c r="AH41" s="17">
        <v>0</v>
      </c>
      <c r="AI41" s="21" t="s">
        <v>69</v>
      </c>
      <c r="AJ41" s="17">
        <v>0</v>
      </c>
      <c r="AK41" s="20"/>
      <c r="AL41" s="17">
        <v>0</v>
      </c>
      <c r="AM41" s="17"/>
    </row>
    <row r="42" spans="1:39" x14ac:dyDescent="0.3">
      <c r="A42" s="16" t="s">
        <v>1321</v>
      </c>
      <c r="B42" s="17">
        <v>2025</v>
      </c>
      <c r="C42" s="17" t="s">
        <v>2871</v>
      </c>
      <c r="D42" s="17" t="s">
        <v>94</v>
      </c>
      <c r="E42" s="17" t="s">
        <v>1322</v>
      </c>
      <c r="F42" s="18" t="s">
        <v>3077</v>
      </c>
      <c r="G42" s="19">
        <v>1</v>
      </c>
      <c r="H42" s="19" t="s">
        <v>1324</v>
      </c>
      <c r="I42" s="20">
        <v>45859</v>
      </c>
      <c r="J42" s="20">
        <v>45859</v>
      </c>
      <c r="K42" s="17"/>
      <c r="L42" s="17" t="s">
        <v>46</v>
      </c>
      <c r="M42" s="17" t="s">
        <v>1322</v>
      </c>
      <c r="N42" s="17" t="s">
        <v>1325</v>
      </c>
      <c r="O42" s="17">
        <v>1</v>
      </c>
      <c r="P42" s="17">
        <v>3142044036</v>
      </c>
      <c r="Q42" s="17" t="s">
        <v>3078</v>
      </c>
      <c r="R42" s="17" t="s">
        <v>1326</v>
      </c>
      <c r="S42" s="17"/>
      <c r="T42" s="17" t="s">
        <v>1327</v>
      </c>
      <c r="U42" s="17" t="s">
        <v>1328</v>
      </c>
      <c r="V42" s="17" t="s">
        <v>1329</v>
      </c>
      <c r="W42" s="17" t="s">
        <v>1326</v>
      </c>
      <c r="X42" s="17" t="s">
        <v>78</v>
      </c>
      <c r="Y42" s="17" t="s">
        <v>1330</v>
      </c>
      <c r="Z42" s="17" t="s">
        <v>1331</v>
      </c>
      <c r="AA42" s="21">
        <v>45882</v>
      </c>
      <c r="AB42" s="17" t="s">
        <v>46</v>
      </c>
      <c r="AC42" s="17" t="s">
        <v>1331</v>
      </c>
      <c r="AD42" s="20">
        <v>45860</v>
      </c>
      <c r="AE42" s="17">
        <v>600000</v>
      </c>
      <c r="AF42" s="17">
        <v>200000</v>
      </c>
      <c r="AG42" s="17">
        <v>400000</v>
      </c>
      <c r="AH42" s="17">
        <v>600000</v>
      </c>
      <c r="AI42" s="20">
        <v>45902</v>
      </c>
      <c r="AJ42" s="17">
        <v>200000</v>
      </c>
      <c r="AK42" s="20">
        <v>45919</v>
      </c>
      <c r="AL42" s="17">
        <v>400000</v>
      </c>
      <c r="AM42" s="17"/>
    </row>
    <row r="43" spans="1:39" x14ac:dyDescent="0.3">
      <c r="A43" s="16" t="s">
        <v>1343</v>
      </c>
      <c r="B43" s="17">
        <v>2025</v>
      </c>
      <c r="C43" s="17" t="s">
        <v>2871</v>
      </c>
      <c r="D43" s="17" t="s">
        <v>94</v>
      </c>
      <c r="E43" s="17" t="s">
        <v>1322</v>
      </c>
      <c r="F43" s="18" t="s">
        <v>3079</v>
      </c>
      <c r="G43" s="19">
        <v>2</v>
      </c>
      <c r="H43" s="19" t="s">
        <v>44</v>
      </c>
      <c r="I43" s="20">
        <v>45859</v>
      </c>
      <c r="J43" s="20">
        <v>45859</v>
      </c>
      <c r="K43" s="17"/>
      <c r="L43" s="17" t="s">
        <v>97</v>
      </c>
      <c r="M43" s="17" t="s">
        <v>1322</v>
      </c>
      <c r="N43" s="17" t="s">
        <v>1345</v>
      </c>
      <c r="O43" s="17">
        <v>9</v>
      </c>
      <c r="P43" s="17">
        <v>3188104473</v>
      </c>
      <c r="Q43" s="17" t="s">
        <v>3080</v>
      </c>
      <c r="R43" s="17" t="s">
        <v>1346</v>
      </c>
      <c r="S43" s="17"/>
      <c r="T43" s="17" t="s">
        <v>1347</v>
      </c>
      <c r="U43" s="17" t="s">
        <v>1348</v>
      </c>
      <c r="V43" s="17" t="s">
        <v>1349</v>
      </c>
      <c r="W43" s="17" t="s">
        <v>1346</v>
      </c>
      <c r="X43" s="17" t="s">
        <v>78</v>
      </c>
      <c r="Y43" s="17" t="s">
        <v>1350</v>
      </c>
      <c r="Z43" s="17" t="s">
        <v>1351</v>
      </c>
      <c r="AA43" s="20">
        <v>45882</v>
      </c>
      <c r="AB43" s="17" t="s">
        <v>46</v>
      </c>
      <c r="AC43" s="17" t="s">
        <v>1351</v>
      </c>
      <c r="AD43" s="20">
        <v>45860</v>
      </c>
      <c r="AE43" s="17">
        <v>600000</v>
      </c>
      <c r="AF43" s="17">
        <v>200000</v>
      </c>
      <c r="AG43" s="17">
        <v>400000</v>
      </c>
      <c r="AH43" s="17">
        <v>600000</v>
      </c>
      <c r="AI43" s="20">
        <v>45883</v>
      </c>
      <c r="AJ43" s="17">
        <v>200000</v>
      </c>
      <c r="AK43" s="20">
        <v>45919</v>
      </c>
      <c r="AL43" s="17">
        <v>400000</v>
      </c>
      <c r="AM43" s="17"/>
    </row>
    <row r="44" spans="1:39" x14ac:dyDescent="0.3">
      <c r="A44" s="16" t="s">
        <v>1333</v>
      </c>
      <c r="B44" s="17">
        <v>2025</v>
      </c>
      <c r="C44" s="17" t="s">
        <v>2871</v>
      </c>
      <c r="D44" s="17" t="s">
        <v>94</v>
      </c>
      <c r="E44" s="17" t="s">
        <v>1322</v>
      </c>
      <c r="F44" s="18" t="s">
        <v>3081</v>
      </c>
      <c r="G44" s="19">
        <v>3</v>
      </c>
      <c r="H44" s="19" t="s">
        <v>44</v>
      </c>
      <c r="I44" s="20">
        <v>45859</v>
      </c>
      <c r="J44" s="20">
        <v>45859</v>
      </c>
      <c r="K44" s="17"/>
      <c r="L44" s="17" t="s">
        <v>73</v>
      </c>
      <c r="M44" s="17" t="s">
        <v>1322</v>
      </c>
      <c r="N44" s="17" t="s">
        <v>1335</v>
      </c>
      <c r="O44" s="17">
        <v>3</v>
      </c>
      <c r="P44" s="17">
        <v>6294700811</v>
      </c>
      <c r="Q44" s="17" t="s">
        <v>3082</v>
      </c>
      <c r="R44" s="17" t="s">
        <v>1336</v>
      </c>
      <c r="S44" s="17"/>
      <c r="T44" s="17" t="s">
        <v>1337</v>
      </c>
      <c r="U44" s="17" t="s">
        <v>1338</v>
      </c>
      <c r="V44" s="17" t="s">
        <v>1339</v>
      </c>
      <c r="W44" s="17" t="s">
        <v>1340</v>
      </c>
      <c r="X44" s="17"/>
      <c r="Y44" s="17" t="s">
        <v>1341</v>
      </c>
      <c r="Z44" s="17" t="s">
        <v>1342</v>
      </c>
      <c r="AA44" s="20">
        <v>45882</v>
      </c>
      <c r="AB44" s="17" t="s">
        <v>46</v>
      </c>
      <c r="AC44" s="17" t="s">
        <v>1342</v>
      </c>
      <c r="AD44" s="20">
        <v>45860</v>
      </c>
      <c r="AE44" s="17">
        <v>600000</v>
      </c>
      <c r="AF44" s="17">
        <v>200000</v>
      </c>
      <c r="AG44" s="17">
        <v>400000</v>
      </c>
      <c r="AH44" s="17">
        <v>600000</v>
      </c>
      <c r="AI44" s="20">
        <v>45930</v>
      </c>
      <c r="AJ44" s="17">
        <v>200000</v>
      </c>
      <c r="AK44" s="20">
        <v>45919</v>
      </c>
      <c r="AL44" s="17">
        <v>400000</v>
      </c>
      <c r="AM44" s="17"/>
    </row>
    <row r="45" spans="1:39" x14ac:dyDescent="0.3">
      <c r="A45" s="16" t="s">
        <v>1371</v>
      </c>
      <c r="B45" s="17">
        <v>2025</v>
      </c>
      <c r="C45" s="17" t="s">
        <v>2871</v>
      </c>
      <c r="D45" s="17" t="s">
        <v>94</v>
      </c>
      <c r="E45" s="17" t="s">
        <v>1322</v>
      </c>
      <c r="F45" s="18" t="s">
        <v>3083</v>
      </c>
      <c r="G45" s="19">
        <v>4</v>
      </c>
      <c r="H45" s="19" t="s">
        <v>60</v>
      </c>
      <c r="I45" s="20">
        <v>45859</v>
      </c>
      <c r="J45" s="20">
        <v>45859</v>
      </c>
      <c r="K45" s="17"/>
      <c r="L45" s="17" t="s">
        <v>181</v>
      </c>
      <c r="M45" s="17" t="s">
        <v>1322</v>
      </c>
      <c r="N45" s="17" t="s">
        <v>1373</v>
      </c>
      <c r="O45" s="17">
        <v>8</v>
      </c>
      <c r="P45" s="17">
        <v>4011261649</v>
      </c>
      <c r="Q45" s="17" t="s">
        <v>3084</v>
      </c>
      <c r="R45" s="17" t="s">
        <v>1374</v>
      </c>
      <c r="S45" s="17"/>
      <c r="T45" s="17" t="s">
        <v>1375</v>
      </c>
      <c r="U45" s="17" t="s">
        <v>1376</v>
      </c>
      <c r="V45" s="17" t="s">
        <v>1377</v>
      </c>
      <c r="W45" s="17" t="s">
        <v>1374</v>
      </c>
      <c r="X45" s="17" t="s">
        <v>78</v>
      </c>
      <c r="Y45" s="17" t="s">
        <v>1378</v>
      </c>
      <c r="Z45" s="17" t="s">
        <v>1379</v>
      </c>
      <c r="AA45" s="21">
        <v>45883</v>
      </c>
      <c r="AB45" s="17" t="s">
        <v>181</v>
      </c>
      <c r="AC45" s="17" t="s">
        <v>1379</v>
      </c>
      <c r="AD45" s="20">
        <v>45860</v>
      </c>
      <c r="AE45" s="17">
        <v>600000</v>
      </c>
      <c r="AF45" s="17">
        <v>200000</v>
      </c>
      <c r="AG45" s="17">
        <v>400000</v>
      </c>
      <c r="AH45" s="17">
        <v>600000</v>
      </c>
      <c r="AI45" s="20">
        <v>45866</v>
      </c>
      <c r="AJ45" s="17">
        <v>200000</v>
      </c>
      <c r="AK45" s="20">
        <v>45919</v>
      </c>
      <c r="AL45" s="17">
        <v>400000</v>
      </c>
      <c r="AM45" s="17"/>
    </row>
    <row r="46" spans="1:39" x14ac:dyDescent="0.3">
      <c r="A46" s="16" t="s">
        <v>1361</v>
      </c>
      <c r="B46" s="17">
        <v>2025</v>
      </c>
      <c r="C46" s="17" t="s">
        <v>2871</v>
      </c>
      <c r="D46" s="17" t="s">
        <v>94</v>
      </c>
      <c r="E46" s="17" t="s">
        <v>1322</v>
      </c>
      <c r="F46" s="18" t="s">
        <v>3085</v>
      </c>
      <c r="G46" s="19">
        <v>5</v>
      </c>
      <c r="H46" s="19" t="s">
        <v>83</v>
      </c>
      <c r="I46" s="20">
        <v>45859</v>
      </c>
      <c r="J46" s="20">
        <v>45859</v>
      </c>
      <c r="K46" s="17"/>
      <c r="L46" s="17" t="s">
        <v>61</v>
      </c>
      <c r="M46" s="17" t="s">
        <v>1322</v>
      </c>
      <c r="N46" s="17" t="s">
        <v>1363</v>
      </c>
      <c r="O46" s="17">
        <v>11</v>
      </c>
      <c r="P46" s="17">
        <v>8235000387</v>
      </c>
      <c r="Q46" s="17" t="s">
        <v>3086</v>
      </c>
      <c r="R46" s="17" t="s">
        <v>1364</v>
      </c>
      <c r="S46" s="17"/>
      <c r="T46" s="17" t="s">
        <v>1365</v>
      </c>
      <c r="U46" s="17" t="s">
        <v>1366</v>
      </c>
      <c r="V46" s="17" t="s">
        <v>1367</v>
      </c>
      <c r="W46" s="17" t="s">
        <v>1368</v>
      </c>
      <c r="X46" s="17" t="s">
        <v>78</v>
      </c>
      <c r="Y46" s="17" t="s">
        <v>1369</v>
      </c>
      <c r="Z46" s="17" t="s">
        <v>1370</v>
      </c>
      <c r="AA46" s="20">
        <v>45883</v>
      </c>
      <c r="AB46" s="17" t="s">
        <v>181</v>
      </c>
      <c r="AC46" s="17" t="s">
        <v>1370</v>
      </c>
      <c r="AD46" s="20">
        <v>45860</v>
      </c>
      <c r="AE46" s="17">
        <v>600000</v>
      </c>
      <c r="AF46" s="17">
        <v>200000</v>
      </c>
      <c r="AG46" s="17">
        <v>400000</v>
      </c>
      <c r="AH46" s="17">
        <v>600000</v>
      </c>
      <c r="AI46" s="20">
        <v>46007</v>
      </c>
      <c r="AJ46" s="17">
        <v>200000</v>
      </c>
      <c r="AK46" s="20">
        <v>45919</v>
      </c>
      <c r="AL46" s="17">
        <v>400000</v>
      </c>
      <c r="AM46" s="17"/>
    </row>
    <row r="47" spans="1:39" x14ac:dyDescent="0.3">
      <c r="A47" s="16" t="s">
        <v>1380</v>
      </c>
      <c r="B47" s="17">
        <v>2025</v>
      </c>
      <c r="C47" s="17" t="s">
        <v>2871</v>
      </c>
      <c r="D47" s="17" t="s">
        <v>94</v>
      </c>
      <c r="E47" s="17" t="s">
        <v>1322</v>
      </c>
      <c r="F47" s="18" t="s">
        <v>3087</v>
      </c>
      <c r="G47" s="19">
        <v>6</v>
      </c>
      <c r="H47" s="19" t="s">
        <v>96</v>
      </c>
      <c r="I47" s="20">
        <v>45859</v>
      </c>
      <c r="J47" s="20">
        <v>45859</v>
      </c>
      <c r="K47" s="17"/>
      <c r="L47" s="17" t="s">
        <v>218</v>
      </c>
      <c r="M47" s="17" t="s">
        <v>1322</v>
      </c>
      <c r="N47" s="17" t="s">
        <v>1382</v>
      </c>
      <c r="O47" s="17">
        <v>18</v>
      </c>
      <c r="P47" s="17">
        <v>5678103213</v>
      </c>
      <c r="Q47" s="17">
        <v>56781032130</v>
      </c>
      <c r="R47" s="17" t="s">
        <v>1383</v>
      </c>
      <c r="S47" s="17"/>
      <c r="T47" s="17" t="s">
        <v>1384</v>
      </c>
      <c r="U47" s="17" t="s">
        <v>1385</v>
      </c>
      <c r="V47" s="17" t="s">
        <v>1386</v>
      </c>
      <c r="W47" s="17" t="s">
        <v>1387</v>
      </c>
      <c r="X47" s="17" t="s">
        <v>1388</v>
      </c>
      <c r="Y47" s="17" t="s">
        <v>1389</v>
      </c>
      <c r="Z47" s="17" t="s">
        <v>1390</v>
      </c>
      <c r="AA47" s="20">
        <v>45883</v>
      </c>
      <c r="AB47" s="17" t="s">
        <v>181</v>
      </c>
      <c r="AC47" s="17" t="s">
        <v>1390</v>
      </c>
      <c r="AD47" s="21">
        <v>45860</v>
      </c>
      <c r="AE47" s="17">
        <v>600000</v>
      </c>
      <c r="AF47" s="17">
        <v>200000</v>
      </c>
      <c r="AG47" s="17">
        <v>400000</v>
      </c>
      <c r="AH47" s="17">
        <v>600000</v>
      </c>
      <c r="AI47" s="20">
        <v>45897</v>
      </c>
      <c r="AJ47" s="17">
        <v>200000</v>
      </c>
      <c r="AK47" s="20">
        <v>45919</v>
      </c>
      <c r="AL47" s="17">
        <v>400000</v>
      </c>
      <c r="AM47" s="17"/>
    </row>
    <row r="48" spans="1:39" x14ac:dyDescent="0.3">
      <c r="A48" s="16" t="s">
        <v>1428</v>
      </c>
      <c r="B48" s="17">
        <v>2025</v>
      </c>
      <c r="C48" s="17" t="s">
        <v>2871</v>
      </c>
      <c r="D48" s="17" t="s">
        <v>94</v>
      </c>
      <c r="E48" s="17" t="s">
        <v>1322</v>
      </c>
      <c r="F48" s="18" t="s">
        <v>3088</v>
      </c>
      <c r="G48" s="19">
        <v>7</v>
      </c>
      <c r="H48" s="19" t="s">
        <v>106</v>
      </c>
      <c r="I48" s="20">
        <v>45860</v>
      </c>
      <c r="J48" s="20">
        <v>45860</v>
      </c>
      <c r="K48" s="17"/>
      <c r="L48" s="17" t="s">
        <v>46</v>
      </c>
      <c r="M48" s="17" t="s">
        <v>1322</v>
      </c>
      <c r="N48" s="17" t="s">
        <v>1430</v>
      </c>
      <c r="O48" s="17">
        <v>5</v>
      </c>
      <c r="P48" s="17">
        <v>3063170903</v>
      </c>
      <c r="Q48" s="17" t="s">
        <v>3089</v>
      </c>
      <c r="R48" s="17" t="s">
        <v>1431</v>
      </c>
      <c r="S48" s="17"/>
      <c r="T48" s="17" t="s">
        <v>1432</v>
      </c>
      <c r="U48" s="17" t="s">
        <v>1433</v>
      </c>
      <c r="V48" s="17" t="s">
        <v>1434</v>
      </c>
      <c r="W48" s="17" t="s">
        <v>1431</v>
      </c>
      <c r="X48" s="17" t="s">
        <v>78</v>
      </c>
      <c r="Y48" s="17" t="s">
        <v>1435</v>
      </c>
      <c r="Z48" s="17" t="s">
        <v>1436</v>
      </c>
      <c r="AA48" s="20"/>
      <c r="AB48" s="17"/>
      <c r="AC48" s="17" t="s">
        <v>1436</v>
      </c>
      <c r="AD48" s="20">
        <v>45861</v>
      </c>
      <c r="AE48" s="17">
        <v>600000</v>
      </c>
      <c r="AF48" s="17">
        <v>200000</v>
      </c>
      <c r="AG48" s="17">
        <v>400000</v>
      </c>
      <c r="AH48" s="17">
        <v>600000</v>
      </c>
      <c r="AI48" s="20">
        <v>45861</v>
      </c>
      <c r="AJ48" s="17">
        <v>200000</v>
      </c>
      <c r="AK48" s="20">
        <v>45919</v>
      </c>
      <c r="AL48" s="17">
        <v>400000</v>
      </c>
      <c r="AM48" s="17"/>
    </row>
    <row r="49" spans="1:39" x14ac:dyDescent="0.3">
      <c r="A49" s="16" t="s">
        <v>1437</v>
      </c>
      <c r="B49" s="17">
        <v>2025</v>
      </c>
      <c r="C49" s="17" t="s">
        <v>2871</v>
      </c>
      <c r="D49" s="17" t="s">
        <v>94</v>
      </c>
      <c r="E49" s="17" t="s">
        <v>1322</v>
      </c>
      <c r="F49" s="18" t="s">
        <v>3090</v>
      </c>
      <c r="G49" s="19">
        <v>8</v>
      </c>
      <c r="H49" s="19" t="s">
        <v>117</v>
      </c>
      <c r="I49" s="20">
        <v>45860</v>
      </c>
      <c r="J49" s="20">
        <v>45860</v>
      </c>
      <c r="K49" s="17"/>
      <c r="L49" s="17" t="s">
        <v>97</v>
      </c>
      <c r="M49" s="17" t="s">
        <v>1322</v>
      </c>
      <c r="N49" s="17" t="s">
        <v>1439</v>
      </c>
      <c r="O49" s="17">
        <v>10</v>
      </c>
      <c r="P49" s="17">
        <v>3148626636</v>
      </c>
      <c r="Q49" s="17" t="s">
        <v>3091</v>
      </c>
      <c r="R49" s="17" t="s">
        <v>1440</v>
      </c>
      <c r="S49" s="17"/>
      <c r="T49" s="17" t="s">
        <v>1441</v>
      </c>
      <c r="U49" s="17" t="s">
        <v>1442</v>
      </c>
      <c r="V49" s="17" t="s">
        <v>1443</v>
      </c>
      <c r="W49" s="17" t="s">
        <v>1444</v>
      </c>
      <c r="X49" s="17" t="s">
        <v>112</v>
      </c>
      <c r="Y49" s="17" t="s">
        <v>1445</v>
      </c>
      <c r="Z49" s="17" t="s">
        <v>1446</v>
      </c>
      <c r="AA49" s="20">
        <v>45883</v>
      </c>
      <c r="AB49" s="17" t="s">
        <v>181</v>
      </c>
      <c r="AC49" s="17" t="s">
        <v>1446</v>
      </c>
      <c r="AD49" s="20">
        <v>45861</v>
      </c>
      <c r="AE49" s="17">
        <v>600000</v>
      </c>
      <c r="AF49" s="17">
        <v>200000</v>
      </c>
      <c r="AG49" s="17">
        <v>400000</v>
      </c>
      <c r="AH49" s="17">
        <v>600000</v>
      </c>
      <c r="AI49" s="20">
        <v>45869</v>
      </c>
      <c r="AJ49" s="17">
        <v>200000</v>
      </c>
      <c r="AK49" s="20">
        <v>45919</v>
      </c>
      <c r="AL49" s="17">
        <v>400000</v>
      </c>
      <c r="AM49" s="17"/>
    </row>
    <row r="50" spans="1:39" x14ac:dyDescent="0.3">
      <c r="A50" s="16" t="s">
        <v>1447</v>
      </c>
      <c r="B50" s="17">
        <v>2025</v>
      </c>
      <c r="C50" s="17" t="s">
        <v>2871</v>
      </c>
      <c r="D50" s="17" t="s">
        <v>94</v>
      </c>
      <c r="E50" s="17" t="s">
        <v>1322</v>
      </c>
      <c r="F50" s="18" t="s">
        <v>3092</v>
      </c>
      <c r="G50" s="19">
        <v>9</v>
      </c>
      <c r="H50" s="19" t="s">
        <v>128</v>
      </c>
      <c r="I50" s="20">
        <v>45860</v>
      </c>
      <c r="J50" s="20">
        <v>45860</v>
      </c>
      <c r="K50" s="17"/>
      <c r="L50" s="17" t="s">
        <v>181</v>
      </c>
      <c r="M50" s="17" t="s">
        <v>1322</v>
      </c>
      <c r="N50" s="17" t="s">
        <v>1449</v>
      </c>
      <c r="O50" s="17">
        <v>9</v>
      </c>
      <c r="P50" s="17">
        <v>3148134335</v>
      </c>
      <c r="Q50" s="17" t="s">
        <v>3093</v>
      </c>
      <c r="R50" s="17" t="s">
        <v>339</v>
      </c>
      <c r="S50" s="17"/>
      <c r="T50" s="17" t="s">
        <v>1450</v>
      </c>
      <c r="U50" s="17" t="s">
        <v>1451</v>
      </c>
      <c r="V50" s="17" t="s">
        <v>1452</v>
      </c>
      <c r="W50" s="17" t="s">
        <v>1453</v>
      </c>
      <c r="X50" s="17" t="s">
        <v>112</v>
      </c>
      <c r="Y50" s="17" t="s">
        <v>1454</v>
      </c>
      <c r="Z50" s="17" t="s">
        <v>1455</v>
      </c>
      <c r="AA50" s="21">
        <v>45883</v>
      </c>
      <c r="AB50" s="17" t="s">
        <v>181</v>
      </c>
      <c r="AC50" s="17" t="s">
        <v>1455</v>
      </c>
      <c r="AD50" s="21">
        <v>45861</v>
      </c>
      <c r="AE50" s="17">
        <v>600000</v>
      </c>
      <c r="AF50" s="17">
        <v>200000</v>
      </c>
      <c r="AG50" s="17">
        <v>400000</v>
      </c>
      <c r="AH50" s="17">
        <v>600000</v>
      </c>
      <c r="AI50" s="20">
        <v>45890</v>
      </c>
      <c r="AJ50" s="17">
        <v>200000</v>
      </c>
      <c r="AK50" s="20">
        <v>45919</v>
      </c>
      <c r="AL50" s="17">
        <v>400000</v>
      </c>
      <c r="AM50" s="17"/>
    </row>
    <row r="51" spans="1:39" x14ac:dyDescent="0.3">
      <c r="A51" s="16" t="s">
        <v>1400</v>
      </c>
      <c r="B51" s="17">
        <v>2025</v>
      </c>
      <c r="C51" s="17" t="s">
        <v>2871</v>
      </c>
      <c r="D51" s="17" t="s">
        <v>94</v>
      </c>
      <c r="E51" s="17" t="s">
        <v>1322</v>
      </c>
      <c r="F51" s="18" t="s">
        <v>3094</v>
      </c>
      <c r="G51" s="19">
        <v>10</v>
      </c>
      <c r="H51" s="19" t="s">
        <v>139</v>
      </c>
      <c r="I51" s="20">
        <v>45860</v>
      </c>
      <c r="J51" s="20">
        <v>45860</v>
      </c>
      <c r="K51" s="17"/>
      <c r="L51" s="17" t="s">
        <v>73</v>
      </c>
      <c r="M51" s="17" t="s">
        <v>1322</v>
      </c>
      <c r="N51" s="17" t="s">
        <v>1402</v>
      </c>
      <c r="O51" s="17">
        <v>8</v>
      </c>
      <c r="P51" s="17">
        <v>3062971855</v>
      </c>
      <c r="Q51" s="17" t="s">
        <v>3095</v>
      </c>
      <c r="R51" s="17" t="s">
        <v>1403</v>
      </c>
      <c r="S51" s="17"/>
      <c r="T51" s="17" t="s">
        <v>1404</v>
      </c>
      <c r="U51" s="17" t="s">
        <v>1405</v>
      </c>
      <c r="V51" s="17" t="s">
        <v>1406</v>
      </c>
      <c r="W51" s="17" t="s">
        <v>1407</v>
      </c>
      <c r="X51" s="17" t="s">
        <v>78</v>
      </c>
      <c r="Y51" s="17" t="s">
        <v>1408</v>
      </c>
      <c r="Z51" s="17" t="s">
        <v>1409</v>
      </c>
      <c r="AA51" s="20">
        <v>45889</v>
      </c>
      <c r="AB51" s="17" t="s">
        <v>218</v>
      </c>
      <c r="AC51" s="17" t="s">
        <v>1409</v>
      </c>
      <c r="AD51" s="20">
        <v>45861</v>
      </c>
      <c r="AE51" s="17">
        <v>600000</v>
      </c>
      <c r="AF51" s="17">
        <v>200000</v>
      </c>
      <c r="AG51" s="17">
        <v>400000</v>
      </c>
      <c r="AH51" s="17">
        <v>600000</v>
      </c>
      <c r="AI51" s="20">
        <v>45912</v>
      </c>
      <c r="AJ51" s="17">
        <v>200000</v>
      </c>
      <c r="AK51" s="20">
        <v>45919</v>
      </c>
      <c r="AL51" s="17">
        <v>400000</v>
      </c>
      <c r="AM51" s="17"/>
    </row>
    <row r="52" spans="1:39" x14ac:dyDescent="0.3">
      <c r="A52" s="16" t="s">
        <v>1410</v>
      </c>
      <c r="B52" s="17">
        <v>2025</v>
      </c>
      <c r="C52" s="17" t="s">
        <v>2871</v>
      </c>
      <c r="D52" s="17" t="s">
        <v>94</v>
      </c>
      <c r="E52" s="17" t="s">
        <v>1322</v>
      </c>
      <c r="F52" s="18" t="s">
        <v>3096</v>
      </c>
      <c r="G52" s="19">
        <v>11</v>
      </c>
      <c r="H52" s="19" t="s">
        <v>139</v>
      </c>
      <c r="I52" s="20">
        <v>45860</v>
      </c>
      <c r="J52" s="20">
        <v>45860</v>
      </c>
      <c r="K52" s="17"/>
      <c r="L52" s="17" t="s">
        <v>61</v>
      </c>
      <c r="M52" s="17" t="s">
        <v>1322</v>
      </c>
      <c r="N52" s="17" t="s">
        <v>1412</v>
      </c>
      <c r="O52" s="17">
        <v>3</v>
      </c>
      <c r="P52" s="17">
        <v>3051899553</v>
      </c>
      <c r="Q52" s="17" t="s">
        <v>3097</v>
      </c>
      <c r="R52" s="17" t="s">
        <v>1413</v>
      </c>
      <c r="S52" s="17"/>
      <c r="T52" s="17" t="s">
        <v>1404</v>
      </c>
      <c r="U52" s="17" t="s">
        <v>1414</v>
      </c>
      <c r="V52" s="17" t="s">
        <v>1415</v>
      </c>
      <c r="W52" s="17" t="s">
        <v>1413</v>
      </c>
      <c r="X52" s="17" t="s">
        <v>78</v>
      </c>
      <c r="Y52" s="17" t="s">
        <v>1416</v>
      </c>
      <c r="Z52" s="17" t="s">
        <v>1417</v>
      </c>
      <c r="AA52" s="20">
        <v>45889</v>
      </c>
      <c r="AB52" s="17" t="s">
        <v>218</v>
      </c>
      <c r="AC52" s="17" t="s">
        <v>1417</v>
      </c>
      <c r="AD52" s="20">
        <v>45861</v>
      </c>
      <c r="AE52" s="17">
        <v>600000</v>
      </c>
      <c r="AF52" s="17">
        <v>200000</v>
      </c>
      <c r="AG52" s="17">
        <v>400000</v>
      </c>
      <c r="AH52" s="17">
        <v>600000</v>
      </c>
      <c r="AI52" s="20">
        <v>45901</v>
      </c>
      <c r="AJ52" s="17">
        <v>200000</v>
      </c>
      <c r="AK52" s="20">
        <v>45919</v>
      </c>
      <c r="AL52" s="17">
        <v>400000</v>
      </c>
      <c r="AM52" s="17"/>
    </row>
    <row r="53" spans="1:39" x14ac:dyDescent="0.3">
      <c r="A53" s="16" t="s">
        <v>1391</v>
      </c>
      <c r="B53" s="17">
        <v>2025</v>
      </c>
      <c r="C53" s="17" t="s">
        <v>2871</v>
      </c>
      <c r="D53" s="17" t="s">
        <v>94</v>
      </c>
      <c r="E53" s="17" t="s">
        <v>1322</v>
      </c>
      <c r="F53" s="18" t="s">
        <v>3098</v>
      </c>
      <c r="G53" s="19">
        <v>12</v>
      </c>
      <c r="H53" s="19" t="s">
        <v>139</v>
      </c>
      <c r="I53" s="20">
        <v>45860</v>
      </c>
      <c r="J53" s="20">
        <v>45860</v>
      </c>
      <c r="K53" s="17"/>
      <c r="L53" s="17" t="s">
        <v>218</v>
      </c>
      <c r="M53" s="17" t="s">
        <v>1322</v>
      </c>
      <c r="N53" s="17" t="s">
        <v>1393</v>
      </c>
      <c r="O53" s="17">
        <v>1</v>
      </c>
      <c r="P53" s="17">
        <v>3180131226</v>
      </c>
      <c r="Q53" s="17" t="s">
        <v>3099</v>
      </c>
      <c r="R53" s="17" t="s">
        <v>1394</v>
      </c>
      <c r="S53" s="17"/>
      <c r="T53" s="17" t="s">
        <v>1395</v>
      </c>
      <c r="U53" s="17" t="s">
        <v>1396</v>
      </c>
      <c r="V53" s="17" t="s">
        <v>1397</v>
      </c>
      <c r="W53" s="17" t="s">
        <v>1394</v>
      </c>
      <c r="X53" s="17" t="s">
        <v>78</v>
      </c>
      <c r="Y53" s="17" t="s">
        <v>1398</v>
      </c>
      <c r="Z53" s="17" t="s">
        <v>1399</v>
      </c>
      <c r="AA53" s="20">
        <v>45889</v>
      </c>
      <c r="AB53" s="17" t="s">
        <v>218</v>
      </c>
      <c r="AC53" s="17" t="s">
        <v>1399</v>
      </c>
      <c r="AD53" s="20">
        <v>45861</v>
      </c>
      <c r="AE53" s="17">
        <v>600000</v>
      </c>
      <c r="AF53" s="17">
        <v>200000</v>
      </c>
      <c r="AG53" s="17">
        <v>400000</v>
      </c>
      <c r="AH53" s="17">
        <v>600000</v>
      </c>
      <c r="AI53" s="20">
        <v>45862</v>
      </c>
      <c r="AJ53" s="17">
        <v>200000</v>
      </c>
      <c r="AK53" s="20">
        <v>45919</v>
      </c>
      <c r="AL53" s="17">
        <v>400000</v>
      </c>
      <c r="AM53" s="17"/>
    </row>
    <row r="54" spans="1:39" x14ac:dyDescent="0.3">
      <c r="A54" s="16" t="s">
        <v>1456</v>
      </c>
      <c r="B54" s="17">
        <v>2025</v>
      </c>
      <c r="C54" s="17" t="s">
        <v>2871</v>
      </c>
      <c r="D54" s="17" t="s">
        <v>94</v>
      </c>
      <c r="E54" s="17" t="s">
        <v>1322</v>
      </c>
      <c r="F54" s="18" t="s">
        <v>3100</v>
      </c>
      <c r="G54" s="19">
        <v>13</v>
      </c>
      <c r="H54" s="19" t="s">
        <v>148</v>
      </c>
      <c r="I54" s="20">
        <v>45861</v>
      </c>
      <c r="J54" s="20">
        <v>45861</v>
      </c>
      <c r="K54" s="17"/>
      <c r="L54" s="17" t="s">
        <v>46</v>
      </c>
      <c r="M54" s="17" t="s">
        <v>1322</v>
      </c>
      <c r="N54" s="17" t="s">
        <v>3101</v>
      </c>
      <c r="O54" s="17">
        <v>9</v>
      </c>
      <c r="P54" s="17">
        <v>3058190707</v>
      </c>
      <c r="Q54" s="17" t="s">
        <v>3102</v>
      </c>
      <c r="R54" s="17" t="s">
        <v>1459</v>
      </c>
      <c r="S54" s="17"/>
      <c r="T54" s="17" t="s">
        <v>1460</v>
      </c>
      <c r="U54" s="17" t="s">
        <v>1461</v>
      </c>
      <c r="V54" s="17" t="s">
        <v>1462</v>
      </c>
      <c r="W54" s="17" t="s">
        <v>1459</v>
      </c>
      <c r="X54" s="17" t="s">
        <v>78</v>
      </c>
      <c r="Y54" s="17" t="s">
        <v>1463</v>
      </c>
      <c r="Z54" s="17" t="s">
        <v>1464</v>
      </c>
      <c r="AA54" s="21"/>
      <c r="AB54" s="17"/>
      <c r="AC54" s="17" t="s">
        <v>1464</v>
      </c>
      <c r="AD54" s="21">
        <v>45862</v>
      </c>
      <c r="AE54" s="17">
        <v>600000</v>
      </c>
      <c r="AF54" s="17">
        <v>200000</v>
      </c>
      <c r="AG54" s="17">
        <v>400000</v>
      </c>
      <c r="AH54" s="17">
        <v>600000</v>
      </c>
      <c r="AI54" s="20">
        <v>45869</v>
      </c>
      <c r="AJ54" s="17">
        <v>200000</v>
      </c>
      <c r="AK54" s="20">
        <v>45919</v>
      </c>
      <c r="AL54" s="17">
        <v>400000</v>
      </c>
      <c r="AM54" s="17"/>
    </row>
    <row r="55" spans="1:39" x14ac:dyDescent="0.3">
      <c r="A55" s="16" t="s">
        <v>1465</v>
      </c>
      <c r="B55" s="17">
        <v>2025</v>
      </c>
      <c r="C55" s="17" t="s">
        <v>2871</v>
      </c>
      <c r="D55" s="17" t="s">
        <v>94</v>
      </c>
      <c r="E55" s="17" t="s">
        <v>1322</v>
      </c>
      <c r="F55" s="18" t="s">
        <v>3103</v>
      </c>
      <c r="G55" s="19">
        <v>14</v>
      </c>
      <c r="H55" s="19" t="s">
        <v>158</v>
      </c>
      <c r="I55" s="20">
        <v>45861</v>
      </c>
      <c r="J55" s="20">
        <v>45861</v>
      </c>
      <c r="K55" s="17"/>
      <c r="L55" s="17" t="s">
        <v>97</v>
      </c>
      <c r="M55" s="17" t="s">
        <v>1322</v>
      </c>
      <c r="N55" s="17" t="s">
        <v>1467</v>
      </c>
      <c r="O55" s="17">
        <v>21</v>
      </c>
      <c r="P55" s="17">
        <v>3058622015</v>
      </c>
      <c r="Q55" s="17" t="s">
        <v>3104</v>
      </c>
      <c r="R55" s="17" t="s">
        <v>1468</v>
      </c>
      <c r="S55" s="17"/>
      <c r="T55" s="17" t="s">
        <v>1469</v>
      </c>
      <c r="U55" s="17" t="s">
        <v>1470</v>
      </c>
      <c r="V55" s="17" t="s">
        <v>1471</v>
      </c>
      <c r="W55" s="17" t="s">
        <v>1472</v>
      </c>
      <c r="X55" s="17" t="s">
        <v>123</v>
      </c>
      <c r="Y55" s="17" t="s">
        <v>1473</v>
      </c>
      <c r="Z55" s="17" t="s">
        <v>1474</v>
      </c>
      <c r="AA55" s="21"/>
      <c r="AB55" s="17"/>
      <c r="AC55" s="17" t="s">
        <v>1474</v>
      </c>
      <c r="AD55" s="20">
        <v>45862</v>
      </c>
      <c r="AE55" s="17">
        <v>600000</v>
      </c>
      <c r="AF55" s="17">
        <v>200000</v>
      </c>
      <c r="AG55" s="17">
        <v>400000</v>
      </c>
      <c r="AH55" s="17">
        <v>600000</v>
      </c>
      <c r="AI55" s="20">
        <v>45888</v>
      </c>
      <c r="AJ55" s="17">
        <v>200000</v>
      </c>
      <c r="AK55" s="20">
        <v>45919</v>
      </c>
      <c r="AL55" s="17">
        <v>400000</v>
      </c>
      <c r="AM55" s="17"/>
    </row>
    <row r="56" spans="1:39" x14ac:dyDescent="0.3">
      <c r="A56" s="16" t="s">
        <v>1475</v>
      </c>
      <c r="B56" s="17">
        <v>2025</v>
      </c>
      <c r="C56" s="17" t="s">
        <v>2871</v>
      </c>
      <c r="D56" s="17" t="s">
        <v>94</v>
      </c>
      <c r="E56" s="17" t="s">
        <v>1322</v>
      </c>
      <c r="F56" s="18" t="s">
        <v>3105</v>
      </c>
      <c r="G56" s="19">
        <v>15</v>
      </c>
      <c r="H56" s="19" t="s">
        <v>158</v>
      </c>
      <c r="I56" s="20">
        <v>45861</v>
      </c>
      <c r="J56" s="20">
        <v>45861</v>
      </c>
      <c r="K56" s="17"/>
      <c r="L56" s="17" t="s">
        <v>181</v>
      </c>
      <c r="M56" s="17" t="s">
        <v>1322</v>
      </c>
      <c r="N56" s="17" t="s">
        <v>1477</v>
      </c>
      <c r="O56" s="17">
        <v>3</v>
      </c>
      <c r="P56" s="17">
        <v>3053045802</v>
      </c>
      <c r="Q56" s="17" t="s">
        <v>3106</v>
      </c>
      <c r="R56" s="17" t="s">
        <v>1478</v>
      </c>
      <c r="S56" s="17"/>
      <c r="T56" s="17" t="s">
        <v>1479</v>
      </c>
      <c r="U56" s="17" t="s">
        <v>1480</v>
      </c>
      <c r="V56" s="17" t="s">
        <v>1481</v>
      </c>
      <c r="W56" s="17" t="s">
        <v>1478</v>
      </c>
      <c r="X56" s="17" t="s">
        <v>78</v>
      </c>
      <c r="Y56" s="17" t="s">
        <v>1482</v>
      </c>
      <c r="Z56" s="17" t="s">
        <v>1483</v>
      </c>
      <c r="AA56" s="20"/>
      <c r="AB56" s="17"/>
      <c r="AC56" s="17" t="s">
        <v>1484</v>
      </c>
      <c r="AD56" s="20">
        <v>45862</v>
      </c>
      <c r="AE56" s="17">
        <v>600000</v>
      </c>
      <c r="AF56" s="17">
        <v>200000</v>
      </c>
      <c r="AG56" s="17">
        <v>400000</v>
      </c>
      <c r="AH56" s="17">
        <v>600000</v>
      </c>
      <c r="AI56" s="20">
        <v>46017</v>
      </c>
      <c r="AJ56" s="17">
        <v>200000</v>
      </c>
      <c r="AK56" s="20">
        <v>45919</v>
      </c>
      <c r="AL56" s="17">
        <v>400000</v>
      </c>
      <c r="AM56" s="17"/>
    </row>
    <row r="57" spans="1:39" x14ac:dyDescent="0.3">
      <c r="A57" s="16" t="s">
        <v>1485</v>
      </c>
      <c r="B57" s="17">
        <v>2025</v>
      </c>
      <c r="C57" s="17" t="s">
        <v>2871</v>
      </c>
      <c r="D57" s="17" t="s">
        <v>94</v>
      </c>
      <c r="E57" s="17" t="s">
        <v>1322</v>
      </c>
      <c r="F57" s="18" t="s">
        <v>3107</v>
      </c>
      <c r="G57" s="19">
        <v>16</v>
      </c>
      <c r="H57" s="19" t="s">
        <v>162</v>
      </c>
      <c r="I57" s="20">
        <v>45861</v>
      </c>
      <c r="J57" s="20">
        <v>45861</v>
      </c>
      <c r="K57" s="17"/>
      <c r="L57" s="17" t="s">
        <v>73</v>
      </c>
      <c r="M57" s="17" t="s">
        <v>1322</v>
      </c>
      <c r="N57" s="17" t="s">
        <v>1487</v>
      </c>
      <c r="O57" s="17">
        <v>12</v>
      </c>
      <c r="P57" s="17">
        <v>3068131720</v>
      </c>
      <c r="Q57" s="17" t="s">
        <v>3108</v>
      </c>
      <c r="R57" s="17" t="s">
        <v>1488</v>
      </c>
      <c r="S57" s="17"/>
      <c r="T57" s="17" t="s">
        <v>1489</v>
      </c>
      <c r="U57" s="17" t="s">
        <v>1490</v>
      </c>
      <c r="V57" s="17" t="s">
        <v>1491</v>
      </c>
      <c r="W57" s="17" t="s">
        <v>1488</v>
      </c>
      <c r="X57" s="17" t="s">
        <v>78</v>
      </c>
      <c r="Y57" s="17" t="s">
        <v>1492</v>
      </c>
      <c r="Z57" s="17" t="s">
        <v>3109</v>
      </c>
      <c r="AA57" s="20">
        <v>45889</v>
      </c>
      <c r="AB57" s="17" t="s">
        <v>218</v>
      </c>
      <c r="AC57" s="17" t="s">
        <v>1493</v>
      </c>
      <c r="AD57" s="20">
        <v>45862</v>
      </c>
      <c r="AE57" s="17">
        <v>600000</v>
      </c>
      <c r="AF57" s="17">
        <v>200000</v>
      </c>
      <c r="AG57" s="17">
        <v>400000</v>
      </c>
      <c r="AH57" s="17">
        <v>600000</v>
      </c>
      <c r="AI57" s="20">
        <v>45887</v>
      </c>
      <c r="AJ57" s="17">
        <v>200000</v>
      </c>
      <c r="AK57" s="20">
        <v>45919</v>
      </c>
      <c r="AL57" s="17">
        <v>400000</v>
      </c>
      <c r="AM57" s="17"/>
    </row>
    <row r="58" spans="1:39" x14ac:dyDescent="0.3">
      <c r="A58" s="16" t="s">
        <v>1494</v>
      </c>
      <c r="B58" s="17">
        <v>2025</v>
      </c>
      <c r="C58" s="17" t="s">
        <v>2871</v>
      </c>
      <c r="D58" s="17" t="s">
        <v>94</v>
      </c>
      <c r="E58" s="17" t="s">
        <v>1322</v>
      </c>
      <c r="F58" s="18" t="s">
        <v>3110</v>
      </c>
      <c r="G58" s="19">
        <v>17</v>
      </c>
      <c r="H58" s="19" t="s">
        <v>186</v>
      </c>
      <c r="I58" s="20">
        <v>45861</v>
      </c>
      <c r="J58" s="20">
        <v>45861</v>
      </c>
      <c r="K58" s="17"/>
      <c r="L58" s="17" t="s">
        <v>61</v>
      </c>
      <c r="M58" s="17" t="s">
        <v>1322</v>
      </c>
      <c r="N58" s="17" t="s">
        <v>1496</v>
      </c>
      <c r="O58" s="17">
        <v>5</v>
      </c>
      <c r="P58" s="17">
        <v>3141420824</v>
      </c>
      <c r="Q58" s="17" t="s">
        <v>3111</v>
      </c>
      <c r="R58" s="17" t="s">
        <v>1497</v>
      </c>
      <c r="S58" s="17"/>
      <c r="T58" s="17" t="s">
        <v>1498</v>
      </c>
      <c r="U58" s="17" t="s">
        <v>1499</v>
      </c>
      <c r="V58" s="17" t="s">
        <v>1500</v>
      </c>
      <c r="W58" s="17" t="s">
        <v>1501</v>
      </c>
      <c r="X58" s="17" t="s">
        <v>134</v>
      </c>
      <c r="Y58" s="17" t="s">
        <v>1502</v>
      </c>
      <c r="Z58" s="17" t="s">
        <v>1503</v>
      </c>
      <c r="AA58" s="20">
        <v>45889</v>
      </c>
      <c r="AB58" s="17" t="s">
        <v>218</v>
      </c>
      <c r="AC58" s="17" t="s">
        <v>1503</v>
      </c>
      <c r="AD58" s="20">
        <v>45862</v>
      </c>
      <c r="AE58" s="17">
        <v>600000</v>
      </c>
      <c r="AF58" s="17">
        <v>200000</v>
      </c>
      <c r="AG58" s="17">
        <v>400000</v>
      </c>
      <c r="AH58" s="17">
        <v>600000</v>
      </c>
      <c r="AI58" s="20">
        <v>45894</v>
      </c>
      <c r="AJ58" s="17">
        <v>200000</v>
      </c>
      <c r="AK58" s="20">
        <v>45919</v>
      </c>
      <c r="AL58" s="17">
        <v>400000</v>
      </c>
      <c r="AM58" s="17"/>
    </row>
    <row r="59" spans="1:39" x14ac:dyDescent="0.3">
      <c r="A59" s="16" t="s">
        <v>1504</v>
      </c>
      <c r="B59" s="17">
        <v>2025</v>
      </c>
      <c r="C59" s="17" t="s">
        <v>2871</v>
      </c>
      <c r="D59" s="17" t="s">
        <v>94</v>
      </c>
      <c r="E59" s="17" t="s">
        <v>1322</v>
      </c>
      <c r="F59" s="18" t="s">
        <v>3112</v>
      </c>
      <c r="G59" s="19">
        <v>18</v>
      </c>
      <c r="H59" s="19" t="s">
        <v>193</v>
      </c>
      <c r="I59" s="20">
        <v>45861</v>
      </c>
      <c r="J59" s="20">
        <v>45861</v>
      </c>
      <c r="K59" s="17"/>
      <c r="L59" s="17" t="s">
        <v>218</v>
      </c>
      <c r="M59" s="17" t="s">
        <v>1322</v>
      </c>
      <c r="N59" s="17" t="s">
        <v>1506</v>
      </c>
      <c r="O59" s="17">
        <v>9</v>
      </c>
      <c r="P59" s="17">
        <v>3060321618</v>
      </c>
      <c r="Q59" s="17" t="s">
        <v>3113</v>
      </c>
      <c r="R59" s="17" t="s">
        <v>1507</v>
      </c>
      <c r="S59" s="17"/>
      <c r="T59" s="17" t="s">
        <v>1508</v>
      </c>
      <c r="U59" s="17" t="s">
        <v>1509</v>
      </c>
      <c r="V59" s="17" t="s">
        <v>1510</v>
      </c>
      <c r="W59" s="17" t="s">
        <v>1507</v>
      </c>
      <c r="X59" s="17" t="s">
        <v>78</v>
      </c>
      <c r="Y59" s="17" t="s">
        <v>1511</v>
      </c>
      <c r="Z59" s="17" t="s">
        <v>1512</v>
      </c>
      <c r="AA59" s="20">
        <v>45889</v>
      </c>
      <c r="AB59" s="17" t="s">
        <v>218</v>
      </c>
      <c r="AC59" s="17" t="s">
        <v>1512</v>
      </c>
      <c r="AD59" s="21">
        <v>45862</v>
      </c>
      <c r="AE59" s="17">
        <v>600000</v>
      </c>
      <c r="AF59" s="17">
        <v>200000</v>
      </c>
      <c r="AG59" s="17">
        <v>400000</v>
      </c>
      <c r="AH59" s="17">
        <v>600000</v>
      </c>
      <c r="AI59" s="20">
        <v>45894</v>
      </c>
      <c r="AJ59" s="17">
        <v>200000</v>
      </c>
      <c r="AK59" s="20">
        <v>45919</v>
      </c>
      <c r="AL59" s="17">
        <v>400000</v>
      </c>
      <c r="AM59" s="17"/>
    </row>
    <row r="60" spans="1:39" x14ac:dyDescent="0.3">
      <c r="A60" s="16" t="s">
        <v>1513</v>
      </c>
      <c r="B60" s="17">
        <v>2025</v>
      </c>
      <c r="C60" s="17" t="s">
        <v>2871</v>
      </c>
      <c r="D60" s="17" t="s">
        <v>94</v>
      </c>
      <c r="E60" s="17" t="s">
        <v>1322</v>
      </c>
      <c r="F60" s="18" t="s">
        <v>3114</v>
      </c>
      <c r="G60" s="19">
        <v>19</v>
      </c>
      <c r="H60" s="19" t="s">
        <v>193</v>
      </c>
      <c r="I60" s="20">
        <v>45862</v>
      </c>
      <c r="J60" s="20">
        <v>45862</v>
      </c>
      <c r="K60" s="17"/>
      <c r="L60" s="17" t="s">
        <v>46</v>
      </c>
      <c r="M60" s="17" t="s">
        <v>1322</v>
      </c>
      <c r="N60" s="17" t="s">
        <v>1515</v>
      </c>
      <c r="O60" s="17">
        <v>4</v>
      </c>
      <c r="P60" s="17">
        <v>3180150543</v>
      </c>
      <c r="Q60" s="17" t="s">
        <v>3115</v>
      </c>
      <c r="R60" s="17" t="s">
        <v>1516</v>
      </c>
      <c r="S60" s="17"/>
      <c r="T60" s="17" t="s">
        <v>1517</v>
      </c>
      <c r="U60" s="17" t="s">
        <v>1518</v>
      </c>
      <c r="V60" s="17" t="s">
        <v>1519</v>
      </c>
      <c r="W60" s="17" t="s">
        <v>1516</v>
      </c>
      <c r="X60" s="17" t="s">
        <v>78</v>
      </c>
      <c r="Y60" s="17" t="s">
        <v>1520</v>
      </c>
      <c r="Z60" s="17" t="s">
        <v>1521</v>
      </c>
      <c r="AA60" s="20"/>
      <c r="AB60" s="17"/>
      <c r="AC60" s="17" t="s">
        <v>1522</v>
      </c>
      <c r="AD60" s="21">
        <v>45863</v>
      </c>
      <c r="AE60" s="17">
        <v>600000</v>
      </c>
      <c r="AF60" s="17">
        <v>200000</v>
      </c>
      <c r="AG60" s="17">
        <v>400000</v>
      </c>
      <c r="AH60" s="17">
        <v>600000</v>
      </c>
      <c r="AI60" s="20">
        <v>45873</v>
      </c>
      <c r="AJ60" s="17">
        <v>200000</v>
      </c>
      <c r="AK60" s="20">
        <v>45919</v>
      </c>
      <c r="AL60" s="17">
        <v>400000</v>
      </c>
      <c r="AM60" s="17"/>
    </row>
    <row r="61" spans="1:39" x14ac:dyDescent="0.3">
      <c r="A61" s="16" t="s">
        <v>1523</v>
      </c>
      <c r="B61" s="17">
        <v>2025</v>
      </c>
      <c r="C61" s="17" t="s">
        <v>2871</v>
      </c>
      <c r="D61" s="17" t="s">
        <v>94</v>
      </c>
      <c r="E61" s="17" t="s">
        <v>1322</v>
      </c>
      <c r="F61" s="18" t="s">
        <v>3116</v>
      </c>
      <c r="G61" s="19">
        <v>20</v>
      </c>
      <c r="H61" s="19" t="s">
        <v>193</v>
      </c>
      <c r="I61" s="20">
        <v>45862</v>
      </c>
      <c r="J61" s="20">
        <v>45862</v>
      </c>
      <c r="K61" s="17"/>
      <c r="L61" s="17" t="s">
        <v>97</v>
      </c>
      <c r="M61" s="17" t="s">
        <v>1322</v>
      </c>
      <c r="N61" s="17" t="s">
        <v>1525</v>
      </c>
      <c r="O61" s="17">
        <v>3</v>
      </c>
      <c r="P61" s="17">
        <v>3142472092</v>
      </c>
      <c r="Q61" s="17" t="s">
        <v>3117</v>
      </c>
      <c r="R61" s="17" t="s">
        <v>1526</v>
      </c>
      <c r="S61" s="17"/>
      <c r="T61" s="17" t="s">
        <v>1517</v>
      </c>
      <c r="U61" s="17" t="s">
        <v>1527</v>
      </c>
      <c r="V61" s="17" t="s">
        <v>1528</v>
      </c>
      <c r="W61" s="17" t="s">
        <v>1526</v>
      </c>
      <c r="X61" s="17" t="s">
        <v>78</v>
      </c>
      <c r="Y61" s="17" t="s">
        <v>1529</v>
      </c>
      <c r="Z61" s="17" t="s">
        <v>1530</v>
      </c>
      <c r="AA61" s="20"/>
      <c r="AB61" s="17"/>
      <c r="AC61" s="17" t="s">
        <v>1531</v>
      </c>
      <c r="AD61" s="20">
        <v>45863</v>
      </c>
      <c r="AE61" s="17">
        <v>600000</v>
      </c>
      <c r="AF61" s="17">
        <v>200000</v>
      </c>
      <c r="AG61" s="17">
        <v>400000</v>
      </c>
      <c r="AH61" s="17">
        <v>600000</v>
      </c>
      <c r="AI61" s="20">
        <v>45868</v>
      </c>
      <c r="AJ61" s="17">
        <v>200000</v>
      </c>
      <c r="AK61" s="20">
        <v>45919</v>
      </c>
      <c r="AL61" s="17">
        <v>400000</v>
      </c>
      <c r="AM61" s="17"/>
    </row>
    <row r="62" spans="1:39" x14ac:dyDescent="0.3">
      <c r="A62" s="16" t="s">
        <v>1532</v>
      </c>
      <c r="B62" s="17">
        <v>2025</v>
      </c>
      <c r="C62" s="17" t="s">
        <v>2871</v>
      </c>
      <c r="D62" s="17" t="s">
        <v>94</v>
      </c>
      <c r="E62" s="17" t="s">
        <v>1322</v>
      </c>
      <c r="F62" s="18" t="s">
        <v>3118</v>
      </c>
      <c r="G62" s="19">
        <v>21</v>
      </c>
      <c r="H62" s="19" t="s">
        <v>205</v>
      </c>
      <c r="I62" s="20">
        <v>45862</v>
      </c>
      <c r="J62" s="20">
        <v>45862</v>
      </c>
      <c r="K62" s="17"/>
      <c r="L62" s="17" t="s">
        <v>181</v>
      </c>
      <c r="M62" s="17" t="s">
        <v>1322</v>
      </c>
      <c r="N62" s="17" t="s">
        <v>1534</v>
      </c>
      <c r="O62" s="17">
        <v>14</v>
      </c>
      <c r="P62" s="17">
        <v>3058137925</v>
      </c>
      <c r="Q62" s="17" t="s">
        <v>3119</v>
      </c>
      <c r="R62" s="17" t="s">
        <v>1535</v>
      </c>
      <c r="S62" s="17"/>
      <c r="T62" s="17" t="s">
        <v>1536</v>
      </c>
      <c r="U62" s="17" t="s">
        <v>1537</v>
      </c>
      <c r="V62" s="17" t="s">
        <v>1538</v>
      </c>
      <c r="W62" s="17" t="s">
        <v>1539</v>
      </c>
      <c r="X62" s="17" t="s">
        <v>1540</v>
      </c>
      <c r="Y62" s="17" t="s">
        <v>1541</v>
      </c>
      <c r="Z62" s="17" t="s">
        <v>1542</v>
      </c>
      <c r="AA62" s="20"/>
      <c r="AB62" s="17"/>
      <c r="AC62" s="17" t="s">
        <v>1542</v>
      </c>
      <c r="AD62" s="21">
        <v>45863</v>
      </c>
      <c r="AE62" s="17">
        <v>600000</v>
      </c>
      <c r="AF62" s="17">
        <v>200000</v>
      </c>
      <c r="AG62" s="17">
        <v>400000</v>
      </c>
      <c r="AH62" s="17">
        <v>600000</v>
      </c>
      <c r="AI62" s="20">
        <v>45880</v>
      </c>
      <c r="AJ62" s="17">
        <v>200000</v>
      </c>
      <c r="AK62" s="20">
        <v>45919</v>
      </c>
      <c r="AL62" s="17">
        <v>400000</v>
      </c>
      <c r="AM62" s="17"/>
    </row>
    <row r="63" spans="1:39" x14ac:dyDescent="0.3">
      <c r="A63" s="16" t="s">
        <v>1543</v>
      </c>
      <c r="B63" s="17">
        <v>2025</v>
      </c>
      <c r="C63" s="17" t="s">
        <v>2871</v>
      </c>
      <c r="D63" s="17" t="s">
        <v>94</v>
      </c>
      <c r="E63" s="17" t="s">
        <v>1322</v>
      </c>
      <c r="F63" s="18" t="s">
        <v>3120</v>
      </c>
      <c r="G63" s="19">
        <v>22</v>
      </c>
      <c r="H63" s="19" t="s">
        <v>217</v>
      </c>
      <c r="I63" s="20">
        <v>45862</v>
      </c>
      <c r="J63" s="20">
        <v>45862</v>
      </c>
      <c r="K63" s="17"/>
      <c r="L63" s="17" t="s">
        <v>73</v>
      </c>
      <c r="M63" s="17" t="s">
        <v>1322</v>
      </c>
      <c r="N63" s="17" t="s">
        <v>3121</v>
      </c>
      <c r="O63" s="17">
        <v>17</v>
      </c>
      <c r="P63" s="17">
        <v>5248701151</v>
      </c>
      <c r="Q63" s="17" t="s">
        <v>3122</v>
      </c>
      <c r="R63" s="17" t="s">
        <v>1546</v>
      </c>
      <c r="S63" s="17"/>
      <c r="T63" s="17" t="s">
        <v>1547</v>
      </c>
      <c r="U63" s="17" t="s">
        <v>1548</v>
      </c>
      <c r="V63" s="17" t="s">
        <v>1549</v>
      </c>
      <c r="W63" s="17" t="s">
        <v>1550</v>
      </c>
      <c r="X63" s="17"/>
      <c r="Y63" s="17" t="s">
        <v>1551</v>
      </c>
      <c r="Z63" s="17" t="s">
        <v>1521</v>
      </c>
      <c r="AA63" s="20">
        <v>45890</v>
      </c>
      <c r="AB63" s="17" t="s">
        <v>218</v>
      </c>
      <c r="AC63" s="17" t="s">
        <v>1552</v>
      </c>
      <c r="AD63" s="20">
        <v>45863</v>
      </c>
      <c r="AE63" s="17">
        <v>600000</v>
      </c>
      <c r="AF63" s="17">
        <v>200000</v>
      </c>
      <c r="AG63" s="17">
        <v>400000</v>
      </c>
      <c r="AH63" s="17">
        <v>600000</v>
      </c>
      <c r="AI63" s="20">
        <v>45880</v>
      </c>
      <c r="AJ63" s="17">
        <v>200000</v>
      </c>
      <c r="AK63" s="20">
        <v>45919</v>
      </c>
      <c r="AL63" s="17">
        <v>400000</v>
      </c>
      <c r="AM63" s="17"/>
    </row>
    <row r="64" spans="1:39" x14ac:dyDescent="0.3">
      <c r="A64" s="16" t="s">
        <v>1553</v>
      </c>
      <c r="B64" s="17">
        <v>2025</v>
      </c>
      <c r="C64" s="17" t="s">
        <v>2871</v>
      </c>
      <c r="D64" s="17" t="s">
        <v>94</v>
      </c>
      <c r="E64" s="17" t="s">
        <v>1322</v>
      </c>
      <c r="F64" s="18" t="s">
        <v>3123</v>
      </c>
      <c r="G64" s="19">
        <v>23</v>
      </c>
      <c r="H64" s="19" t="s">
        <v>230</v>
      </c>
      <c r="I64" s="20">
        <v>45862</v>
      </c>
      <c r="J64" s="20">
        <v>45862</v>
      </c>
      <c r="K64" s="17"/>
      <c r="L64" s="17" t="s">
        <v>61</v>
      </c>
      <c r="M64" s="17" t="s">
        <v>1322</v>
      </c>
      <c r="N64" s="17" t="s">
        <v>3124</v>
      </c>
      <c r="O64" s="17">
        <v>18</v>
      </c>
      <c r="P64" s="17">
        <v>3148622265</v>
      </c>
      <c r="Q64" s="17" t="s">
        <v>3125</v>
      </c>
      <c r="R64" s="17" t="s">
        <v>3126</v>
      </c>
      <c r="S64" s="17"/>
      <c r="T64" s="17" t="s">
        <v>1557</v>
      </c>
      <c r="U64" s="17" t="s">
        <v>1558</v>
      </c>
      <c r="V64" s="17" t="s">
        <v>1559</v>
      </c>
      <c r="W64" s="17" t="s">
        <v>1560</v>
      </c>
      <c r="X64" s="17" t="s">
        <v>461</v>
      </c>
      <c r="Y64" s="17" t="s">
        <v>1561</v>
      </c>
      <c r="Z64" s="17" t="s">
        <v>1562</v>
      </c>
      <c r="AA64" s="20">
        <v>45890</v>
      </c>
      <c r="AB64" s="17" t="s">
        <v>218</v>
      </c>
      <c r="AC64" s="17" t="s">
        <v>1563</v>
      </c>
      <c r="AD64" s="20">
        <v>45863</v>
      </c>
      <c r="AE64" s="17">
        <v>600000</v>
      </c>
      <c r="AF64" s="17">
        <v>200000</v>
      </c>
      <c r="AG64" s="17">
        <v>400000</v>
      </c>
      <c r="AH64" s="17">
        <v>600000</v>
      </c>
      <c r="AI64" s="20">
        <v>45988</v>
      </c>
      <c r="AJ64" s="17">
        <v>200000</v>
      </c>
      <c r="AK64" s="20">
        <v>45919</v>
      </c>
      <c r="AL64" s="17">
        <v>400000</v>
      </c>
      <c r="AM64" s="17"/>
    </row>
    <row r="65" spans="1:39" x14ac:dyDescent="0.3">
      <c r="A65" s="16" t="s">
        <v>1564</v>
      </c>
      <c r="B65" s="17">
        <v>2025</v>
      </c>
      <c r="C65" s="17" t="s">
        <v>2871</v>
      </c>
      <c r="D65" s="17" t="s">
        <v>94</v>
      </c>
      <c r="E65" s="17" t="s">
        <v>1322</v>
      </c>
      <c r="F65" s="18" t="s">
        <v>3127</v>
      </c>
      <c r="G65" s="19">
        <v>24</v>
      </c>
      <c r="H65" s="19" t="s">
        <v>240</v>
      </c>
      <c r="I65" s="20">
        <v>45862</v>
      </c>
      <c r="J65" s="20">
        <v>45862</v>
      </c>
      <c r="K65" s="17"/>
      <c r="L65" s="17" t="s">
        <v>218</v>
      </c>
      <c r="M65" s="17" t="s">
        <v>1322</v>
      </c>
      <c r="N65" s="17" t="s">
        <v>1566</v>
      </c>
      <c r="O65" s="17">
        <v>22</v>
      </c>
      <c r="P65" s="17">
        <v>3141227371</v>
      </c>
      <c r="Q65" s="17" t="s">
        <v>3128</v>
      </c>
      <c r="R65" s="17" t="s">
        <v>1567</v>
      </c>
      <c r="S65" s="17"/>
      <c r="T65" s="17" t="s">
        <v>1568</v>
      </c>
      <c r="U65" s="17" t="s">
        <v>1569</v>
      </c>
      <c r="V65" s="17" t="s">
        <v>1570</v>
      </c>
      <c r="W65" s="17" t="s">
        <v>1571</v>
      </c>
      <c r="X65" s="17" t="s">
        <v>134</v>
      </c>
      <c r="Y65" s="17" t="s">
        <v>1572</v>
      </c>
      <c r="Z65" s="17" t="s">
        <v>1573</v>
      </c>
      <c r="AA65" s="20">
        <v>45890</v>
      </c>
      <c r="AB65" s="17" t="s">
        <v>218</v>
      </c>
      <c r="AC65" s="17" t="s">
        <v>1574</v>
      </c>
      <c r="AD65" s="20">
        <v>45863</v>
      </c>
      <c r="AE65" s="17">
        <v>750000</v>
      </c>
      <c r="AF65" s="17">
        <v>350000</v>
      </c>
      <c r="AG65" s="17">
        <v>400000</v>
      </c>
      <c r="AH65" s="17">
        <v>750000</v>
      </c>
      <c r="AI65" s="20">
        <v>45869</v>
      </c>
      <c r="AJ65" s="17">
        <v>350000</v>
      </c>
      <c r="AK65" s="20">
        <v>45919</v>
      </c>
      <c r="AL65" s="17">
        <v>400000</v>
      </c>
      <c r="AM65" s="17"/>
    </row>
    <row r="66" spans="1:39" x14ac:dyDescent="0.3">
      <c r="A66" s="16" t="s">
        <v>1661</v>
      </c>
      <c r="B66" s="17">
        <v>2025</v>
      </c>
      <c r="C66" s="17" t="s">
        <v>2871</v>
      </c>
      <c r="D66" s="17" t="s">
        <v>94</v>
      </c>
      <c r="E66" s="17" t="s">
        <v>1322</v>
      </c>
      <c r="F66" s="18" t="s">
        <v>3129</v>
      </c>
      <c r="G66" s="19">
        <v>25</v>
      </c>
      <c r="H66" s="19" t="s">
        <v>260</v>
      </c>
      <c r="I66" s="20">
        <v>45863</v>
      </c>
      <c r="J66" s="20">
        <v>45863</v>
      </c>
      <c r="K66" s="17"/>
      <c r="L66" s="17" t="s">
        <v>61</v>
      </c>
      <c r="M66" s="17" t="s">
        <v>1322</v>
      </c>
      <c r="N66" s="17" t="s">
        <v>1663</v>
      </c>
      <c r="O66" s="17">
        <v>8</v>
      </c>
      <c r="P66" s="17">
        <v>3052481428</v>
      </c>
      <c r="Q66" s="17" t="s">
        <v>3130</v>
      </c>
      <c r="R66" s="17" t="s">
        <v>1664</v>
      </c>
      <c r="S66" s="17"/>
      <c r="T66" s="17" t="s">
        <v>1665</v>
      </c>
      <c r="U66" s="17" t="s">
        <v>1666</v>
      </c>
      <c r="V66" s="17" t="s">
        <v>1667</v>
      </c>
      <c r="W66" s="17" t="s">
        <v>3131</v>
      </c>
      <c r="X66" s="17" t="s">
        <v>123</v>
      </c>
      <c r="Y66" s="17" t="s">
        <v>3132</v>
      </c>
      <c r="Z66" s="17" t="s">
        <v>1669</v>
      </c>
      <c r="AA66" s="21">
        <v>45890</v>
      </c>
      <c r="AB66" s="17" t="s">
        <v>61</v>
      </c>
      <c r="AC66" s="17" t="s">
        <v>1669</v>
      </c>
      <c r="AD66" s="21">
        <v>45866</v>
      </c>
      <c r="AE66" s="17">
        <v>600000</v>
      </c>
      <c r="AF66" s="17">
        <v>200000</v>
      </c>
      <c r="AG66" s="17">
        <v>400000</v>
      </c>
      <c r="AH66" s="17">
        <v>600000</v>
      </c>
      <c r="AI66" s="20">
        <v>45867</v>
      </c>
      <c r="AJ66" s="17">
        <v>200000</v>
      </c>
      <c r="AK66" s="20">
        <v>45919</v>
      </c>
      <c r="AL66" s="17">
        <v>400000</v>
      </c>
      <c r="AM66" s="17"/>
    </row>
    <row r="67" spans="1:39" x14ac:dyDescent="0.3">
      <c r="A67" s="16" t="s">
        <v>1670</v>
      </c>
      <c r="B67" s="17">
        <v>2025</v>
      </c>
      <c r="C67" s="17" t="s">
        <v>2871</v>
      </c>
      <c r="D67" s="17" t="s">
        <v>94</v>
      </c>
      <c r="E67" s="17" t="s">
        <v>1322</v>
      </c>
      <c r="F67" s="18" t="s">
        <v>3133</v>
      </c>
      <c r="G67" s="19">
        <v>26</v>
      </c>
      <c r="H67" s="19" t="s">
        <v>273</v>
      </c>
      <c r="I67" s="20">
        <v>45863</v>
      </c>
      <c r="J67" s="20">
        <v>45863</v>
      </c>
      <c r="K67" s="17"/>
      <c r="L67" s="17" t="s">
        <v>97</v>
      </c>
      <c r="M67" s="17" t="s">
        <v>1322</v>
      </c>
      <c r="N67" s="17" t="s">
        <v>1672</v>
      </c>
      <c r="O67" s="17">
        <v>11</v>
      </c>
      <c r="P67" s="17">
        <v>3052599003</v>
      </c>
      <c r="Q67" s="17" t="s">
        <v>3134</v>
      </c>
      <c r="R67" s="17" t="s">
        <v>1673</v>
      </c>
      <c r="S67" s="17"/>
      <c r="T67" s="17" t="s">
        <v>1674</v>
      </c>
      <c r="U67" s="17" t="s">
        <v>1675</v>
      </c>
      <c r="V67" s="17" t="s">
        <v>1676</v>
      </c>
      <c r="W67" s="17" t="s">
        <v>1677</v>
      </c>
      <c r="X67" s="17" t="s">
        <v>461</v>
      </c>
      <c r="Y67" s="17" t="s">
        <v>1678</v>
      </c>
      <c r="Z67" s="17" t="s">
        <v>1679</v>
      </c>
      <c r="AA67" s="20">
        <v>45887</v>
      </c>
      <c r="AB67" s="17" t="s">
        <v>61</v>
      </c>
      <c r="AC67" s="17" t="s">
        <v>1679</v>
      </c>
      <c r="AD67" s="20">
        <v>45866</v>
      </c>
      <c r="AE67" s="17">
        <v>600000</v>
      </c>
      <c r="AF67" s="17">
        <v>200000</v>
      </c>
      <c r="AG67" s="17">
        <v>400000</v>
      </c>
      <c r="AH67" s="17">
        <v>600000</v>
      </c>
      <c r="AI67" s="20">
        <v>45961</v>
      </c>
      <c r="AJ67" s="17">
        <v>200000</v>
      </c>
      <c r="AK67" s="20">
        <v>45919</v>
      </c>
      <c r="AL67" s="17">
        <v>400000</v>
      </c>
      <c r="AM67" s="17"/>
    </row>
    <row r="68" spans="1:39" x14ac:dyDescent="0.3">
      <c r="A68" s="16" t="s">
        <v>1680</v>
      </c>
      <c r="B68" s="17">
        <v>2025</v>
      </c>
      <c r="C68" s="17" t="s">
        <v>2871</v>
      </c>
      <c r="D68" s="17" t="s">
        <v>94</v>
      </c>
      <c r="E68" s="17" t="s">
        <v>1322</v>
      </c>
      <c r="F68" s="18" t="s">
        <v>3135</v>
      </c>
      <c r="G68" s="19">
        <v>27</v>
      </c>
      <c r="H68" s="19" t="s">
        <v>285</v>
      </c>
      <c r="I68" s="20">
        <v>45863</v>
      </c>
      <c r="J68" s="20">
        <v>45863</v>
      </c>
      <c r="K68" s="17"/>
      <c r="L68" s="17" t="s">
        <v>181</v>
      </c>
      <c r="M68" s="17" t="s">
        <v>1322</v>
      </c>
      <c r="N68" s="17" t="s">
        <v>1682</v>
      </c>
      <c r="O68" s="17">
        <v>11</v>
      </c>
      <c r="P68" s="17">
        <v>7218800255</v>
      </c>
      <c r="Q68" s="17" t="s">
        <v>3136</v>
      </c>
      <c r="R68" s="17" t="s">
        <v>1683</v>
      </c>
      <c r="S68" s="17"/>
      <c r="T68" s="17" t="s">
        <v>1684</v>
      </c>
      <c r="U68" s="17" t="s">
        <v>1685</v>
      </c>
      <c r="V68" s="17" t="s">
        <v>1686</v>
      </c>
      <c r="W68" s="17" t="s">
        <v>1687</v>
      </c>
      <c r="X68" s="17" t="s">
        <v>461</v>
      </c>
      <c r="Y68" s="17" t="s">
        <v>1688</v>
      </c>
      <c r="Z68" s="17" t="s">
        <v>3137</v>
      </c>
      <c r="AA68" s="21">
        <v>45885</v>
      </c>
      <c r="AB68" s="17" t="s">
        <v>61</v>
      </c>
      <c r="AC68" s="17" t="s">
        <v>1690</v>
      </c>
      <c r="AD68" s="20">
        <v>45866</v>
      </c>
      <c r="AE68" s="17">
        <v>600000</v>
      </c>
      <c r="AF68" s="17">
        <v>200000</v>
      </c>
      <c r="AG68" s="17">
        <v>400000</v>
      </c>
      <c r="AH68" s="17">
        <v>600000</v>
      </c>
      <c r="AI68" s="20">
        <v>45867</v>
      </c>
      <c r="AJ68" s="17">
        <v>200000</v>
      </c>
      <c r="AK68" s="20">
        <v>45919</v>
      </c>
      <c r="AL68" s="17">
        <v>400000</v>
      </c>
      <c r="AM68" s="17"/>
    </row>
    <row r="69" spans="1:39" x14ac:dyDescent="0.3">
      <c r="A69" s="16" t="s">
        <v>1632</v>
      </c>
      <c r="B69" s="17">
        <v>2025</v>
      </c>
      <c r="C69" s="17" t="s">
        <v>2871</v>
      </c>
      <c r="D69" s="17" t="s">
        <v>94</v>
      </c>
      <c r="E69" s="17" t="s">
        <v>1322</v>
      </c>
      <c r="F69" s="18" t="s">
        <v>3138</v>
      </c>
      <c r="G69" s="19">
        <v>28</v>
      </c>
      <c r="H69" s="19" t="s">
        <v>304</v>
      </c>
      <c r="I69" s="20">
        <v>45863</v>
      </c>
      <c r="J69" s="20">
        <v>45863</v>
      </c>
      <c r="K69" s="17"/>
      <c r="L69" s="17" t="s">
        <v>73</v>
      </c>
      <c r="M69" s="17" t="s">
        <v>1322</v>
      </c>
      <c r="N69" s="17" t="s">
        <v>3139</v>
      </c>
      <c r="O69" s="17">
        <v>9</v>
      </c>
      <c r="P69" s="17">
        <v>3058165912</v>
      </c>
      <c r="Q69" s="17" t="s">
        <v>3140</v>
      </c>
      <c r="R69" s="17" t="s">
        <v>1635</v>
      </c>
      <c r="S69" s="17"/>
      <c r="T69" s="17" t="s">
        <v>1636</v>
      </c>
      <c r="U69" s="17" t="s">
        <v>1637</v>
      </c>
      <c r="V69" s="17" t="s">
        <v>1638</v>
      </c>
      <c r="W69" s="17" t="s">
        <v>1635</v>
      </c>
      <c r="X69" s="17" t="s">
        <v>78</v>
      </c>
      <c r="Y69" s="17" t="s">
        <v>1639</v>
      </c>
      <c r="Z69" s="17" t="s">
        <v>1640</v>
      </c>
      <c r="AA69" s="20">
        <v>45890</v>
      </c>
      <c r="AB69" s="17" t="s">
        <v>218</v>
      </c>
      <c r="AC69" s="17" t="s">
        <v>1640</v>
      </c>
      <c r="AD69" s="20">
        <v>45866</v>
      </c>
      <c r="AE69" s="17">
        <v>600000</v>
      </c>
      <c r="AF69" s="17">
        <v>200000</v>
      </c>
      <c r="AG69" s="17">
        <v>400000</v>
      </c>
      <c r="AH69" s="17">
        <v>600000</v>
      </c>
      <c r="AI69" s="20">
        <v>45868</v>
      </c>
      <c r="AJ69" s="17">
        <v>200000</v>
      </c>
      <c r="AK69" s="20">
        <v>45919</v>
      </c>
      <c r="AL69" s="17">
        <v>400000</v>
      </c>
      <c r="AM69" s="17"/>
    </row>
    <row r="70" spans="1:39" x14ac:dyDescent="0.3">
      <c r="A70" s="16" t="s">
        <v>1641</v>
      </c>
      <c r="B70" s="17">
        <v>2025</v>
      </c>
      <c r="C70" s="17" t="s">
        <v>2871</v>
      </c>
      <c r="D70" s="17" t="s">
        <v>94</v>
      </c>
      <c r="E70" s="17" t="s">
        <v>1322</v>
      </c>
      <c r="F70" s="18" t="s">
        <v>3141</v>
      </c>
      <c r="G70" s="19">
        <v>29</v>
      </c>
      <c r="H70" s="19" t="s">
        <v>304</v>
      </c>
      <c r="I70" s="20">
        <v>45863</v>
      </c>
      <c r="J70" s="20">
        <v>45863</v>
      </c>
      <c r="K70" s="17"/>
      <c r="L70" s="17" t="s">
        <v>46</v>
      </c>
      <c r="M70" s="17" t="s">
        <v>1322</v>
      </c>
      <c r="N70" s="17" t="s">
        <v>1643</v>
      </c>
      <c r="O70" s="17">
        <v>1</v>
      </c>
      <c r="P70" s="17">
        <v>4401900059</v>
      </c>
      <c r="Q70" s="17" t="s">
        <v>3142</v>
      </c>
      <c r="R70" s="17" t="s">
        <v>1644</v>
      </c>
      <c r="S70" s="17"/>
      <c r="T70" s="17" t="s">
        <v>1636</v>
      </c>
      <c r="U70" s="17" t="s">
        <v>1645</v>
      </c>
      <c r="V70" s="17" t="s">
        <v>1646</v>
      </c>
      <c r="W70" s="17" t="s">
        <v>1647</v>
      </c>
      <c r="X70" s="17" t="s">
        <v>78</v>
      </c>
      <c r="Y70" s="17" t="s">
        <v>1648</v>
      </c>
      <c r="Z70" s="17" t="s">
        <v>1649</v>
      </c>
      <c r="AA70" s="20">
        <v>45890</v>
      </c>
      <c r="AB70" s="17" t="s">
        <v>218</v>
      </c>
      <c r="AC70" s="17" t="s">
        <v>1649</v>
      </c>
      <c r="AD70" s="20">
        <v>45866</v>
      </c>
      <c r="AE70" s="17">
        <v>600000</v>
      </c>
      <c r="AF70" s="17">
        <v>200000</v>
      </c>
      <c r="AG70" s="17">
        <v>400000</v>
      </c>
      <c r="AH70" s="17">
        <v>400000</v>
      </c>
      <c r="AI70" s="21"/>
      <c r="AJ70" s="17">
        <v>0</v>
      </c>
      <c r="AK70" s="20">
        <v>45919</v>
      </c>
      <c r="AL70" s="17">
        <v>400000</v>
      </c>
      <c r="AM70" s="17"/>
    </row>
    <row r="71" spans="1:39" x14ac:dyDescent="0.3">
      <c r="A71" s="16" t="s">
        <v>1650</v>
      </c>
      <c r="B71" s="17">
        <v>2025</v>
      </c>
      <c r="C71" s="17" t="s">
        <v>2871</v>
      </c>
      <c r="D71" s="17" t="s">
        <v>94</v>
      </c>
      <c r="E71" s="17" t="s">
        <v>1322</v>
      </c>
      <c r="F71" s="18" t="s">
        <v>3143</v>
      </c>
      <c r="G71" s="19">
        <v>30</v>
      </c>
      <c r="H71" s="19" t="s">
        <v>327</v>
      </c>
      <c r="I71" s="20">
        <v>45863</v>
      </c>
      <c r="J71" s="20">
        <v>45863</v>
      </c>
      <c r="K71" s="17"/>
      <c r="L71" s="17" t="s">
        <v>218</v>
      </c>
      <c r="M71" s="17" t="s">
        <v>1322</v>
      </c>
      <c r="N71" s="17" t="s">
        <v>1652</v>
      </c>
      <c r="O71" s="17">
        <v>10</v>
      </c>
      <c r="P71" s="17">
        <v>1790302528</v>
      </c>
      <c r="Q71" s="17" t="s">
        <v>3144</v>
      </c>
      <c r="R71" s="17" t="s">
        <v>1653</v>
      </c>
      <c r="S71" s="17"/>
      <c r="T71" s="17" t="s">
        <v>1654</v>
      </c>
      <c r="U71" s="17" t="s">
        <v>1655</v>
      </c>
      <c r="V71" s="17" t="s">
        <v>1656</v>
      </c>
      <c r="W71" s="17" t="s">
        <v>1657</v>
      </c>
      <c r="X71" s="17" t="s">
        <v>112</v>
      </c>
      <c r="Y71" s="17" t="s">
        <v>1658</v>
      </c>
      <c r="Z71" s="17" t="s">
        <v>3145</v>
      </c>
      <c r="AA71" s="21">
        <v>45890</v>
      </c>
      <c r="AB71" s="17" t="s">
        <v>218</v>
      </c>
      <c r="AC71" s="17" t="s">
        <v>3145</v>
      </c>
      <c r="AD71" s="20">
        <v>45866</v>
      </c>
      <c r="AE71" s="17">
        <v>600000</v>
      </c>
      <c r="AF71" s="17">
        <v>200000</v>
      </c>
      <c r="AG71" s="17">
        <v>400000</v>
      </c>
      <c r="AH71" s="17">
        <v>600000</v>
      </c>
      <c r="AI71" s="20">
        <v>45895</v>
      </c>
      <c r="AJ71" s="17">
        <v>200000</v>
      </c>
      <c r="AK71" s="20">
        <v>45919</v>
      </c>
      <c r="AL71" s="17">
        <v>400000</v>
      </c>
      <c r="AM71" s="17"/>
    </row>
    <row r="72" spans="1:39" x14ac:dyDescent="0.3">
      <c r="A72" s="16" t="s">
        <v>1691</v>
      </c>
      <c r="B72" s="17">
        <v>2025</v>
      </c>
      <c r="C72" s="17" t="s">
        <v>2871</v>
      </c>
      <c r="D72" s="17" t="s">
        <v>94</v>
      </c>
      <c r="E72" s="17" t="s">
        <v>1322</v>
      </c>
      <c r="F72" s="18" t="s">
        <v>3146</v>
      </c>
      <c r="G72" s="19">
        <v>31</v>
      </c>
      <c r="H72" s="19" t="s">
        <v>333</v>
      </c>
      <c r="I72" s="20">
        <v>45873</v>
      </c>
      <c r="J72" s="20">
        <v>45873</v>
      </c>
      <c r="K72" s="17"/>
      <c r="L72" s="17" t="s">
        <v>61</v>
      </c>
      <c r="M72" s="17" t="s">
        <v>1322</v>
      </c>
      <c r="N72" s="17" t="s">
        <v>1693</v>
      </c>
      <c r="O72" s="17">
        <v>5</v>
      </c>
      <c r="P72" s="17">
        <v>3142901893</v>
      </c>
      <c r="Q72" s="17" t="s">
        <v>3147</v>
      </c>
      <c r="R72" s="17" t="s">
        <v>1694</v>
      </c>
      <c r="S72" s="17"/>
      <c r="T72" s="17" t="s">
        <v>1695</v>
      </c>
      <c r="U72" s="17" t="s">
        <v>1696</v>
      </c>
      <c r="V72" s="17" t="s">
        <v>1697</v>
      </c>
      <c r="W72" s="17" t="s">
        <v>1698</v>
      </c>
      <c r="X72" s="17" t="s">
        <v>1699</v>
      </c>
      <c r="Y72" s="17" t="s">
        <v>1700</v>
      </c>
      <c r="Z72" s="17" t="s">
        <v>1701</v>
      </c>
      <c r="AA72" s="20">
        <v>45901</v>
      </c>
      <c r="AB72" s="17" t="s">
        <v>181</v>
      </c>
      <c r="AC72" s="17" t="s">
        <v>1701</v>
      </c>
      <c r="AD72" s="20">
        <v>45874</v>
      </c>
      <c r="AE72" s="17">
        <v>600000</v>
      </c>
      <c r="AF72" s="17">
        <v>200000</v>
      </c>
      <c r="AG72" s="17">
        <v>400000</v>
      </c>
      <c r="AH72" s="17">
        <v>600000</v>
      </c>
      <c r="AI72" s="20">
        <v>45905</v>
      </c>
      <c r="AJ72" s="17">
        <v>200000</v>
      </c>
      <c r="AK72" s="20">
        <v>45919</v>
      </c>
      <c r="AL72" s="17">
        <v>400000</v>
      </c>
      <c r="AM72" s="17"/>
    </row>
    <row r="73" spans="1:39" x14ac:dyDescent="0.3">
      <c r="A73" s="16" t="s">
        <v>1702</v>
      </c>
      <c r="B73" s="17">
        <v>2025</v>
      </c>
      <c r="C73" s="17" t="s">
        <v>2871</v>
      </c>
      <c r="D73" s="17" t="s">
        <v>94</v>
      </c>
      <c r="E73" s="17" t="s">
        <v>1322</v>
      </c>
      <c r="F73" s="18" t="s">
        <v>3148</v>
      </c>
      <c r="G73" s="19">
        <v>32</v>
      </c>
      <c r="H73" s="19" t="s">
        <v>344</v>
      </c>
      <c r="I73" s="20">
        <v>45873</v>
      </c>
      <c r="J73" s="20">
        <v>45873</v>
      </c>
      <c r="K73" s="17"/>
      <c r="L73" s="17" t="s">
        <v>97</v>
      </c>
      <c r="M73" s="17" t="s">
        <v>1322</v>
      </c>
      <c r="N73" s="17" t="s">
        <v>1704</v>
      </c>
      <c r="O73" s="17">
        <v>8</v>
      </c>
      <c r="P73" s="17">
        <v>3053238775</v>
      </c>
      <c r="Q73" s="17" t="s">
        <v>3149</v>
      </c>
      <c r="R73" s="17" t="s">
        <v>1705</v>
      </c>
      <c r="S73" s="17"/>
      <c r="T73" s="17" t="s">
        <v>1706</v>
      </c>
      <c r="U73" s="17" t="s">
        <v>1707</v>
      </c>
      <c r="V73" s="17" t="s">
        <v>1708</v>
      </c>
      <c r="W73" s="17" t="s">
        <v>1705</v>
      </c>
      <c r="X73" s="17" t="s">
        <v>78</v>
      </c>
      <c r="Y73" s="17" t="s">
        <v>1709</v>
      </c>
      <c r="Z73" s="17" t="s">
        <v>1710</v>
      </c>
      <c r="AA73" s="20">
        <v>45901</v>
      </c>
      <c r="AB73" s="17" t="s">
        <v>181</v>
      </c>
      <c r="AC73" s="17" t="s">
        <v>1710</v>
      </c>
      <c r="AD73" s="20">
        <v>45874</v>
      </c>
      <c r="AE73" s="17">
        <v>600000</v>
      </c>
      <c r="AF73" s="17">
        <v>200000</v>
      </c>
      <c r="AG73" s="17">
        <v>400000</v>
      </c>
      <c r="AH73" s="17">
        <v>600000</v>
      </c>
      <c r="AI73" s="20">
        <v>45874</v>
      </c>
      <c r="AJ73" s="17">
        <v>200000</v>
      </c>
      <c r="AK73" s="20">
        <v>45919</v>
      </c>
      <c r="AL73" s="17">
        <v>400000</v>
      </c>
      <c r="AM73" s="17"/>
    </row>
    <row r="74" spans="1:39" x14ac:dyDescent="0.3">
      <c r="A74" s="16" t="s">
        <v>1711</v>
      </c>
      <c r="B74" s="17">
        <v>2025</v>
      </c>
      <c r="C74" s="17" t="s">
        <v>2871</v>
      </c>
      <c r="D74" s="17" t="s">
        <v>94</v>
      </c>
      <c r="E74" s="17" t="s">
        <v>1322</v>
      </c>
      <c r="F74" s="18" t="s">
        <v>3150</v>
      </c>
      <c r="G74" s="19">
        <v>33</v>
      </c>
      <c r="H74" s="19" t="s">
        <v>353</v>
      </c>
      <c r="I74" s="20">
        <v>45873</v>
      </c>
      <c r="J74" s="20">
        <v>45873</v>
      </c>
      <c r="K74" s="17"/>
      <c r="L74" s="17" t="s">
        <v>181</v>
      </c>
      <c r="M74" s="17" t="s">
        <v>1322</v>
      </c>
      <c r="N74" s="17" t="s">
        <v>1713</v>
      </c>
      <c r="O74" s="17">
        <v>17</v>
      </c>
      <c r="P74" s="17">
        <v>3058189705</v>
      </c>
      <c r="Q74" s="17" t="s">
        <v>3151</v>
      </c>
      <c r="R74" s="17" t="s">
        <v>1714</v>
      </c>
      <c r="S74" s="17"/>
      <c r="T74" s="17" t="s">
        <v>1715</v>
      </c>
      <c r="U74" s="17" t="s">
        <v>1716</v>
      </c>
      <c r="V74" s="17" t="s">
        <v>1717</v>
      </c>
      <c r="W74" s="17" t="s">
        <v>1718</v>
      </c>
      <c r="X74" s="17" t="s">
        <v>461</v>
      </c>
      <c r="Y74" s="17" t="s">
        <v>1719</v>
      </c>
      <c r="Z74" s="17" t="s">
        <v>1720</v>
      </c>
      <c r="AA74" s="21">
        <v>45901</v>
      </c>
      <c r="AB74" s="17" t="s">
        <v>181</v>
      </c>
      <c r="AC74" s="17" t="s">
        <v>1720</v>
      </c>
      <c r="AD74" s="20">
        <v>45874</v>
      </c>
      <c r="AE74" s="17">
        <v>600000</v>
      </c>
      <c r="AF74" s="17">
        <v>200000</v>
      </c>
      <c r="AG74" s="17">
        <v>400000</v>
      </c>
      <c r="AH74" s="17">
        <v>600000</v>
      </c>
      <c r="AI74" s="20">
        <v>45874</v>
      </c>
      <c r="AJ74" s="17">
        <v>200000</v>
      </c>
      <c r="AK74" s="20">
        <v>45919</v>
      </c>
      <c r="AL74" s="17">
        <v>400000</v>
      </c>
      <c r="AM74" s="17"/>
    </row>
    <row r="75" spans="1:39" x14ac:dyDescent="0.3">
      <c r="A75" s="16" t="s">
        <v>3152</v>
      </c>
      <c r="B75" s="17">
        <v>2025</v>
      </c>
      <c r="C75" s="17" t="s">
        <v>2871</v>
      </c>
      <c r="D75" s="17"/>
      <c r="E75" s="17" t="s">
        <v>1322</v>
      </c>
      <c r="F75" s="18" t="s">
        <v>3153</v>
      </c>
      <c r="G75" s="19">
        <v>34</v>
      </c>
      <c r="H75" s="19" t="s">
        <v>372</v>
      </c>
      <c r="I75" s="20">
        <v>45873</v>
      </c>
      <c r="J75" s="20">
        <v>45873</v>
      </c>
      <c r="K75" s="17"/>
      <c r="L75" s="17" t="s">
        <v>73</v>
      </c>
      <c r="M75" s="17" t="s">
        <v>1322</v>
      </c>
      <c r="N75" s="17" t="s">
        <v>3154</v>
      </c>
      <c r="O75" s="17">
        <v>7</v>
      </c>
      <c r="P75" s="17">
        <v>3068120693</v>
      </c>
      <c r="Q75" s="17" t="s">
        <v>3155</v>
      </c>
      <c r="R75" s="17" t="s">
        <v>3156</v>
      </c>
      <c r="S75" s="17"/>
      <c r="T75" s="17" t="s">
        <v>1609</v>
      </c>
      <c r="U75" s="17" t="s">
        <v>3157</v>
      </c>
      <c r="V75" s="17" t="s">
        <v>3158</v>
      </c>
      <c r="W75" s="17" t="s">
        <v>3159</v>
      </c>
      <c r="X75" s="17" t="s">
        <v>123</v>
      </c>
      <c r="Y75" s="17" t="s">
        <v>3160</v>
      </c>
      <c r="Z75" s="17"/>
      <c r="AA75" s="20">
        <v>45894</v>
      </c>
      <c r="AB75" s="17" t="s">
        <v>73</v>
      </c>
      <c r="AC75" s="17" t="s">
        <v>3161</v>
      </c>
      <c r="AD75" s="20" t="s">
        <v>69</v>
      </c>
      <c r="AE75" s="17">
        <v>400000</v>
      </c>
      <c r="AF75" s="17">
        <v>0</v>
      </c>
      <c r="AG75" s="17">
        <v>400000</v>
      </c>
      <c r="AH75" s="17">
        <v>400000</v>
      </c>
      <c r="AI75" s="21"/>
      <c r="AJ75" s="17">
        <v>0</v>
      </c>
      <c r="AK75" s="20">
        <v>45919</v>
      </c>
      <c r="AL75" s="17">
        <v>400000</v>
      </c>
      <c r="AM75" s="17"/>
    </row>
    <row r="76" spans="1:39" x14ac:dyDescent="0.3">
      <c r="A76" s="16" t="s">
        <v>1605</v>
      </c>
      <c r="B76" s="17">
        <v>2025</v>
      </c>
      <c r="C76" s="17" t="s">
        <v>2871</v>
      </c>
      <c r="D76" s="17" t="s">
        <v>94</v>
      </c>
      <c r="E76" s="17" t="s">
        <v>1322</v>
      </c>
      <c r="F76" s="18" t="s">
        <v>3162</v>
      </c>
      <c r="G76" s="19">
        <v>35</v>
      </c>
      <c r="H76" s="19" t="s">
        <v>382</v>
      </c>
      <c r="I76" s="20">
        <v>45873</v>
      </c>
      <c r="J76" s="20">
        <v>45873</v>
      </c>
      <c r="K76" s="17"/>
      <c r="L76" s="17" t="s">
        <v>46</v>
      </c>
      <c r="M76" s="17" t="s">
        <v>1322</v>
      </c>
      <c r="N76" s="17" t="s">
        <v>1607</v>
      </c>
      <c r="O76" s="17">
        <v>8</v>
      </c>
      <c r="P76" s="17">
        <v>7382500675</v>
      </c>
      <c r="Q76" s="17" t="s">
        <v>3163</v>
      </c>
      <c r="R76" s="17" t="s">
        <v>1608</v>
      </c>
      <c r="S76" s="17"/>
      <c r="T76" s="17" t="s">
        <v>1609</v>
      </c>
      <c r="U76" s="17" t="s">
        <v>1610</v>
      </c>
      <c r="V76" s="17" t="s">
        <v>1611</v>
      </c>
      <c r="W76" s="17" t="s">
        <v>1608</v>
      </c>
      <c r="X76" s="17" t="s">
        <v>78</v>
      </c>
      <c r="Y76" s="17" t="s">
        <v>1612</v>
      </c>
      <c r="Z76" s="17" t="s">
        <v>1613</v>
      </c>
      <c r="AA76" s="20">
        <v>45894</v>
      </c>
      <c r="AB76" s="17" t="s">
        <v>73</v>
      </c>
      <c r="AC76" s="17" t="s">
        <v>1613</v>
      </c>
      <c r="AD76" s="20">
        <v>45874</v>
      </c>
      <c r="AE76" s="17">
        <v>600000</v>
      </c>
      <c r="AF76" s="17">
        <v>200000</v>
      </c>
      <c r="AG76" s="17">
        <v>400000</v>
      </c>
      <c r="AH76" s="17">
        <v>600000</v>
      </c>
      <c r="AI76" s="20">
        <v>46015</v>
      </c>
      <c r="AJ76" s="17">
        <v>200000</v>
      </c>
      <c r="AK76" s="20">
        <v>45919</v>
      </c>
      <c r="AL76" s="17">
        <v>400000</v>
      </c>
      <c r="AM76" s="17"/>
    </row>
    <row r="77" spans="1:39" x14ac:dyDescent="0.3">
      <c r="A77" s="16" t="s">
        <v>3164</v>
      </c>
      <c r="B77" s="17">
        <v>2025</v>
      </c>
      <c r="C77" s="17" t="s">
        <v>2871</v>
      </c>
      <c r="D77" s="17" t="s">
        <v>94</v>
      </c>
      <c r="E77" s="17" t="s">
        <v>1322</v>
      </c>
      <c r="F77" s="18" t="s">
        <v>3165</v>
      </c>
      <c r="G77" s="19">
        <v>36</v>
      </c>
      <c r="H77" s="19" t="s">
        <v>382</v>
      </c>
      <c r="I77" s="20">
        <v>45873</v>
      </c>
      <c r="J77" s="20">
        <v>45873</v>
      </c>
      <c r="K77" s="17"/>
      <c r="L77" s="17" t="s">
        <v>218</v>
      </c>
      <c r="M77" s="17" t="s">
        <v>1322</v>
      </c>
      <c r="N77" s="17" t="s">
        <v>1617</v>
      </c>
      <c r="O77" s="17">
        <v>2</v>
      </c>
      <c r="P77" s="17">
        <v>8754600756</v>
      </c>
      <c r="Q77" s="17" t="s">
        <v>3166</v>
      </c>
      <c r="R77" s="17" t="s">
        <v>1618</v>
      </c>
      <c r="S77" s="17"/>
      <c r="T77" s="17" t="s">
        <v>1619</v>
      </c>
      <c r="U77" s="17" t="s">
        <v>1620</v>
      </c>
      <c r="V77" s="17" t="s">
        <v>1620</v>
      </c>
      <c r="W77" s="17" t="s">
        <v>1618</v>
      </c>
      <c r="X77" s="17" t="s">
        <v>78</v>
      </c>
      <c r="Y77" s="17" t="s">
        <v>1621</v>
      </c>
      <c r="Z77" s="17" t="s">
        <v>1622</v>
      </c>
      <c r="AA77" s="20">
        <v>45896</v>
      </c>
      <c r="AB77" s="17" t="s">
        <v>73</v>
      </c>
      <c r="AC77" s="17" t="s">
        <v>1622</v>
      </c>
      <c r="AD77" s="20">
        <v>45874</v>
      </c>
      <c r="AE77" s="17">
        <v>600000</v>
      </c>
      <c r="AF77" s="17">
        <v>200000</v>
      </c>
      <c r="AG77" s="17">
        <v>400000</v>
      </c>
      <c r="AH77" s="17">
        <v>600000</v>
      </c>
      <c r="AI77" s="20">
        <v>46014</v>
      </c>
      <c r="AJ77" s="17">
        <v>200000</v>
      </c>
      <c r="AK77" s="20">
        <v>45919</v>
      </c>
      <c r="AL77" s="17">
        <v>400000</v>
      </c>
      <c r="AM77" s="17"/>
    </row>
    <row r="78" spans="1:39" x14ac:dyDescent="0.3">
      <c r="A78" s="16" t="s">
        <v>1741</v>
      </c>
      <c r="B78" s="17">
        <v>2025</v>
      </c>
      <c r="C78" s="17" t="s">
        <v>2871</v>
      </c>
      <c r="D78" s="17" t="s">
        <v>94</v>
      </c>
      <c r="E78" s="17" t="s">
        <v>1322</v>
      </c>
      <c r="F78" s="18" t="s">
        <v>3167</v>
      </c>
      <c r="G78" s="19">
        <v>37</v>
      </c>
      <c r="H78" s="19" t="s">
        <v>393</v>
      </c>
      <c r="I78" s="20">
        <v>45874</v>
      </c>
      <c r="J78" s="20">
        <v>45874</v>
      </c>
      <c r="K78" s="17"/>
      <c r="L78" s="17" t="s">
        <v>61</v>
      </c>
      <c r="M78" s="17" t="s">
        <v>1322</v>
      </c>
      <c r="N78" s="17" t="s">
        <v>1743</v>
      </c>
      <c r="O78" s="17">
        <v>18</v>
      </c>
      <c r="P78" s="17">
        <v>3148654087</v>
      </c>
      <c r="Q78" s="17" t="s">
        <v>3168</v>
      </c>
      <c r="R78" s="17" t="s">
        <v>1744</v>
      </c>
      <c r="S78" s="17"/>
      <c r="T78" s="17" t="s">
        <v>1745</v>
      </c>
      <c r="U78" s="17" t="s">
        <v>1746</v>
      </c>
      <c r="V78" s="17" t="s">
        <v>1747</v>
      </c>
      <c r="W78" s="17" t="s">
        <v>1748</v>
      </c>
      <c r="X78" s="17" t="s">
        <v>980</v>
      </c>
      <c r="Y78" s="17" t="s">
        <v>1749</v>
      </c>
      <c r="Z78" s="17" t="s">
        <v>1750</v>
      </c>
      <c r="AA78" s="20">
        <v>45901</v>
      </c>
      <c r="AB78" s="17" t="s">
        <v>181</v>
      </c>
      <c r="AC78" s="17" t="s">
        <v>1750</v>
      </c>
      <c r="AD78" s="20">
        <v>45875</v>
      </c>
      <c r="AE78" s="17">
        <v>600000</v>
      </c>
      <c r="AF78" s="17">
        <v>200000</v>
      </c>
      <c r="AG78" s="17">
        <v>400000</v>
      </c>
      <c r="AH78" s="17">
        <v>600000</v>
      </c>
      <c r="AI78" s="20">
        <v>45906</v>
      </c>
      <c r="AJ78" s="17">
        <v>200000</v>
      </c>
      <c r="AK78" s="20">
        <v>45919</v>
      </c>
      <c r="AL78" s="17">
        <v>400000</v>
      </c>
      <c r="AM78" s="17"/>
    </row>
    <row r="79" spans="1:39" x14ac:dyDescent="0.3">
      <c r="A79" s="16" t="s">
        <v>1751</v>
      </c>
      <c r="B79" s="17">
        <v>2025</v>
      </c>
      <c r="C79" s="17" t="s">
        <v>2871</v>
      </c>
      <c r="D79" s="17" t="s">
        <v>94</v>
      </c>
      <c r="E79" s="17" t="s">
        <v>1322</v>
      </c>
      <c r="F79" s="18" t="s">
        <v>3169</v>
      </c>
      <c r="G79" s="19">
        <v>38</v>
      </c>
      <c r="H79" s="19" t="s">
        <v>404</v>
      </c>
      <c r="I79" s="20">
        <v>45874</v>
      </c>
      <c r="J79" s="20">
        <v>45874</v>
      </c>
      <c r="K79" s="17"/>
      <c r="L79" s="17" t="s">
        <v>97</v>
      </c>
      <c r="M79" s="17" t="s">
        <v>1322</v>
      </c>
      <c r="N79" s="17" t="s">
        <v>1753</v>
      </c>
      <c r="O79" s="17">
        <v>10</v>
      </c>
      <c r="P79" s="17">
        <v>3148641578</v>
      </c>
      <c r="Q79" s="17" t="s">
        <v>3170</v>
      </c>
      <c r="R79" s="17" t="s">
        <v>1754</v>
      </c>
      <c r="S79" s="17"/>
      <c r="T79" s="17" t="s">
        <v>1755</v>
      </c>
      <c r="U79" s="17" t="s">
        <v>1756</v>
      </c>
      <c r="V79" s="17" t="s">
        <v>1757</v>
      </c>
      <c r="W79" s="17" t="s">
        <v>1758</v>
      </c>
      <c r="X79" s="17" t="s">
        <v>78</v>
      </c>
      <c r="Y79" s="17" t="s">
        <v>1759</v>
      </c>
      <c r="Z79" s="17" t="s">
        <v>1760</v>
      </c>
      <c r="AA79" s="20">
        <v>45901</v>
      </c>
      <c r="AB79" s="17" t="s">
        <v>181</v>
      </c>
      <c r="AC79" s="17" t="s">
        <v>1760</v>
      </c>
      <c r="AD79" s="20">
        <v>45875</v>
      </c>
      <c r="AE79" s="17">
        <v>600000</v>
      </c>
      <c r="AF79" s="17">
        <v>200000</v>
      </c>
      <c r="AG79" s="17">
        <v>400000</v>
      </c>
      <c r="AH79" s="17">
        <v>600000</v>
      </c>
      <c r="AI79" s="20">
        <v>45908</v>
      </c>
      <c r="AJ79" s="17">
        <v>200000</v>
      </c>
      <c r="AK79" s="20">
        <v>45919</v>
      </c>
      <c r="AL79" s="17">
        <v>400000</v>
      </c>
      <c r="AM79" s="17"/>
    </row>
    <row r="80" spans="1:39" x14ac:dyDescent="0.3">
      <c r="A80" s="16" t="s">
        <v>1761</v>
      </c>
      <c r="B80" s="17">
        <v>2025</v>
      </c>
      <c r="C80" s="17" t="s">
        <v>2871</v>
      </c>
      <c r="D80" s="17" t="s">
        <v>94</v>
      </c>
      <c r="E80" s="17" t="s">
        <v>1322</v>
      </c>
      <c r="F80" s="18" t="s">
        <v>3171</v>
      </c>
      <c r="G80" s="19">
        <v>39</v>
      </c>
      <c r="H80" s="19" t="s">
        <v>410</v>
      </c>
      <c r="I80" s="20">
        <v>45874</v>
      </c>
      <c r="J80" s="20">
        <v>45874</v>
      </c>
      <c r="K80" s="17"/>
      <c r="L80" s="17" t="s">
        <v>181</v>
      </c>
      <c r="M80" s="17" t="s">
        <v>1322</v>
      </c>
      <c r="N80" s="17" t="s">
        <v>1763</v>
      </c>
      <c r="O80" s="17">
        <v>16</v>
      </c>
      <c r="P80" s="17">
        <v>4188702122</v>
      </c>
      <c r="Q80" s="17" t="s">
        <v>3172</v>
      </c>
      <c r="R80" s="17" t="s">
        <v>1764</v>
      </c>
      <c r="S80" s="17"/>
      <c r="T80" s="17" t="s">
        <v>1765</v>
      </c>
      <c r="U80" s="17" t="s">
        <v>1766</v>
      </c>
      <c r="V80" s="17" t="s">
        <v>1767</v>
      </c>
      <c r="W80" s="17" t="s">
        <v>1768</v>
      </c>
      <c r="X80" s="17" t="s">
        <v>134</v>
      </c>
      <c r="Y80" s="17" t="s">
        <v>1769</v>
      </c>
      <c r="Z80" s="17" t="s">
        <v>1770</v>
      </c>
      <c r="AA80" s="20">
        <v>45901</v>
      </c>
      <c r="AB80" s="17" t="s">
        <v>181</v>
      </c>
      <c r="AC80" s="17" t="s">
        <v>1770</v>
      </c>
      <c r="AD80" s="20">
        <v>45875</v>
      </c>
      <c r="AE80" s="17">
        <v>600000</v>
      </c>
      <c r="AF80" s="17">
        <v>200000</v>
      </c>
      <c r="AG80" s="17">
        <v>400000</v>
      </c>
      <c r="AH80" s="17">
        <v>600000</v>
      </c>
      <c r="AI80" s="20">
        <v>45924</v>
      </c>
      <c r="AJ80" s="17">
        <v>200000</v>
      </c>
      <c r="AK80" s="20">
        <v>45919</v>
      </c>
      <c r="AL80" s="17">
        <v>400000</v>
      </c>
      <c r="AM80" s="17"/>
    </row>
    <row r="81" spans="1:39" x14ac:dyDescent="0.3">
      <c r="A81" s="16" t="s">
        <v>2345</v>
      </c>
      <c r="B81" s="17">
        <v>2025</v>
      </c>
      <c r="C81" s="17" t="s">
        <v>2871</v>
      </c>
      <c r="D81" s="17" t="s">
        <v>94</v>
      </c>
      <c r="E81" s="17" t="s">
        <v>1322</v>
      </c>
      <c r="F81" s="18" t="s">
        <v>3173</v>
      </c>
      <c r="G81" s="19">
        <v>40</v>
      </c>
      <c r="H81" s="19" t="s">
        <v>423</v>
      </c>
      <c r="I81" s="20">
        <v>45874</v>
      </c>
      <c r="J81" s="20">
        <v>45874</v>
      </c>
      <c r="K81" s="17"/>
      <c r="L81" s="17" t="s">
        <v>73</v>
      </c>
      <c r="M81" s="17" t="s">
        <v>1322</v>
      </c>
      <c r="N81" s="17" t="s">
        <v>2347</v>
      </c>
      <c r="O81" s="17">
        <v>16</v>
      </c>
      <c r="P81" s="17">
        <v>4698802369</v>
      </c>
      <c r="Q81" s="17">
        <v>46988023690</v>
      </c>
      <c r="R81" s="17" t="s">
        <v>2348</v>
      </c>
      <c r="S81" s="17"/>
      <c r="T81" s="17" t="s">
        <v>2349</v>
      </c>
      <c r="U81" s="17" t="s">
        <v>2350</v>
      </c>
      <c r="V81" s="17" t="s">
        <v>2351</v>
      </c>
      <c r="W81" s="17" t="s">
        <v>2348</v>
      </c>
      <c r="X81" s="17" t="s">
        <v>78</v>
      </c>
      <c r="Y81" s="17" t="s">
        <v>2352</v>
      </c>
      <c r="Z81" s="17" t="s">
        <v>2353</v>
      </c>
      <c r="AA81" s="20">
        <v>45897</v>
      </c>
      <c r="AB81" s="17" t="s">
        <v>218</v>
      </c>
      <c r="AC81" s="17" t="s">
        <v>2353</v>
      </c>
      <c r="AD81" s="21">
        <v>45875</v>
      </c>
      <c r="AE81" s="17">
        <v>600000</v>
      </c>
      <c r="AF81" s="17">
        <v>200000</v>
      </c>
      <c r="AG81" s="17">
        <v>400000</v>
      </c>
      <c r="AH81" s="17">
        <v>600000</v>
      </c>
      <c r="AI81" s="20">
        <v>45950</v>
      </c>
      <c r="AJ81" s="17">
        <v>200000</v>
      </c>
      <c r="AK81" s="20">
        <v>45919</v>
      </c>
      <c r="AL81" s="17">
        <v>400000</v>
      </c>
      <c r="AM81" s="17"/>
    </row>
    <row r="82" spans="1:39" x14ac:dyDescent="0.3">
      <c r="A82" s="16" t="s">
        <v>2354</v>
      </c>
      <c r="B82" s="17">
        <v>2025</v>
      </c>
      <c r="C82" s="17" t="s">
        <v>2871</v>
      </c>
      <c r="D82" s="17" t="s">
        <v>94</v>
      </c>
      <c r="E82" s="17" t="s">
        <v>1322</v>
      </c>
      <c r="F82" s="18" t="s">
        <v>3174</v>
      </c>
      <c r="G82" s="19">
        <v>41</v>
      </c>
      <c r="H82" s="19" t="s">
        <v>434</v>
      </c>
      <c r="I82" s="20">
        <v>45874</v>
      </c>
      <c r="J82" s="20">
        <v>45874</v>
      </c>
      <c r="K82" s="17"/>
      <c r="L82" s="17" t="s">
        <v>46</v>
      </c>
      <c r="M82" s="17" t="s">
        <v>1322</v>
      </c>
      <c r="N82" s="17" t="s">
        <v>2356</v>
      </c>
      <c r="O82" s="17">
        <v>9</v>
      </c>
      <c r="P82" s="17">
        <v>3148186997</v>
      </c>
      <c r="Q82" s="17" t="s">
        <v>3175</v>
      </c>
      <c r="R82" s="17" t="s">
        <v>2357</v>
      </c>
      <c r="S82" s="17"/>
      <c r="T82" s="17" t="s">
        <v>2358</v>
      </c>
      <c r="U82" s="17" t="s">
        <v>2359</v>
      </c>
      <c r="V82" s="17" t="s">
        <v>2360</v>
      </c>
      <c r="W82" s="17" t="s">
        <v>2361</v>
      </c>
      <c r="X82" s="17" t="s">
        <v>78</v>
      </c>
      <c r="Y82" s="17" t="s">
        <v>2362</v>
      </c>
      <c r="Z82" s="17" t="s">
        <v>2363</v>
      </c>
      <c r="AA82" s="20">
        <v>45897</v>
      </c>
      <c r="AB82" s="17" t="s">
        <v>218</v>
      </c>
      <c r="AC82" s="17" t="s">
        <v>2363</v>
      </c>
      <c r="AD82" s="21">
        <v>45875</v>
      </c>
      <c r="AE82" s="17">
        <v>600000</v>
      </c>
      <c r="AF82" s="17">
        <v>200000</v>
      </c>
      <c r="AG82" s="17">
        <v>400000</v>
      </c>
      <c r="AH82" s="17">
        <v>600000</v>
      </c>
      <c r="AI82" s="20">
        <v>45897</v>
      </c>
      <c r="AJ82" s="17">
        <v>200000</v>
      </c>
      <c r="AK82" s="20">
        <v>45919</v>
      </c>
      <c r="AL82" s="17">
        <v>400000</v>
      </c>
      <c r="AM82" s="17"/>
    </row>
    <row r="83" spans="1:39" x14ac:dyDescent="0.3">
      <c r="A83" s="16" t="s">
        <v>1731</v>
      </c>
      <c r="B83" s="17">
        <v>2025</v>
      </c>
      <c r="C83" s="17" t="s">
        <v>2871</v>
      </c>
      <c r="D83" s="17" t="s">
        <v>94</v>
      </c>
      <c r="E83" s="17" t="s">
        <v>1322</v>
      </c>
      <c r="F83" s="18" t="s">
        <v>3176</v>
      </c>
      <c r="G83" s="19">
        <v>42</v>
      </c>
      <c r="H83" s="19" t="s">
        <v>455</v>
      </c>
      <c r="I83" s="20">
        <v>45874</v>
      </c>
      <c r="J83" s="20">
        <v>45874</v>
      </c>
      <c r="K83" s="17"/>
      <c r="L83" s="17" t="s">
        <v>218</v>
      </c>
      <c r="M83" s="17" t="s">
        <v>1322</v>
      </c>
      <c r="N83" s="17" t="s">
        <v>1733</v>
      </c>
      <c r="O83" s="17">
        <v>8</v>
      </c>
      <c r="P83" s="17">
        <v>3141285352</v>
      </c>
      <c r="Q83" s="17" t="s">
        <v>3177</v>
      </c>
      <c r="R83" s="17" t="s">
        <v>1734</v>
      </c>
      <c r="S83" s="17"/>
      <c r="T83" s="17" t="s">
        <v>1735</v>
      </c>
      <c r="U83" s="17" t="s">
        <v>1736</v>
      </c>
      <c r="V83" s="17" t="s">
        <v>1737</v>
      </c>
      <c r="W83" s="17" t="s">
        <v>1738</v>
      </c>
      <c r="X83" s="17" t="s">
        <v>78</v>
      </c>
      <c r="Y83" s="17" t="s">
        <v>1739</v>
      </c>
      <c r="Z83" s="17" t="s">
        <v>1740</v>
      </c>
      <c r="AA83" s="20">
        <v>45897</v>
      </c>
      <c r="AB83" s="17" t="s">
        <v>218</v>
      </c>
      <c r="AC83" s="17" t="s">
        <v>1740</v>
      </c>
      <c r="AD83" s="21">
        <v>45875</v>
      </c>
      <c r="AE83" s="17">
        <v>600000</v>
      </c>
      <c r="AF83" s="17">
        <v>200000</v>
      </c>
      <c r="AG83" s="17">
        <v>400000</v>
      </c>
      <c r="AH83" s="17">
        <v>600000</v>
      </c>
      <c r="AI83" s="20">
        <v>45880</v>
      </c>
      <c r="AJ83" s="17">
        <v>200000</v>
      </c>
      <c r="AK83" s="20">
        <v>45919</v>
      </c>
      <c r="AL83" s="17">
        <v>400000</v>
      </c>
      <c r="AM83" s="17"/>
    </row>
    <row r="84" spans="1:39" x14ac:dyDescent="0.3">
      <c r="A84" s="16" t="s">
        <v>1876</v>
      </c>
      <c r="B84" s="17">
        <v>2025</v>
      </c>
      <c r="C84" s="17" t="s">
        <v>2871</v>
      </c>
      <c r="D84" s="17" t="s">
        <v>94</v>
      </c>
      <c r="E84" s="17" t="s">
        <v>1322</v>
      </c>
      <c r="F84" s="18" t="s">
        <v>3178</v>
      </c>
      <c r="G84" s="19">
        <v>43</v>
      </c>
      <c r="H84" s="19" t="s">
        <v>455</v>
      </c>
      <c r="I84" s="20">
        <v>45875</v>
      </c>
      <c r="J84" s="20">
        <v>45875</v>
      </c>
      <c r="K84" s="17"/>
      <c r="L84" s="17" t="s">
        <v>61</v>
      </c>
      <c r="M84" s="17" t="s">
        <v>1322</v>
      </c>
      <c r="N84" s="17" t="s">
        <v>1878</v>
      </c>
      <c r="O84" s="17">
        <v>3</v>
      </c>
      <c r="P84" s="17">
        <v>3052862491</v>
      </c>
      <c r="Q84" s="17" t="s">
        <v>3179</v>
      </c>
      <c r="R84" s="17" t="s">
        <v>1879</v>
      </c>
      <c r="S84" s="17"/>
      <c r="T84" s="17" t="s">
        <v>1880</v>
      </c>
      <c r="U84" s="17" t="s">
        <v>1881</v>
      </c>
      <c r="V84" s="17" t="s">
        <v>1882</v>
      </c>
      <c r="W84" s="17" t="s">
        <v>1879</v>
      </c>
      <c r="X84" s="17" t="s">
        <v>78</v>
      </c>
      <c r="Y84" s="17" t="s">
        <v>1883</v>
      </c>
      <c r="Z84" s="17" t="s">
        <v>1884</v>
      </c>
      <c r="AA84" s="21">
        <v>45901</v>
      </c>
      <c r="AB84" s="17" t="s">
        <v>181</v>
      </c>
      <c r="AC84" s="17" t="s">
        <v>1884</v>
      </c>
      <c r="AD84" s="20">
        <v>45876</v>
      </c>
      <c r="AE84" s="17">
        <v>600000</v>
      </c>
      <c r="AF84" s="17">
        <v>200000</v>
      </c>
      <c r="AG84" s="17">
        <v>400000</v>
      </c>
      <c r="AH84" s="17">
        <v>600000</v>
      </c>
      <c r="AI84" s="20">
        <v>45995</v>
      </c>
      <c r="AJ84" s="17">
        <v>200000</v>
      </c>
      <c r="AK84" s="20">
        <v>45919</v>
      </c>
      <c r="AL84" s="17">
        <v>400000</v>
      </c>
      <c r="AM84" s="17"/>
    </row>
    <row r="85" spans="1:39" x14ac:dyDescent="0.3">
      <c r="A85" s="16" t="s">
        <v>1885</v>
      </c>
      <c r="B85" s="17">
        <v>2025</v>
      </c>
      <c r="C85" s="17" t="s">
        <v>2871</v>
      </c>
      <c r="D85" s="17" t="s">
        <v>94</v>
      </c>
      <c r="E85" s="17" t="s">
        <v>1322</v>
      </c>
      <c r="F85" s="18" t="s">
        <v>3180</v>
      </c>
      <c r="G85" s="19">
        <v>44</v>
      </c>
      <c r="H85" s="19" t="s">
        <v>455</v>
      </c>
      <c r="I85" s="20">
        <v>45875</v>
      </c>
      <c r="J85" s="20">
        <v>45875</v>
      </c>
      <c r="K85" s="17"/>
      <c r="L85" s="17" t="s">
        <v>97</v>
      </c>
      <c r="M85" s="17" t="s">
        <v>1322</v>
      </c>
      <c r="N85" s="17" t="s">
        <v>1887</v>
      </c>
      <c r="O85" s="17">
        <v>3</v>
      </c>
      <c r="P85" s="17">
        <v>3053255662</v>
      </c>
      <c r="Q85" s="17" t="s">
        <v>3181</v>
      </c>
      <c r="R85" s="17" t="s">
        <v>1888</v>
      </c>
      <c r="S85" s="17"/>
      <c r="T85" s="17" t="s">
        <v>1889</v>
      </c>
      <c r="U85" s="17" t="s">
        <v>1890</v>
      </c>
      <c r="V85" s="17" t="s">
        <v>1891</v>
      </c>
      <c r="W85" s="17" t="s">
        <v>1888</v>
      </c>
      <c r="X85" s="17" t="s">
        <v>78</v>
      </c>
      <c r="Y85" s="17" t="s">
        <v>1892</v>
      </c>
      <c r="Z85" s="17" t="s">
        <v>1893</v>
      </c>
      <c r="AA85" s="21">
        <v>45901</v>
      </c>
      <c r="AB85" s="17" t="s">
        <v>181</v>
      </c>
      <c r="AC85" s="17" t="s">
        <v>1893</v>
      </c>
      <c r="AD85" s="20">
        <v>45876</v>
      </c>
      <c r="AE85" s="17">
        <v>600000</v>
      </c>
      <c r="AF85" s="17">
        <v>200000</v>
      </c>
      <c r="AG85" s="17">
        <v>400000</v>
      </c>
      <c r="AH85" s="17">
        <v>600000</v>
      </c>
      <c r="AI85" s="20">
        <v>45904</v>
      </c>
      <c r="AJ85" s="17">
        <v>200000</v>
      </c>
      <c r="AK85" s="20">
        <v>45919</v>
      </c>
      <c r="AL85" s="17">
        <v>400000</v>
      </c>
      <c r="AM85" s="17"/>
    </row>
    <row r="86" spans="1:39" x14ac:dyDescent="0.3">
      <c r="A86" s="16" t="s">
        <v>1894</v>
      </c>
      <c r="B86" s="17">
        <v>2025</v>
      </c>
      <c r="C86" s="17" t="s">
        <v>2871</v>
      </c>
      <c r="D86" s="17" t="s">
        <v>94</v>
      </c>
      <c r="E86" s="17" t="s">
        <v>1322</v>
      </c>
      <c r="F86" s="18" t="s">
        <v>3182</v>
      </c>
      <c r="G86" s="19">
        <v>45</v>
      </c>
      <c r="H86" s="19" t="s">
        <v>466</v>
      </c>
      <c r="I86" s="20">
        <v>45875</v>
      </c>
      <c r="J86" s="20">
        <v>45875</v>
      </c>
      <c r="K86" s="17"/>
      <c r="L86" s="17" t="s">
        <v>181</v>
      </c>
      <c r="M86" s="17" t="s">
        <v>1322</v>
      </c>
      <c r="N86" s="17" t="s">
        <v>1896</v>
      </c>
      <c r="O86" s="17">
        <v>6</v>
      </c>
      <c r="P86" s="17">
        <v>3052331936</v>
      </c>
      <c r="Q86" s="17" t="s">
        <v>3183</v>
      </c>
      <c r="R86" s="17" t="s">
        <v>1897</v>
      </c>
      <c r="S86" s="17"/>
      <c r="T86" s="17" t="s">
        <v>1898</v>
      </c>
      <c r="U86" s="17" t="s">
        <v>1899</v>
      </c>
      <c r="V86" s="17" t="s">
        <v>1900</v>
      </c>
      <c r="W86" s="17" t="s">
        <v>1897</v>
      </c>
      <c r="X86" s="17" t="s">
        <v>78</v>
      </c>
      <c r="Y86" s="17" t="s">
        <v>1901</v>
      </c>
      <c r="Z86" s="17" t="s">
        <v>1902</v>
      </c>
      <c r="AA86" s="20">
        <v>45901</v>
      </c>
      <c r="AB86" s="17" t="s">
        <v>181</v>
      </c>
      <c r="AC86" s="17" t="s">
        <v>1902</v>
      </c>
      <c r="AD86" s="20">
        <v>45876</v>
      </c>
      <c r="AE86" s="17">
        <v>600000</v>
      </c>
      <c r="AF86" s="17">
        <v>200000</v>
      </c>
      <c r="AG86" s="17">
        <v>400000</v>
      </c>
      <c r="AH86" s="17">
        <v>400000</v>
      </c>
      <c r="AI86" s="21"/>
      <c r="AJ86" s="17">
        <v>0</v>
      </c>
      <c r="AK86" s="20">
        <v>45919</v>
      </c>
      <c r="AL86" s="17">
        <v>400000</v>
      </c>
      <c r="AM86" s="17"/>
    </row>
    <row r="87" spans="1:39" x14ac:dyDescent="0.3">
      <c r="A87" s="16" t="s">
        <v>1800</v>
      </c>
      <c r="B87" s="17">
        <v>2025</v>
      </c>
      <c r="C87" s="17" t="s">
        <v>2871</v>
      </c>
      <c r="D87" s="17" t="s">
        <v>94</v>
      </c>
      <c r="E87" s="17" t="s">
        <v>1322</v>
      </c>
      <c r="F87" s="18" t="s">
        <v>3184</v>
      </c>
      <c r="G87" s="19">
        <v>46</v>
      </c>
      <c r="H87" s="19" t="s">
        <v>476</v>
      </c>
      <c r="I87" s="20">
        <v>45875</v>
      </c>
      <c r="J87" s="20">
        <v>45875</v>
      </c>
      <c r="K87" s="17"/>
      <c r="L87" s="17" t="s">
        <v>73</v>
      </c>
      <c r="M87" s="17" t="s">
        <v>1322</v>
      </c>
      <c r="N87" s="17" t="s">
        <v>1802</v>
      </c>
      <c r="O87" s="17">
        <v>12</v>
      </c>
      <c r="P87" s="17">
        <v>5903100375</v>
      </c>
      <c r="Q87" s="17" t="s">
        <v>3185</v>
      </c>
      <c r="R87" s="17" t="s">
        <v>1803</v>
      </c>
      <c r="S87" s="17"/>
      <c r="T87" s="17" t="s">
        <v>1804</v>
      </c>
      <c r="U87" s="17" t="s">
        <v>1805</v>
      </c>
      <c r="V87" s="17" t="s">
        <v>1806</v>
      </c>
      <c r="W87" s="17" t="s">
        <v>1803</v>
      </c>
      <c r="X87" s="17" t="s">
        <v>78</v>
      </c>
      <c r="Y87" s="17" t="s">
        <v>1807</v>
      </c>
      <c r="Z87" s="17" t="s">
        <v>1808</v>
      </c>
      <c r="AA87" s="21">
        <v>45897</v>
      </c>
      <c r="AB87" s="17" t="s">
        <v>218</v>
      </c>
      <c r="AC87" s="17" t="s">
        <v>1808</v>
      </c>
      <c r="AD87" s="21">
        <v>45876</v>
      </c>
      <c r="AE87" s="17">
        <v>600000</v>
      </c>
      <c r="AF87" s="17">
        <v>200000</v>
      </c>
      <c r="AG87" s="17">
        <v>400000</v>
      </c>
      <c r="AH87" s="17">
        <v>600000</v>
      </c>
      <c r="AI87" s="21">
        <v>45877</v>
      </c>
      <c r="AJ87" s="17">
        <v>200000</v>
      </c>
      <c r="AK87" s="20">
        <v>45919</v>
      </c>
      <c r="AL87" s="17">
        <v>400000</v>
      </c>
      <c r="AM87" s="17"/>
    </row>
    <row r="88" spans="1:39" x14ac:dyDescent="0.3">
      <c r="A88" s="16" t="s">
        <v>1809</v>
      </c>
      <c r="B88" s="17">
        <v>2025</v>
      </c>
      <c r="C88" s="17" t="s">
        <v>2871</v>
      </c>
      <c r="D88" s="17" t="s">
        <v>94</v>
      </c>
      <c r="E88" s="17" t="s">
        <v>1322</v>
      </c>
      <c r="F88" s="18" t="s">
        <v>3186</v>
      </c>
      <c r="G88" s="19">
        <v>47</v>
      </c>
      <c r="H88" s="19" t="s">
        <v>486</v>
      </c>
      <c r="I88" s="20">
        <v>45875</v>
      </c>
      <c r="J88" s="20">
        <v>45875</v>
      </c>
      <c r="K88" s="17"/>
      <c r="L88" s="17" t="s">
        <v>46</v>
      </c>
      <c r="M88" s="17" t="s">
        <v>1322</v>
      </c>
      <c r="N88" s="17" t="s">
        <v>1811</v>
      </c>
      <c r="O88" s="17">
        <v>7</v>
      </c>
      <c r="P88" s="17">
        <v>3140169550</v>
      </c>
      <c r="Q88" s="17" t="s">
        <v>3187</v>
      </c>
      <c r="R88" s="17" t="s">
        <v>1812</v>
      </c>
      <c r="S88" s="17"/>
      <c r="T88" s="17" t="s">
        <v>1813</v>
      </c>
      <c r="U88" s="17" t="s">
        <v>1814</v>
      </c>
      <c r="V88" s="17" t="s">
        <v>1815</v>
      </c>
      <c r="W88" s="17" t="s">
        <v>1816</v>
      </c>
      <c r="X88" s="17" t="s">
        <v>66</v>
      </c>
      <c r="Y88" s="17" t="s">
        <v>1817</v>
      </c>
      <c r="Z88" s="17" t="s">
        <v>1818</v>
      </c>
      <c r="AA88" s="21">
        <v>45897</v>
      </c>
      <c r="AB88" s="17" t="s">
        <v>218</v>
      </c>
      <c r="AC88" s="17" t="s">
        <v>1818</v>
      </c>
      <c r="AD88" s="21">
        <v>45876</v>
      </c>
      <c r="AE88" s="17">
        <v>600000</v>
      </c>
      <c r="AF88" s="17">
        <v>200000</v>
      </c>
      <c r="AG88" s="17">
        <v>400000</v>
      </c>
      <c r="AH88" s="17">
        <v>600000</v>
      </c>
      <c r="AI88" s="21">
        <v>45905</v>
      </c>
      <c r="AJ88" s="17">
        <v>200000</v>
      </c>
      <c r="AK88" s="20">
        <v>45919</v>
      </c>
      <c r="AL88" s="17">
        <v>400000</v>
      </c>
      <c r="AM88" s="17"/>
    </row>
    <row r="89" spans="1:39" x14ac:dyDescent="0.3">
      <c r="A89" s="16" t="s">
        <v>1819</v>
      </c>
      <c r="B89" s="17">
        <v>2025</v>
      </c>
      <c r="C89" s="17" t="s">
        <v>2871</v>
      </c>
      <c r="D89" s="17" t="s">
        <v>94</v>
      </c>
      <c r="E89" s="17" t="s">
        <v>1322</v>
      </c>
      <c r="F89" s="18" t="s">
        <v>3188</v>
      </c>
      <c r="G89" s="19">
        <v>48</v>
      </c>
      <c r="H89" s="19" t="s">
        <v>498</v>
      </c>
      <c r="I89" s="20">
        <v>45875</v>
      </c>
      <c r="J89" s="20">
        <v>45875</v>
      </c>
      <c r="K89" s="17"/>
      <c r="L89" s="17" t="s">
        <v>218</v>
      </c>
      <c r="M89" s="17" t="s">
        <v>1322</v>
      </c>
      <c r="N89" s="17" t="s">
        <v>1821</v>
      </c>
      <c r="O89" s="17">
        <v>7</v>
      </c>
      <c r="P89" s="17">
        <v>4274100625</v>
      </c>
      <c r="Q89" s="17" t="s">
        <v>3189</v>
      </c>
      <c r="R89" s="17" t="s">
        <v>1822</v>
      </c>
      <c r="S89" s="17"/>
      <c r="T89" s="17" t="s">
        <v>1804</v>
      </c>
      <c r="U89" s="17" t="s">
        <v>1823</v>
      </c>
      <c r="V89" s="17" t="s">
        <v>1824</v>
      </c>
      <c r="W89" s="17" t="s">
        <v>1825</v>
      </c>
      <c r="X89" s="17" t="s">
        <v>1594</v>
      </c>
      <c r="Y89" s="17" t="s">
        <v>1826</v>
      </c>
      <c r="Z89" s="17" t="s">
        <v>1827</v>
      </c>
      <c r="AA89" s="21">
        <v>45897</v>
      </c>
      <c r="AB89" s="17" t="s">
        <v>218</v>
      </c>
      <c r="AC89" s="17" t="s">
        <v>1827</v>
      </c>
      <c r="AD89" s="21">
        <v>45876</v>
      </c>
      <c r="AE89" s="17">
        <v>600000</v>
      </c>
      <c r="AF89" s="17">
        <v>200000</v>
      </c>
      <c r="AG89" s="17">
        <v>400000</v>
      </c>
      <c r="AH89" s="17">
        <v>600000</v>
      </c>
      <c r="AI89" s="21">
        <v>45897</v>
      </c>
      <c r="AJ89" s="17">
        <v>200000</v>
      </c>
      <c r="AK89" s="20">
        <v>45919</v>
      </c>
      <c r="AL89" s="17">
        <v>400000</v>
      </c>
      <c r="AM89" s="17"/>
    </row>
    <row r="90" spans="1:39" x14ac:dyDescent="0.3">
      <c r="A90" s="16" t="s">
        <v>1847</v>
      </c>
      <c r="B90" s="17">
        <v>2025</v>
      </c>
      <c r="C90" s="17" t="s">
        <v>2871</v>
      </c>
      <c r="D90" s="17" t="s">
        <v>94</v>
      </c>
      <c r="E90" s="17" t="s">
        <v>1322</v>
      </c>
      <c r="F90" s="18" t="s">
        <v>3190</v>
      </c>
      <c r="G90" s="19">
        <v>49</v>
      </c>
      <c r="H90" s="19" t="s">
        <v>506</v>
      </c>
      <c r="I90" s="20">
        <v>45876</v>
      </c>
      <c r="J90" s="20">
        <v>45876</v>
      </c>
      <c r="K90" s="17"/>
      <c r="L90" s="17" t="s">
        <v>61</v>
      </c>
      <c r="M90" s="17" t="s">
        <v>1322</v>
      </c>
      <c r="N90" s="17" t="s">
        <v>1849</v>
      </c>
      <c r="O90" s="17">
        <v>10</v>
      </c>
      <c r="P90" s="17">
        <v>3142451985</v>
      </c>
      <c r="Q90" s="17" t="s">
        <v>3191</v>
      </c>
      <c r="R90" s="17" t="s">
        <v>1850</v>
      </c>
      <c r="S90" s="17"/>
      <c r="T90" s="17" t="s">
        <v>1851</v>
      </c>
      <c r="U90" s="17" t="s">
        <v>1852</v>
      </c>
      <c r="V90" s="17" t="s">
        <v>1853</v>
      </c>
      <c r="W90" s="17" t="s">
        <v>1854</v>
      </c>
      <c r="X90" s="17"/>
      <c r="Y90" s="17" t="s">
        <v>1855</v>
      </c>
      <c r="Z90" s="17" t="s">
        <v>1856</v>
      </c>
      <c r="AA90" s="20">
        <v>45903</v>
      </c>
      <c r="AB90" s="17" t="s">
        <v>181</v>
      </c>
      <c r="AC90" s="17" t="s">
        <v>1856</v>
      </c>
      <c r="AD90" s="21">
        <v>45877</v>
      </c>
      <c r="AE90" s="17">
        <v>600000</v>
      </c>
      <c r="AF90" s="17">
        <v>200000</v>
      </c>
      <c r="AG90" s="17">
        <v>400000</v>
      </c>
      <c r="AH90" s="17">
        <v>600000</v>
      </c>
      <c r="AI90" s="21">
        <v>45877</v>
      </c>
      <c r="AJ90" s="17">
        <v>200000</v>
      </c>
      <c r="AK90" s="20">
        <v>45919</v>
      </c>
      <c r="AL90" s="17">
        <v>400000</v>
      </c>
      <c r="AM90" s="17"/>
    </row>
    <row r="91" spans="1:39" x14ac:dyDescent="0.3">
      <c r="A91" s="16" t="s">
        <v>1857</v>
      </c>
      <c r="B91" s="17">
        <v>2025</v>
      </c>
      <c r="C91" s="17" t="s">
        <v>2871</v>
      </c>
      <c r="D91" s="17" t="s">
        <v>94</v>
      </c>
      <c r="E91" s="17" t="s">
        <v>1322</v>
      </c>
      <c r="F91" s="18" t="s">
        <v>3192</v>
      </c>
      <c r="G91" s="19">
        <v>50</v>
      </c>
      <c r="H91" s="19" t="s">
        <v>506</v>
      </c>
      <c r="I91" s="20">
        <v>45876</v>
      </c>
      <c r="J91" s="20">
        <v>45876</v>
      </c>
      <c r="K91" s="17"/>
      <c r="L91" s="17" t="s">
        <v>97</v>
      </c>
      <c r="M91" s="17" t="s">
        <v>1322</v>
      </c>
      <c r="N91" s="17" t="s">
        <v>1859</v>
      </c>
      <c r="O91" s="17">
        <v>2</v>
      </c>
      <c r="P91" s="17">
        <v>5554400256</v>
      </c>
      <c r="Q91" s="17" t="s">
        <v>3193</v>
      </c>
      <c r="R91" s="17" t="s">
        <v>1860</v>
      </c>
      <c r="S91" s="17"/>
      <c r="T91" s="17" t="s">
        <v>1861</v>
      </c>
      <c r="U91" s="17" t="s">
        <v>1862</v>
      </c>
      <c r="V91" s="17" t="s">
        <v>1863</v>
      </c>
      <c r="W91" s="17" t="s">
        <v>1860</v>
      </c>
      <c r="X91" s="17" t="s">
        <v>78</v>
      </c>
      <c r="Y91" s="17" t="s">
        <v>1864</v>
      </c>
      <c r="Z91" s="17" t="s">
        <v>1865</v>
      </c>
      <c r="AA91" s="20">
        <v>45903</v>
      </c>
      <c r="AB91" s="17" t="s">
        <v>181</v>
      </c>
      <c r="AC91" s="17" t="s">
        <v>1865</v>
      </c>
      <c r="AD91" s="20">
        <v>45877</v>
      </c>
      <c r="AE91" s="17">
        <v>600000</v>
      </c>
      <c r="AF91" s="17">
        <v>200000</v>
      </c>
      <c r="AG91" s="17">
        <v>400000</v>
      </c>
      <c r="AH91" s="17">
        <v>600000</v>
      </c>
      <c r="AI91" s="20">
        <v>46007</v>
      </c>
      <c r="AJ91" s="17">
        <v>200000</v>
      </c>
      <c r="AK91" s="20">
        <v>45919</v>
      </c>
      <c r="AL91" s="17">
        <v>400000</v>
      </c>
      <c r="AM91" s="17"/>
    </row>
    <row r="92" spans="1:39" x14ac:dyDescent="0.3">
      <c r="A92" s="16" t="s">
        <v>2294</v>
      </c>
      <c r="B92" s="17">
        <v>2025</v>
      </c>
      <c r="C92" s="17" t="s">
        <v>2871</v>
      </c>
      <c r="D92" s="17" t="s">
        <v>94</v>
      </c>
      <c r="E92" s="17" t="s">
        <v>1322</v>
      </c>
      <c r="F92" s="18" t="s">
        <v>3194</v>
      </c>
      <c r="G92" s="19">
        <v>51</v>
      </c>
      <c r="H92" s="19" t="s">
        <v>517</v>
      </c>
      <c r="I92" s="20">
        <v>45876</v>
      </c>
      <c r="J92" s="20">
        <v>45876</v>
      </c>
      <c r="K92" s="17"/>
      <c r="L92" s="17" t="s">
        <v>181</v>
      </c>
      <c r="M92" s="17" t="s">
        <v>1322</v>
      </c>
      <c r="N92" s="17" t="s">
        <v>2297</v>
      </c>
      <c r="O92" s="17">
        <v>7</v>
      </c>
      <c r="P92" s="17">
        <v>3080333274</v>
      </c>
      <c r="Q92" s="17" t="s">
        <v>3195</v>
      </c>
      <c r="R92" s="17" t="s">
        <v>2298</v>
      </c>
      <c r="S92" s="17"/>
      <c r="T92" s="17" t="s">
        <v>2299</v>
      </c>
      <c r="U92" s="17" t="s">
        <v>2300</v>
      </c>
      <c r="V92" s="17" t="s">
        <v>2301</v>
      </c>
      <c r="W92" s="17" t="s">
        <v>2298</v>
      </c>
      <c r="X92" s="17" t="s">
        <v>78</v>
      </c>
      <c r="Y92" s="17" t="s">
        <v>2302</v>
      </c>
      <c r="Z92" s="17" t="s">
        <v>2303</v>
      </c>
      <c r="AA92" s="20">
        <v>45903</v>
      </c>
      <c r="AB92" s="17" t="s">
        <v>181</v>
      </c>
      <c r="AC92" s="17" t="s">
        <v>2303</v>
      </c>
      <c r="AD92" s="20">
        <v>45877</v>
      </c>
      <c r="AE92" s="17">
        <v>600000</v>
      </c>
      <c r="AF92" s="17">
        <v>200000</v>
      </c>
      <c r="AG92" s="17">
        <v>400000</v>
      </c>
      <c r="AH92" s="17">
        <v>600000</v>
      </c>
      <c r="AI92" s="20">
        <v>45877</v>
      </c>
      <c r="AJ92" s="17">
        <v>200000</v>
      </c>
      <c r="AK92" s="20">
        <v>45919</v>
      </c>
      <c r="AL92" s="17">
        <v>400000</v>
      </c>
      <c r="AM92" s="17"/>
    </row>
    <row r="93" spans="1:39" x14ac:dyDescent="0.3">
      <c r="A93" s="16" t="s">
        <v>1586</v>
      </c>
      <c r="B93" s="17">
        <v>2025</v>
      </c>
      <c r="C93" s="17" t="s">
        <v>2871</v>
      </c>
      <c r="D93" s="17" t="s">
        <v>94</v>
      </c>
      <c r="E93" s="17" t="s">
        <v>1322</v>
      </c>
      <c r="F93" s="18" t="s">
        <v>3196</v>
      </c>
      <c r="G93" s="19">
        <v>52</v>
      </c>
      <c r="H93" s="19" t="s">
        <v>528</v>
      </c>
      <c r="I93" s="20">
        <v>45876</v>
      </c>
      <c r="J93" s="20">
        <v>45876</v>
      </c>
      <c r="K93" s="17"/>
      <c r="L93" s="17" t="s">
        <v>73</v>
      </c>
      <c r="M93" s="17" t="s">
        <v>1322</v>
      </c>
      <c r="N93" s="17" t="s">
        <v>1588</v>
      </c>
      <c r="O93" s="17">
        <v>10</v>
      </c>
      <c r="P93" s="17">
        <v>3142266015</v>
      </c>
      <c r="Q93" s="17" t="s">
        <v>3197</v>
      </c>
      <c r="R93" s="17" t="s">
        <v>1589</v>
      </c>
      <c r="S93" s="17"/>
      <c r="T93" s="17" t="s">
        <v>1590</v>
      </c>
      <c r="U93" s="17" t="s">
        <v>1591</v>
      </c>
      <c r="V93" s="17" t="s">
        <v>1592</v>
      </c>
      <c r="W93" s="17" t="s">
        <v>1593</v>
      </c>
      <c r="X93" s="17" t="s">
        <v>1594</v>
      </c>
      <c r="Y93" s="17" t="s">
        <v>1595</v>
      </c>
      <c r="Z93" s="17" t="s">
        <v>1596</v>
      </c>
      <c r="AA93" s="20">
        <v>45897</v>
      </c>
      <c r="AB93" s="17" t="s">
        <v>218</v>
      </c>
      <c r="AC93" s="17" t="s">
        <v>1596</v>
      </c>
      <c r="AD93" s="20">
        <v>45877</v>
      </c>
      <c r="AE93" s="17">
        <v>600000</v>
      </c>
      <c r="AF93" s="17">
        <v>200000</v>
      </c>
      <c r="AG93" s="17">
        <v>400000</v>
      </c>
      <c r="AH93" s="17">
        <v>600000</v>
      </c>
      <c r="AI93" s="20">
        <v>45916</v>
      </c>
      <c r="AJ93" s="17">
        <v>200000</v>
      </c>
      <c r="AK93" s="20">
        <v>45919</v>
      </c>
      <c r="AL93" s="17">
        <v>400000</v>
      </c>
      <c r="AM93" s="17"/>
    </row>
    <row r="94" spans="1:39" x14ac:dyDescent="0.3">
      <c r="A94" s="16" t="s">
        <v>1597</v>
      </c>
      <c r="B94" s="17">
        <v>2025</v>
      </c>
      <c r="C94" s="17" t="s">
        <v>2871</v>
      </c>
      <c r="D94" s="17" t="s">
        <v>94</v>
      </c>
      <c r="E94" s="17" t="s">
        <v>1322</v>
      </c>
      <c r="F94" s="18" t="s">
        <v>3198</v>
      </c>
      <c r="G94" s="19">
        <v>53</v>
      </c>
      <c r="H94" s="19" t="s">
        <v>538</v>
      </c>
      <c r="I94" s="20">
        <v>45876</v>
      </c>
      <c r="J94" s="20">
        <v>45876</v>
      </c>
      <c r="K94" s="17"/>
      <c r="L94" s="17" t="s">
        <v>46</v>
      </c>
      <c r="M94" s="17" t="s">
        <v>1322</v>
      </c>
      <c r="N94" s="17" t="s">
        <v>1599</v>
      </c>
      <c r="O94" s="17">
        <v>5</v>
      </c>
      <c r="P94" s="17">
        <v>7428601937</v>
      </c>
      <c r="Q94" s="17" t="s">
        <v>3199</v>
      </c>
      <c r="R94" s="17" t="s">
        <v>1600</v>
      </c>
      <c r="S94" s="17"/>
      <c r="T94" s="17" t="s">
        <v>1579</v>
      </c>
      <c r="U94" s="17" t="s">
        <v>1601</v>
      </c>
      <c r="V94" s="17" t="s">
        <v>1602</v>
      </c>
      <c r="W94" s="17" t="s">
        <v>1600</v>
      </c>
      <c r="X94" s="17" t="s">
        <v>78</v>
      </c>
      <c r="Y94" s="17" t="s">
        <v>1603</v>
      </c>
      <c r="Z94" s="17" t="s">
        <v>1604</v>
      </c>
      <c r="AA94" s="21">
        <v>45897</v>
      </c>
      <c r="AB94" s="17" t="s">
        <v>218</v>
      </c>
      <c r="AC94" s="17" t="s">
        <v>1604</v>
      </c>
      <c r="AD94" s="20">
        <v>45877</v>
      </c>
      <c r="AE94" s="17">
        <v>600000</v>
      </c>
      <c r="AF94" s="17">
        <v>200000</v>
      </c>
      <c r="AG94" s="17">
        <v>400000</v>
      </c>
      <c r="AH94" s="17">
        <v>600000</v>
      </c>
      <c r="AI94" s="20">
        <v>45897</v>
      </c>
      <c r="AJ94" s="17">
        <v>200000</v>
      </c>
      <c r="AK94" s="20">
        <v>45919</v>
      </c>
      <c r="AL94" s="17">
        <v>400000</v>
      </c>
      <c r="AM94" s="17"/>
    </row>
    <row r="95" spans="1:39" x14ac:dyDescent="0.3">
      <c r="A95" s="16" t="s">
        <v>2246</v>
      </c>
      <c r="B95" s="17">
        <v>2025</v>
      </c>
      <c r="C95" s="17" t="s">
        <v>2871</v>
      </c>
      <c r="D95" s="17" t="s">
        <v>94</v>
      </c>
      <c r="E95" s="17" t="s">
        <v>1322</v>
      </c>
      <c r="F95" s="18" t="s">
        <v>3200</v>
      </c>
      <c r="G95" s="19">
        <v>54</v>
      </c>
      <c r="H95" s="19" t="s">
        <v>546</v>
      </c>
      <c r="I95" s="20">
        <v>45876</v>
      </c>
      <c r="J95" s="20">
        <v>45876</v>
      </c>
      <c r="K95" s="17"/>
      <c r="L95" s="17" t="s">
        <v>218</v>
      </c>
      <c r="M95" s="17" t="s">
        <v>1322</v>
      </c>
      <c r="N95" s="17" t="s">
        <v>2248</v>
      </c>
      <c r="O95" s="17">
        <v>12</v>
      </c>
      <c r="P95" s="17">
        <v>3148624512</v>
      </c>
      <c r="Q95" s="17" t="s">
        <v>3201</v>
      </c>
      <c r="R95" s="17" t="s">
        <v>2249</v>
      </c>
      <c r="S95" s="17"/>
      <c r="T95" s="17" t="s">
        <v>2250</v>
      </c>
      <c r="U95" s="17" t="s">
        <v>2251</v>
      </c>
      <c r="V95" s="17" t="s">
        <v>2252</v>
      </c>
      <c r="W95" s="17" t="s">
        <v>2253</v>
      </c>
      <c r="X95" s="17" t="s">
        <v>1388</v>
      </c>
      <c r="Y95" s="17" t="s">
        <v>2254</v>
      </c>
      <c r="Z95" s="17" t="s">
        <v>2255</v>
      </c>
      <c r="AA95" s="21">
        <v>45897</v>
      </c>
      <c r="AB95" s="17" t="s">
        <v>218</v>
      </c>
      <c r="AC95" s="17" t="s">
        <v>2255</v>
      </c>
      <c r="AD95" s="21">
        <v>45877</v>
      </c>
      <c r="AE95" s="17">
        <v>600000</v>
      </c>
      <c r="AF95" s="17">
        <v>200000</v>
      </c>
      <c r="AG95" s="17">
        <v>400000</v>
      </c>
      <c r="AH95" s="17">
        <v>600000</v>
      </c>
      <c r="AI95" s="20">
        <v>46006</v>
      </c>
      <c r="AJ95" s="17">
        <v>200000</v>
      </c>
      <c r="AK95" s="20">
        <v>45919</v>
      </c>
      <c r="AL95" s="17">
        <v>400000</v>
      </c>
      <c r="AM95" s="17"/>
    </row>
    <row r="96" spans="1:39" x14ac:dyDescent="0.3">
      <c r="A96" s="16" t="s">
        <v>2008</v>
      </c>
      <c r="B96" s="17">
        <v>2025</v>
      </c>
      <c r="C96" s="17" t="s">
        <v>2871</v>
      </c>
      <c r="D96" s="17" t="s">
        <v>94</v>
      </c>
      <c r="E96" s="17" t="s">
        <v>1322</v>
      </c>
      <c r="F96" s="18" t="s">
        <v>3202</v>
      </c>
      <c r="G96" s="19">
        <v>55</v>
      </c>
      <c r="H96" s="19" t="s">
        <v>546</v>
      </c>
      <c r="I96" s="20">
        <v>45877</v>
      </c>
      <c r="J96" s="20">
        <v>45877</v>
      </c>
      <c r="K96" s="17"/>
      <c r="L96" s="17" t="s">
        <v>61</v>
      </c>
      <c r="M96" s="17" t="s">
        <v>1322</v>
      </c>
      <c r="N96" s="17" t="s">
        <v>2010</v>
      </c>
      <c r="O96" s="17">
        <v>3</v>
      </c>
      <c r="P96" s="17">
        <v>6520601379</v>
      </c>
      <c r="Q96" s="17" t="s">
        <v>3203</v>
      </c>
      <c r="R96" s="17" t="s">
        <v>2011</v>
      </c>
      <c r="S96" s="17"/>
      <c r="T96" s="17" t="s">
        <v>2012</v>
      </c>
      <c r="U96" s="17" t="s">
        <v>2013</v>
      </c>
      <c r="V96" s="17" t="s">
        <v>2014</v>
      </c>
      <c r="W96" s="17" t="s">
        <v>2011</v>
      </c>
      <c r="X96" s="17" t="s">
        <v>1425</v>
      </c>
      <c r="Y96" s="17" t="s">
        <v>2015</v>
      </c>
      <c r="Z96" s="17" t="s">
        <v>2016</v>
      </c>
      <c r="AA96" s="21"/>
      <c r="AB96" s="17"/>
      <c r="AC96" s="17" t="s">
        <v>2017</v>
      </c>
      <c r="AD96" s="20">
        <v>45880</v>
      </c>
      <c r="AE96" s="17">
        <v>600000</v>
      </c>
      <c r="AF96" s="17">
        <v>200000</v>
      </c>
      <c r="AG96" s="17">
        <v>400000</v>
      </c>
      <c r="AH96" s="17">
        <v>400000</v>
      </c>
      <c r="AI96" s="21"/>
      <c r="AJ96" s="17">
        <v>0</v>
      </c>
      <c r="AK96" s="20">
        <v>45919</v>
      </c>
      <c r="AL96" s="17">
        <v>400000</v>
      </c>
      <c r="AM96" s="17"/>
    </row>
    <row r="97" spans="1:39" x14ac:dyDescent="0.3">
      <c r="A97" s="16" t="s">
        <v>1998</v>
      </c>
      <c r="B97" s="17">
        <v>2025</v>
      </c>
      <c r="C97" s="17" t="s">
        <v>2871</v>
      </c>
      <c r="D97" s="17" t="s">
        <v>94</v>
      </c>
      <c r="E97" s="17" t="s">
        <v>1322</v>
      </c>
      <c r="F97" s="18" t="s">
        <v>3204</v>
      </c>
      <c r="G97" s="19">
        <v>56</v>
      </c>
      <c r="H97" s="19" t="s">
        <v>557</v>
      </c>
      <c r="I97" s="20">
        <v>45877</v>
      </c>
      <c r="J97" s="20">
        <v>45877</v>
      </c>
      <c r="K97" s="17"/>
      <c r="L97" s="17" t="s">
        <v>97</v>
      </c>
      <c r="M97" s="17" t="s">
        <v>1322</v>
      </c>
      <c r="N97" s="17" t="s">
        <v>2000</v>
      </c>
      <c r="O97" s="17">
        <v>8</v>
      </c>
      <c r="P97" s="17">
        <v>4454100448</v>
      </c>
      <c r="Q97" s="17" t="s">
        <v>3205</v>
      </c>
      <c r="R97" s="17" t="s">
        <v>2001</v>
      </c>
      <c r="S97" s="17"/>
      <c r="T97" s="17" t="s">
        <v>2002</v>
      </c>
      <c r="U97" s="17" t="s">
        <v>2003</v>
      </c>
      <c r="V97" s="17" t="s">
        <v>2004</v>
      </c>
      <c r="W97" s="17" t="s">
        <v>2005</v>
      </c>
      <c r="X97" s="17" t="s">
        <v>980</v>
      </c>
      <c r="Y97" s="17" t="s">
        <v>2006</v>
      </c>
      <c r="Z97" s="17" t="s">
        <v>2007</v>
      </c>
      <c r="AA97" s="21"/>
      <c r="AB97" s="17"/>
      <c r="AC97" s="17" t="s">
        <v>2007</v>
      </c>
      <c r="AD97" s="21">
        <v>45880</v>
      </c>
      <c r="AE97" s="17">
        <v>600000</v>
      </c>
      <c r="AF97" s="17">
        <v>200000</v>
      </c>
      <c r="AG97" s="17">
        <v>400000</v>
      </c>
      <c r="AH97" s="17">
        <v>600000</v>
      </c>
      <c r="AI97" s="20">
        <v>45901</v>
      </c>
      <c r="AJ97" s="17">
        <v>200000</v>
      </c>
      <c r="AK97" s="20">
        <v>45919</v>
      </c>
      <c r="AL97" s="17">
        <v>400000</v>
      </c>
      <c r="AM97" s="17"/>
    </row>
    <row r="98" spans="1:39" x14ac:dyDescent="0.3">
      <c r="A98" s="16" t="s">
        <v>1951</v>
      </c>
      <c r="B98" s="17">
        <v>2025</v>
      </c>
      <c r="C98" s="17" t="s">
        <v>2871</v>
      </c>
      <c r="D98" s="17" t="s">
        <v>94</v>
      </c>
      <c r="E98" s="17" t="s">
        <v>1322</v>
      </c>
      <c r="F98" s="18" t="s">
        <v>3206</v>
      </c>
      <c r="G98" s="19">
        <v>57</v>
      </c>
      <c r="H98" s="19" t="s">
        <v>569</v>
      </c>
      <c r="I98" s="20">
        <v>45877</v>
      </c>
      <c r="J98" s="20">
        <v>45877</v>
      </c>
      <c r="K98" s="17"/>
      <c r="L98" s="17" t="s">
        <v>181</v>
      </c>
      <c r="M98" s="17" t="s">
        <v>1322</v>
      </c>
      <c r="N98" s="17" t="s">
        <v>1953</v>
      </c>
      <c r="O98" s="17">
        <v>17</v>
      </c>
      <c r="P98" s="17">
        <v>3718703195</v>
      </c>
      <c r="Q98" s="17">
        <v>37187031950</v>
      </c>
      <c r="R98" s="17" t="s">
        <v>1954</v>
      </c>
      <c r="S98" s="17"/>
      <c r="T98" s="17" t="s">
        <v>1955</v>
      </c>
      <c r="U98" s="17" t="s">
        <v>1956</v>
      </c>
      <c r="V98" s="17" t="s">
        <v>1957</v>
      </c>
      <c r="W98" s="17" t="s">
        <v>1958</v>
      </c>
      <c r="X98" s="17" t="s">
        <v>112</v>
      </c>
      <c r="Y98" s="17" t="s">
        <v>1959</v>
      </c>
      <c r="Z98" s="17" t="s">
        <v>1960</v>
      </c>
      <c r="AA98" s="21">
        <v>45903</v>
      </c>
      <c r="AB98" s="17" t="s">
        <v>181</v>
      </c>
      <c r="AC98" s="17" t="s">
        <v>1960</v>
      </c>
      <c r="AD98" s="21">
        <v>45880</v>
      </c>
      <c r="AE98" s="17">
        <v>600000</v>
      </c>
      <c r="AF98" s="17">
        <v>200000</v>
      </c>
      <c r="AG98" s="17">
        <v>400000</v>
      </c>
      <c r="AH98" s="17">
        <v>400000</v>
      </c>
      <c r="AI98" s="21"/>
      <c r="AJ98" s="17">
        <v>0</v>
      </c>
      <c r="AK98" s="20">
        <v>45919</v>
      </c>
      <c r="AL98" s="17">
        <v>400000</v>
      </c>
      <c r="AM98" s="17"/>
    </row>
    <row r="99" spans="1:39" x14ac:dyDescent="0.3">
      <c r="A99" s="16" t="s">
        <v>2039</v>
      </c>
      <c r="B99" s="17">
        <v>2025</v>
      </c>
      <c r="C99" s="17" t="s">
        <v>2871</v>
      </c>
      <c r="D99" s="17" t="s">
        <v>94</v>
      </c>
      <c r="E99" s="17" t="s">
        <v>1322</v>
      </c>
      <c r="F99" s="18" t="s">
        <v>3207</v>
      </c>
      <c r="G99" s="19">
        <v>58</v>
      </c>
      <c r="H99" s="19" t="s">
        <v>580</v>
      </c>
      <c r="I99" s="20">
        <v>45877</v>
      </c>
      <c r="J99" s="20">
        <v>45877</v>
      </c>
      <c r="K99" s="17"/>
      <c r="L99" s="17" t="s">
        <v>73</v>
      </c>
      <c r="M99" s="17" t="s">
        <v>1322</v>
      </c>
      <c r="N99" s="17" t="s">
        <v>2041</v>
      </c>
      <c r="O99" s="17">
        <v>29</v>
      </c>
      <c r="P99" s="17">
        <v>3148177921</v>
      </c>
      <c r="Q99" s="17" t="s">
        <v>3208</v>
      </c>
      <c r="R99" s="17" t="s">
        <v>2042</v>
      </c>
      <c r="S99" s="17"/>
      <c r="T99" s="17" t="s">
        <v>2043</v>
      </c>
      <c r="U99" s="17" t="s">
        <v>2044</v>
      </c>
      <c r="V99" s="17" t="s">
        <v>2045</v>
      </c>
      <c r="W99" s="17" t="s">
        <v>1906</v>
      </c>
      <c r="X99" s="17" t="s">
        <v>112</v>
      </c>
      <c r="Y99" s="17" t="s">
        <v>2046</v>
      </c>
      <c r="Z99" s="17" t="s">
        <v>2047</v>
      </c>
      <c r="AA99" s="20">
        <v>45897</v>
      </c>
      <c r="AB99" s="17" t="s">
        <v>218</v>
      </c>
      <c r="AC99" s="17" t="s">
        <v>2047</v>
      </c>
      <c r="AD99" s="20">
        <v>45880</v>
      </c>
      <c r="AE99" s="17">
        <v>750000</v>
      </c>
      <c r="AF99" s="17">
        <v>350000</v>
      </c>
      <c r="AG99" s="17">
        <v>400000</v>
      </c>
      <c r="AH99" s="17">
        <v>750000</v>
      </c>
      <c r="AI99" s="20">
        <v>45902</v>
      </c>
      <c r="AJ99" s="17">
        <v>350000</v>
      </c>
      <c r="AK99" s="20">
        <v>45919</v>
      </c>
      <c r="AL99" s="17">
        <v>400000</v>
      </c>
      <c r="AM99" s="17"/>
    </row>
    <row r="100" spans="1:39" x14ac:dyDescent="0.3">
      <c r="A100" s="16" t="s">
        <v>2028</v>
      </c>
      <c r="B100" s="17">
        <v>2025</v>
      </c>
      <c r="C100" s="17" t="s">
        <v>2871</v>
      </c>
      <c r="D100" s="17" t="s">
        <v>94</v>
      </c>
      <c r="E100" s="17" t="s">
        <v>1322</v>
      </c>
      <c r="F100" s="18" t="s">
        <v>3209</v>
      </c>
      <c r="G100" s="19">
        <v>59</v>
      </c>
      <c r="H100" s="19" t="s">
        <v>588</v>
      </c>
      <c r="I100" s="20">
        <v>45877</v>
      </c>
      <c r="J100" s="20">
        <v>45877</v>
      </c>
      <c r="K100" s="17"/>
      <c r="L100" s="17" t="s">
        <v>46</v>
      </c>
      <c r="M100" s="17" t="s">
        <v>1322</v>
      </c>
      <c r="N100" s="17" t="s">
        <v>2030</v>
      </c>
      <c r="O100" s="17">
        <v>9</v>
      </c>
      <c r="P100" s="17">
        <v>7390501913</v>
      </c>
      <c r="Q100" s="17" t="s">
        <v>3210</v>
      </c>
      <c r="R100" s="17" t="s">
        <v>2031</v>
      </c>
      <c r="S100" s="17"/>
      <c r="T100" s="17" t="s">
        <v>2032</v>
      </c>
      <c r="U100" s="17" t="s">
        <v>2033</v>
      </c>
      <c r="V100" s="17" t="s">
        <v>2034</v>
      </c>
      <c r="W100" s="17" t="s">
        <v>2035</v>
      </c>
      <c r="X100" s="17" t="s">
        <v>2036</v>
      </c>
      <c r="Y100" s="17" t="s">
        <v>2037</v>
      </c>
      <c r="Z100" s="17" t="s">
        <v>2038</v>
      </c>
      <c r="AA100" s="21">
        <v>45897</v>
      </c>
      <c r="AB100" s="17" t="s">
        <v>218</v>
      </c>
      <c r="AC100" s="17" t="s">
        <v>2038</v>
      </c>
      <c r="AD100" s="20">
        <v>45880</v>
      </c>
      <c r="AE100" s="17">
        <v>600000</v>
      </c>
      <c r="AF100" s="17">
        <v>200000</v>
      </c>
      <c r="AG100" s="17">
        <v>400000</v>
      </c>
      <c r="AH100" s="17">
        <v>600000</v>
      </c>
      <c r="AI100" s="20">
        <v>45901</v>
      </c>
      <c r="AJ100" s="17">
        <v>200000</v>
      </c>
      <c r="AK100" s="20">
        <v>45919</v>
      </c>
      <c r="AL100" s="17">
        <v>400000</v>
      </c>
      <c r="AM100" s="17"/>
    </row>
    <row r="101" spans="1:39" x14ac:dyDescent="0.3">
      <c r="A101" s="16" t="s">
        <v>2018</v>
      </c>
      <c r="B101" s="17">
        <v>2025</v>
      </c>
      <c r="C101" s="17" t="s">
        <v>2871</v>
      </c>
      <c r="D101" s="17" t="s">
        <v>94</v>
      </c>
      <c r="E101" s="17" t="s">
        <v>1322</v>
      </c>
      <c r="F101" s="18" t="s">
        <v>3211</v>
      </c>
      <c r="G101" s="19">
        <v>60</v>
      </c>
      <c r="H101" s="19" t="s">
        <v>600</v>
      </c>
      <c r="I101" s="20">
        <v>45877</v>
      </c>
      <c r="J101" s="20">
        <v>45877</v>
      </c>
      <c r="K101" s="17"/>
      <c r="L101" s="17" t="s">
        <v>218</v>
      </c>
      <c r="M101" s="17" t="s">
        <v>1322</v>
      </c>
      <c r="N101" s="17" t="s">
        <v>2020</v>
      </c>
      <c r="O101" s="17">
        <v>25</v>
      </c>
      <c r="P101" s="17">
        <v>3148625321</v>
      </c>
      <c r="Q101" s="17" t="s">
        <v>3212</v>
      </c>
      <c r="R101" s="17" t="s">
        <v>2021</v>
      </c>
      <c r="S101" s="17"/>
      <c r="T101" s="17" t="s">
        <v>2022</v>
      </c>
      <c r="U101" s="17" t="s">
        <v>2023</v>
      </c>
      <c r="V101" s="17" t="s">
        <v>2024</v>
      </c>
      <c r="W101" s="17" t="s">
        <v>2025</v>
      </c>
      <c r="X101" s="17" t="s">
        <v>224</v>
      </c>
      <c r="Y101" s="17" t="s">
        <v>2026</v>
      </c>
      <c r="Z101" s="17" t="s">
        <v>2027</v>
      </c>
      <c r="AA101" s="21">
        <v>45897</v>
      </c>
      <c r="AB101" s="17" t="s">
        <v>218</v>
      </c>
      <c r="AC101" s="17" t="s">
        <v>2027</v>
      </c>
      <c r="AD101" s="20">
        <v>45880</v>
      </c>
      <c r="AE101" s="17">
        <v>750000</v>
      </c>
      <c r="AF101" s="17">
        <v>350000</v>
      </c>
      <c r="AG101" s="17">
        <v>400000</v>
      </c>
      <c r="AH101" s="17">
        <v>750000</v>
      </c>
      <c r="AI101" s="20">
        <v>45905</v>
      </c>
      <c r="AJ101" s="17">
        <v>350000</v>
      </c>
      <c r="AK101" s="20">
        <v>45919</v>
      </c>
      <c r="AL101" s="17">
        <v>400000</v>
      </c>
      <c r="AM101" s="17"/>
    </row>
    <row r="102" spans="1:39" x14ac:dyDescent="0.3">
      <c r="A102" s="16" t="s">
        <v>1903</v>
      </c>
      <c r="B102" s="17">
        <v>2025</v>
      </c>
      <c r="C102" s="17" t="s">
        <v>2871</v>
      </c>
      <c r="D102" s="17" t="s">
        <v>94</v>
      </c>
      <c r="E102" s="17" t="s">
        <v>1322</v>
      </c>
      <c r="F102" s="18" t="s">
        <v>3213</v>
      </c>
      <c r="G102" s="19">
        <v>61</v>
      </c>
      <c r="H102" s="19" t="s">
        <v>611</v>
      </c>
      <c r="I102" s="20">
        <v>45880</v>
      </c>
      <c r="J102" s="20">
        <v>45880</v>
      </c>
      <c r="K102" s="17"/>
      <c r="L102" s="17" t="s">
        <v>61</v>
      </c>
      <c r="M102" s="17" t="s">
        <v>1322</v>
      </c>
      <c r="N102" s="17" t="s">
        <v>1905</v>
      </c>
      <c r="O102" s="17">
        <v>43</v>
      </c>
      <c r="P102" s="17">
        <v>3728802425</v>
      </c>
      <c r="Q102" s="17" t="s">
        <v>3214</v>
      </c>
      <c r="R102" s="17" t="s">
        <v>1906</v>
      </c>
      <c r="S102" s="17"/>
      <c r="T102" s="17" t="s">
        <v>1907</v>
      </c>
      <c r="U102" s="17" t="s">
        <v>1908</v>
      </c>
      <c r="V102" s="17" t="s">
        <v>1909</v>
      </c>
      <c r="W102" s="17" t="s">
        <v>1910</v>
      </c>
      <c r="X102" s="17" t="s">
        <v>66</v>
      </c>
      <c r="Y102" s="17" t="s">
        <v>1911</v>
      </c>
      <c r="Z102" s="17" t="s">
        <v>1912</v>
      </c>
      <c r="AA102" s="21"/>
      <c r="AB102" s="17"/>
      <c r="AC102" s="17" t="s">
        <v>1912</v>
      </c>
      <c r="AD102" s="21">
        <v>45881</v>
      </c>
      <c r="AE102" s="17">
        <v>750000</v>
      </c>
      <c r="AF102" s="17">
        <v>350000</v>
      </c>
      <c r="AG102" s="17">
        <v>400000</v>
      </c>
      <c r="AH102" s="17">
        <v>750000</v>
      </c>
      <c r="AI102" s="20">
        <v>45881</v>
      </c>
      <c r="AJ102" s="17">
        <v>350000</v>
      </c>
      <c r="AK102" s="20">
        <v>45958</v>
      </c>
      <c r="AL102" s="17">
        <v>400000</v>
      </c>
      <c r="AM102" s="17"/>
    </row>
    <row r="103" spans="1:39" x14ac:dyDescent="0.3">
      <c r="A103" s="16" t="s">
        <v>1913</v>
      </c>
      <c r="B103" s="17">
        <v>2025</v>
      </c>
      <c r="C103" s="17" t="s">
        <v>2871</v>
      </c>
      <c r="D103" s="17" t="s">
        <v>94</v>
      </c>
      <c r="E103" s="17" t="s">
        <v>1322</v>
      </c>
      <c r="F103" s="18" t="s">
        <v>3215</v>
      </c>
      <c r="G103" s="19">
        <v>62</v>
      </c>
      <c r="H103" s="19" t="s">
        <v>624</v>
      </c>
      <c r="I103" s="20">
        <v>45880</v>
      </c>
      <c r="J103" s="20">
        <v>45880</v>
      </c>
      <c r="K103" s="17"/>
      <c r="L103" s="17" t="s">
        <v>97</v>
      </c>
      <c r="M103" s="17" t="s">
        <v>1322</v>
      </c>
      <c r="N103" s="17" t="s">
        <v>1915</v>
      </c>
      <c r="O103" s="17">
        <v>8</v>
      </c>
      <c r="P103" s="17">
        <v>3210400394</v>
      </c>
      <c r="Q103" s="17" t="s">
        <v>3216</v>
      </c>
      <c r="R103" s="17" t="s">
        <v>1916</v>
      </c>
      <c r="S103" s="17"/>
      <c r="T103" s="17" t="s">
        <v>1917</v>
      </c>
      <c r="U103" s="17" t="s">
        <v>1918</v>
      </c>
      <c r="V103" s="17" t="s">
        <v>1919</v>
      </c>
      <c r="W103" s="17" t="s">
        <v>1916</v>
      </c>
      <c r="X103" s="17" t="s">
        <v>78</v>
      </c>
      <c r="Y103" s="17" t="s">
        <v>1920</v>
      </c>
      <c r="Z103" s="17" t="s">
        <v>1921</v>
      </c>
      <c r="AA103" s="21"/>
      <c r="AB103" s="17"/>
      <c r="AC103" s="17" t="s">
        <v>1921</v>
      </c>
      <c r="AD103" s="20">
        <v>45881</v>
      </c>
      <c r="AE103" s="17">
        <v>600000</v>
      </c>
      <c r="AF103" s="17">
        <v>200000</v>
      </c>
      <c r="AG103" s="17">
        <v>400000</v>
      </c>
      <c r="AH103" s="17">
        <v>600000</v>
      </c>
      <c r="AI103" s="20">
        <v>45926</v>
      </c>
      <c r="AJ103" s="17">
        <v>200000</v>
      </c>
      <c r="AK103" s="20">
        <v>45958</v>
      </c>
      <c r="AL103" s="17">
        <v>400000</v>
      </c>
      <c r="AM103" s="17"/>
    </row>
    <row r="104" spans="1:39" x14ac:dyDescent="0.3">
      <c r="A104" s="16" t="s">
        <v>1922</v>
      </c>
      <c r="B104" s="17">
        <v>2025</v>
      </c>
      <c r="C104" s="17" t="s">
        <v>2871</v>
      </c>
      <c r="D104" s="17" t="s">
        <v>94</v>
      </c>
      <c r="E104" s="17" t="s">
        <v>1322</v>
      </c>
      <c r="F104" s="18" t="s">
        <v>3217</v>
      </c>
      <c r="G104" s="19">
        <v>63</v>
      </c>
      <c r="H104" s="19" t="s">
        <v>633</v>
      </c>
      <c r="I104" s="20">
        <v>45880</v>
      </c>
      <c r="J104" s="20">
        <v>45880</v>
      </c>
      <c r="K104" s="17"/>
      <c r="L104" s="17" t="s">
        <v>181</v>
      </c>
      <c r="M104" s="17" t="s">
        <v>1322</v>
      </c>
      <c r="N104" s="17" t="s">
        <v>1924</v>
      </c>
      <c r="O104" s="17">
        <v>6</v>
      </c>
      <c r="P104" s="17">
        <v>3140522586</v>
      </c>
      <c r="Q104" s="17" t="s">
        <v>3218</v>
      </c>
      <c r="R104" s="17" t="s">
        <v>1925</v>
      </c>
      <c r="S104" s="17"/>
      <c r="T104" s="17" t="s">
        <v>1926</v>
      </c>
      <c r="U104" s="17" t="s">
        <v>1927</v>
      </c>
      <c r="V104" s="17" t="s">
        <v>1928</v>
      </c>
      <c r="W104" s="17" t="s">
        <v>1929</v>
      </c>
      <c r="X104" s="17" t="s">
        <v>78</v>
      </c>
      <c r="Y104" s="17" t="s">
        <v>1930</v>
      </c>
      <c r="Z104" s="17" t="s">
        <v>1931</v>
      </c>
      <c r="AA104" s="21"/>
      <c r="AB104" s="17"/>
      <c r="AC104" s="17" t="s">
        <v>1931</v>
      </c>
      <c r="AD104" s="21">
        <v>45881</v>
      </c>
      <c r="AE104" s="17">
        <v>600000</v>
      </c>
      <c r="AF104" s="17">
        <v>200000</v>
      </c>
      <c r="AG104" s="17">
        <v>400000</v>
      </c>
      <c r="AH104" s="17">
        <v>600000</v>
      </c>
      <c r="AI104" s="20">
        <v>46008</v>
      </c>
      <c r="AJ104" s="17">
        <v>200000</v>
      </c>
      <c r="AK104" s="20">
        <v>45958</v>
      </c>
      <c r="AL104" s="17">
        <v>400000</v>
      </c>
      <c r="AM104" s="17"/>
    </row>
    <row r="105" spans="1:39" x14ac:dyDescent="0.3">
      <c r="A105" s="16" t="s">
        <v>2447</v>
      </c>
      <c r="B105" s="22">
        <v>2025</v>
      </c>
      <c r="C105" s="22" t="s">
        <v>2871</v>
      </c>
      <c r="D105" s="22" t="s">
        <v>94</v>
      </c>
      <c r="E105" s="22" t="s">
        <v>1322</v>
      </c>
      <c r="F105" s="18" t="s">
        <v>3219</v>
      </c>
      <c r="G105" s="23">
        <v>64</v>
      </c>
      <c r="H105" s="23" t="s">
        <v>644</v>
      </c>
      <c r="I105" s="24">
        <v>45880</v>
      </c>
      <c r="J105" s="24">
        <v>45880</v>
      </c>
      <c r="K105" s="22"/>
      <c r="L105" s="22" t="s">
        <v>73</v>
      </c>
      <c r="M105" s="22" t="s">
        <v>1322</v>
      </c>
      <c r="N105" s="22" t="s">
        <v>2449</v>
      </c>
      <c r="O105" s="22">
        <v>19</v>
      </c>
      <c r="P105" s="22">
        <v>3148633423</v>
      </c>
      <c r="Q105" s="22" t="s">
        <v>3220</v>
      </c>
      <c r="R105" s="22" t="s">
        <v>2450</v>
      </c>
      <c r="S105" s="22"/>
      <c r="T105" s="22" t="s">
        <v>2451</v>
      </c>
      <c r="U105" s="22" t="s">
        <v>2452</v>
      </c>
      <c r="V105" s="22" t="s">
        <v>2453</v>
      </c>
      <c r="W105" s="22" t="s">
        <v>2450</v>
      </c>
      <c r="X105" s="22" t="s">
        <v>1425</v>
      </c>
      <c r="Y105" s="22" t="s">
        <v>2454</v>
      </c>
      <c r="Z105" s="24" t="s">
        <v>2455</v>
      </c>
      <c r="AA105" s="24">
        <v>45909</v>
      </c>
      <c r="AB105" s="22" t="s">
        <v>46</v>
      </c>
      <c r="AC105" s="22" t="s">
        <v>2455</v>
      </c>
      <c r="AD105" s="24">
        <v>45881</v>
      </c>
      <c r="AE105" s="22">
        <v>600000</v>
      </c>
      <c r="AF105" s="22">
        <v>200000</v>
      </c>
      <c r="AG105" s="22">
        <v>400000</v>
      </c>
      <c r="AH105" s="22">
        <v>600000</v>
      </c>
      <c r="AI105" s="24">
        <v>46009</v>
      </c>
      <c r="AJ105" s="22">
        <v>200000</v>
      </c>
      <c r="AK105" s="24">
        <v>45958</v>
      </c>
      <c r="AL105" s="22">
        <v>400000</v>
      </c>
      <c r="AM105" s="22"/>
    </row>
    <row r="106" spans="1:39" x14ac:dyDescent="0.3">
      <c r="A106" s="16" t="s">
        <v>2163</v>
      </c>
      <c r="B106" s="17">
        <v>2025</v>
      </c>
      <c r="C106" s="17" t="s">
        <v>2871</v>
      </c>
      <c r="D106" s="17" t="s">
        <v>94</v>
      </c>
      <c r="E106" s="17" t="s">
        <v>1322</v>
      </c>
      <c r="F106" s="18" t="s">
        <v>3221</v>
      </c>
      <c r="G106" s="19">
        <v>65</v>
      </c>
      <c r="H106" s="19" t="s">
        <v>654</v>
      </c>
      <c r="I106" s="20">
        <v>45880</v>
      </c>
      <c r="J106" s="20">
        <v>45880</v>
      </c>
      <c r="K106" s="17"/>
      <c r="L106" s="17" t="s">
        <v>46</v>
      </c>
      <c r="M106" s="17" t="s">
        <v>1322</v>
      </c>
      <c r="N106" s="17" t="s">
        <v>2165</v>
      </c>
      <c r="O106" s="17">
        <v>9</v>
      </c>
      <c r="P106" s="17">
        <v>4988500295</v>
      </c>
      <c r="Q106" s="17" t="s">
        <v>3222</v>
      </c>
      <c r="R106" s="17" t="s">
        <v>2166</v>
      </c>
      <c r="S106" s="17"/>
      <c r="T106" s="17" t="s">
        <v>2167</v>
      </c>
      <c r="U106" s="17" t="s">
        <v>2168</v>
      </c>
      <c r="V106" s="17" t="s">
        <v>2169</v>
      </c>
      <c r="W106" s="17" t="s">
        <v>2170</v>
      </c>
      <c r="X106" s="17" t="s">
        <v>178</v>
      </c>
      <c r="Y106" s="17" t="s">
        <v>2171</v>
      </c>
      <c r="Z106" s="17" t="s">
        <v>2172</v>
      </c>
      <c r="AA106" s="20">
        <v>45909</v>
      </c>
      <c r="AB106" s="17" t="s">
        <v>46</v>
      </c>
      <c r="AC106" s="17" t="s">
        <v>2173</v>
      </c>
      <c r="AD106" s="20">
        <v>45881</v>
      </c>
      <c r="AE106" s="17">
        <v>750000</v>
      </c>
      <c r="AF106" s="17">
        <v>750000</v>
      </c>
      <c r="AG106" s="17">
        <v>0</v>
      </c>
      <c r="AH106" s="17">
        <v>750000</v>
      </c>
      <c r="AI106" s="21">
        <v>45925</v>
      </c>
      <c r="AJ106" s="17">
        <v>750000</v>
      </c>
      <c r="AK106" s="20" t="s">
        <v>56</v>
      </c>
      <c r="AL106" s="17">
        <v>0</v>
      </c>
      <c r="AM106" s="17"/>
    </row>
    <row r="107" spans="1:39" x14ac:dyDescent="0.3">
      <c r="A107" s="16" t="s">
        <v>2174</v>
      </c>
      <c r="B107" s="17">
        <v>2025</v>
      </c>
      <c r="C107" s="17" t="s">
        <v>2871</v>
      </c>
      <c r="D107" s="17" t="s">
        <v>94</v>
      </c>
      <c r="E107" s="17" t="s">
        <v>1322</v>
      </c>
      <c r="F107" s="18" t="s">
        <v>3223</v>
      </c>
      <c r="G107" s="19">
        <v>66</v>
      </c>
      <c r="H107" s="19" t="s">
        <v>664</v>
      </c>
      <c r="I107" s="20">
        <v>45880</v>
      </c>
      <c r="J107" s="20">
        <v>45880</v>
      </c>
      <c r="K107" s="17"/>
      <c r="L107" s="17" t="s">
        <v>218</v>
      </c>
      <c r="M107" s="17" t="s">
        <v>1322</v>
      </c>
      <c r="N107" s="17" t="s">
        <v>2176</v>
      </c>
      <c r="O107" s="17">
        <v>17</v>
      </c>
      <c r="P107" s="17">
        <v>3058540734</v>
      </c>
      <c r="Q107" s="17" t="s">
        <v>3224</v>
      </c>
      <c r="R107" s="17" t="s">
        <v>2166</v>
      </c>
      <c r="S107" s="17"/>
      <c r="T107" s="17" t="s">
        <v>2167</v>
      </c>
      <c r="U107" s="17" t="s">
        <v>2168</v>
      </c>
      <c r="V107" s="17" t="s">
        <v>2169</v>
      </c>
      <c r="W107" s="17" t="s">
        <v>2170</v>
      </c>
      <c r="X107" s="17" t="s">
        <v>178</v>
      </c>
      <c r="Y107" s="17" t="s">
        <v>2171</v>
      </c>
      <c r="Z107" s="17" t="s">
        <v>2172</v>
      </c>
      <c r="AA107" s="20">
        <v>45909</v>
      </c>
      <c r="AB107" s="17" t="s">
        <v>46</v>
      </c>
      <c r="AC107" s="17" t="s">
        <v>2173</v>
      </c>
      <c r="AD107" s="20">
        <v>45881</v>
      </c>
      <c r="AE107" s="17">
        <v>750000</v>
      </c>
      <c r="AF107" s="17">
        <v>750000</v>
      </c>
      <c r="AG107" s="17">
        <v>0</v>
      </c>
      <c r="AH107" s="17">
        <v>750000</v>
      </c>
      <c r="AI107" s="20">
        <v>45925</v>
      </c>
      <c r="AJ107" s="17">
        <v>750000</v>
      </c>
      <c r="AK107" s="20" t="s">
        <v>56</v>
      </c>
      <c r="AL107" s="17">
        <v>0</v>
      </c>
      <c r="AM107" s="17"/>
    </row>
    <row r="108" spans="1:39" x14ac:dyDescent="0.3">
      <c r="A108" s="16" t="s">
        <v>1990</v>
      </c>
      <c r="B108" s="17">
        <v>2025</v>
      </c>
      <c r="C108" s="17" t="s">
        <v>2871</v>
      </c>
      <c r="D108" s="17" t="s">
        <v>94</v>
      </c>
      <c r="E108" s="17" t="s">
        <v>1322</v>
      </c>
      <c r="F108" s="18" t="s">
        <v>3225</v>
      </c>
      <c r="G108" s="19">
        <v>67</v>
      </c>
      <c r="H108" s="19" t="s">
        <v>674</v>
      </c>
      <c r="I108" s="20">
        <v>45881</v>
      </c>
      <c r="J108" s="20">
        <v>45881</v>
      </c>
      <c r="K108" s="17"/>
      <c r="L108" s="17" t="s">
        <v>61</v>
      </c>
      <c r="M108" s="17" t="s">
        <v>1322</v>
      </c>
      <c r="N108" s="17" t="s">
        <v>1992</v>
      </c>
      <c r="O108" s="17">
        <v>44</v>
      </c>
      <c r="P108" s="17">
        <v>2428701579</v>
      </c>
      <c r="Q108" s="17" t="s">
        <v>3226</v>
      </c>
      <c r="R108" s="17" t="s">
        <v>1993</v>
      </c>
      <c r="S108" s="17"/>
      <c r="T108" s="17" t="s">
        <v>1994</v>
      </c>
      <c r="U108" s="17" t="s">
        <v>1995</v>
      </c>
      <c r="V108" s="17" t="s">
        <v>1996</v>
      </c>
      <c r="W108" s="17" t="s">
        <v>1958</v>
      </c>
      <c r="X108" s="17" t="s">
        <v>112</v>
      </c>
      <c r="Y108" s="17" t="s">
        <v>1959</v>
      </c>
      <c r="Z108" s="17" t="s">
        <v>1997</v>
      </c>
      <c r="AA108" s="20">
        <v>45909</v>
      </c>
      <c r="AB108" s="17" t="s">
        <v>61</v>
      </c>
      <c r="AC108" s="17" t="s">
        <v>1997</v>
      </c>
      <c r="AD108" s="20">
        <v>45882</v>
      </c>
      <c r="AE108" s="17">
        <v>750000</v>
      </c>
      <c r="AF108" s="17">
        <v>350000</v>
      </c>
      <c r="AG108" s="17">
        <v>400000</v>
      </c>
      <c r="AH108" s="17">
        <v>400000</v>
      </c>
      <c r="AI108" s="21"/>
      <c r="AJ108" s="17">
        <v>0</v>
      </c>
      <c r="AK108" s="20">
        <v>45958</v>
      </c>
      <c r="AL108" s="17">
        <v>400000</v>
      </c>
      <c r="AM108" s="17"/>
    </row>
    <row r="109" spans="1:39" x14ac:dyDescent="0.3">
      <c r="A109" s="16" t="s">
        <v>1942</v>
      </c>
      <c r="B109" s="17">
        <v>2025</v>
      </c>
      <c r="C109" s="17" t="s">
        <v>2871</v>
      </c>
      <c r="D109" s="17" t="s">
        <v>94</v>
      </c>
      <c r="E109" s="17" t="s">
        <v>1322</v>
      </c>
      <c r="F109" s="18" t="s">
        <v>3227</v>
      </c>
      <c r="G109" s="19">
        <v>68</v>
      </c>
      <c r="H109" s="19" t="s">
        <v>685</v>
      </c>
      <c r="I109" s="20">
        <v>45881</v>
      </c>
      <c r="J109" s="20">
        <v>45881</v>
      </c>
      <c r="K109" s="17"/>
      <c r="L109" s="17" t="s">
        <v>97</v>
      </c>
      <c r="M109" s="17" t="s">
        <v>1322</v>
      </c>
      <c r="N109" s="17" t="s">
        <v>1944</v>
      </c>
      <c r="O109" s="17">
        <v>7</v>
      </c>
      <c r="P109" s="17">
        <v>3058632584</v>
      </c>
      <c r="Q109" s="17" t="s">
        <v>3228</v>
      </c>
      <c r="R109" s="17" t="s">
        <v>1945</v>
      </c>
      <c r="S109" s="17"/>
      <c r="T109" s="17" t="s">
        <v>1936</v>
      </c>
      <c r="U109" s="17" t="s">
        <v>1946</v>
      </c>
      <c r="V109" s="17" t="s">
        <v>1947</v>
      </c>
      <c r="W109" s="17" t="s">
        <v>1948</v>
      </c>
      <c r="X109" s="17" t="s">
        <v>178</v>
      </c>
      <c r="Y109" s="17" t="s">
        <v>1949</v>
      </c>
      <c r="Z109" s="17" t="s">
        <v>1950</v>
      </c>
      <c r="AA109" s="20"/>
      <c r="AB109" s="17"/>
      <c r="AC109" s="17" t="s">
        <v>1950</v>
      </c>
      <c r="AD109" s="20">
        <v>45882</v>
      </c>
      <c r="AE109" s="17">
        <v>600000</v>
      </c>
      <c r="AF109" s="17">
        <v>200000</v>
      </c>
      <c r="AG109" s="17">
        <v>400000</v>
      </c>
      <c r="AH109" s="17">
        <v>400000</v>
      </c>
      <c r="AI109" s="21"/>
      <c r="AJ109" s="17">
        <v>0</v>
      </c>
      <c r="AK109" s="20">
        <v>45958</v>
      </c>
      <c r="AL109" s="17">
        <v>400000</v>
      </c>
      <c r="AM109" s="17"/>
    </row>
    <row r="110" spans="1:39" x14ac:dyDescent="0.3">
      <c r="A110" s="16" t="s">
        <v>1932</v>
      </c>
      <c r="B110" s="17">
        <v>2025</v>
      </c>
      <c r="C110" s="17" t="s">
        <v>2871</v>
      </c>
      <c r="D110" s="17" t="s">
        <v>94</v>
      </c>
      <c r="E110" s="17" t="s">
        <v>1322</v>
      </c>
      <c r="F110" s="18" t="s">
        <v>3229</v>
      </c>
      <c r="G110" s="19">
        <v>69</v>
      </c>
      <c r="H110" s="19" t="s">
        <v>696</v>
      </c>
      <c r="I110" s="20">
        <v>45881</v>
      </c>
      <c r="J110" s="20">
        <v>45881</v>
      </c>
      <c r="K110" s="17"/>
      <c r="L110" s="17" t="s">
        <v>181</v>
      </c>
      <c r="M110" s="17" t="s">
        <v>1322</v>
      </c>
      <c r="N110" s="17" t="s">
        <v>1934</v>
      </c>
      <c r="O110" s="17">
        <v>11</v>
      </c>
      <c r="P110" s="17">
        <v>5318101948</v>
      </c>
      <c r="Q110" s="17" t="s">
        <v>3230</v>
      </c>
      <c r="R110" s="17" t="s">
        <v>1935</v>
      </c>
      <c r="S110" s="17"/>
      <c r="T110" s="17" t="s">
        <v>1936</v>
      </c>
      <c r="U110" s="17" t="s">
        <v>1937</v>
      </c>
      <c r="V110" s="17" t="s">
        <v>1938</v>
      </c>
      <c r="W110" s="17" t="s">
        <v>1948</v>
      </c>
      <c r="X110" s="17" t="s">
        <v>178</v>
      </c>
      <c r="Y110" s="17" t="s">
        <v>1949</v>
      </c>
      <c r="Z110" s="17" t="s">
        <v>1950</v>
      </c>
      <c r="AA110" s="20"/>
      <c r="AB110" s="17"/>
      <c r="AC110" s="17" t="s">
        <v>1950</v>
      </c>
      <c r="AD110" s="20">
        <v>45882</v>
      </c>
      <c r="AE110" s="17">
        <v>600000</v>
      </c>
      <c r="AF110" s="17">
        <v>200000</v>
      </c>
      <c r="AG110" s="17">
        <v>400000</v>
      </c>
      <c r="AH110" s="17">
        <v>600000</v>
      </c>
      <c r="AI110" s="20">
        <v>45910</v>
      </c>
      <c r="AJ110" s="17">
        <v>200000</v>
      </c>
      <c r="AK110" s="20">
        <v>45958</v>
      </c>
      <c r="AL110" s="17">
        <v>400000</v>
      </c>
      <c r="AM110" s="17"/>
    </row>
    <row r="111" spans="1:39" x14ac:dyDescent="0.3">
      <c r="A111" s="16" t="s">
        <v>1721</v>
      </c>
      <c r="B111" s="17">
        <v>2025</v>
      </c>
      <c r="C111" s="17" t="s">
        <v>2871</v>
      </c>
      <c r="D111" s="17" t="s">
        <v>94</v>
      </c>
      <c r="E111" s="17" t="s">
        <v>1322</v>
      </c>
      <c r="F111" s="18" t="s">
        <v>3231</v>
      </c>
      <c r="G111" s="19">
        <v>70</v>
      </c>
      <c r="H111" s="19" t="s">
        <v>708</v>
      </c>
      <c r="I111" s="20">
        <v>45881</v>
      </c>
      <c r="J111" s="20">
        <v>45881</v>
      </c>
      <c r="K111" s="17"/>
      <c r="L111" s="17" t="s">
        <v>73</v>
      </c>
      <c r="M111" s="17" t="s">
        <v>1322</v>
      </c>
      <c r="N111" s="17" t="s">
        <v>1723</v>
      </c>
      <c r="O111" s="17">
        <v>13</v>
      </c>
      <c r="P111" s="17">
        <v>3142626215</v>
      </c>
      <c r="Q111" s="17" t="s">
        <v>3232</v>
      </c>
      <c r="R111" s="17" t="s">
        <v>1724</v>
      </c>
      <c r="S111" s="17"/>
      <c r="T111" s="17" t="s">
        <v>1725</v>
      </c>
      <c r="U111" s="17" t="s">
        <v>1726</v>
      </c>
      <c r="V111" s="17" t="s">
        <v>1727</v>
      </c>
      <c r="W111" s="17" t="s">
        <v>1728</v>
      </c>
      <c r="X111" s="17"/>
      <c r="Y111" s="17" t="s">
        <v>1729</v>
      </c>
      <c r="Z111" s="17" t="s">
        <v>1730</v>
      </c>
      <c r="AA111" s="21">
        <v>45909</v>
      </c>
      <c r="AB111" s="17" t="s">
        <v>218</v>
      </c>
      <c r="AC111" s="17" t="s">
        <v>1730</v>
      </c>
      <c r="AD111" s="20">
        <v>45882</v>
      </c>
      <c r="AE111" s="17">
        <v>600000</v>
      </c>
      <c r="AF111" s="17">
        <v>200000</v>
      </c>
      <c r="AG111" s="17">
        <v>400000</v>
      </c>
      <c r="AH111" s="17">
        <v>600000</v>
      </c>
      <c r="AI111" s="20">
        <v>45897</v>
      </c>
      <c r="AJ111" s="17">
        <v>200000</v>
      </c>
      <c r="AK111" s="20">
        <v>45958</v>
      </c>
      <c r="AL111" s="17">
        <v>400000</v>
      </c>
      <c r="AM111" s="17"/>
    </row>
    <row r="112" spans="1:39" x14ac:dyDescent="0.3">
      <c r="A112" s="16" t="s">
        <v>2364</v>
      </c>
      <c r="B112" s="17">
        <v>2025</v>
      </c>
      <c r="C112" s="17" t="s">
        <v>2871</v>
      </c>
      <c r="D112" s="17" t="s">
        <v>94</v>
      </c>
      <c r="E112" s="17" t="s">
        <v>1322</v>
      </c>
      <c r="F112" s="18" t="s">
        <v>3233</v>
      </c>
      <c r="G112" s="19">
        <v>71</v>
      </c>
      <c r="H112" s="19" t="s">
        <v>718</v>
      </c>
      <c r="I112" s="20">
        <v>45881</v>
      </c>
      <c r="J112" s="20">
        <v>45881</v>
      </c>
      <c r="K112" s="17"/>
      <c r="L112" s="17" t="s">
        <v>46</v>
      </c>
      <c r="M112" s="17" t="s">
        <v>1322</v>
      </c>
      <c r="N112" s="17" t="s">
        <v>2366</v>
      </c>
      <c r="O112" s="17">
        <v>14</v>
      </c>
      <c r="P112" s="17">
        <v>8622600621</v>
      </c>
      <c r="Q112" s="17" t="s">
        <v>3234</v>
      </c>
      <c r="R112" s="17" t="s">
        <v>2367</v>
      </c>
      <c r="S112" s="17"/>
      <c r="T112" s="17" t="s">
        <v>2368</v>
      </c>
      <c r="U112" s="17" t="s">
        <v>2369</v>
      </c>
      <c r="V112" s="17" t="s">
        <v>2370</v>
      </c>
      <c r="W112" s="17" t="s">
        <v>2367</v>
      </c>
      <c r="X112" s="17" t="s">
        <v>78</v>
      </c>
      <c r="Y112" s="17" t="s">
        <v>2371</v>
      </c>
      <c r="Z112" s="17" t="s">
        <v>2372</v>
      </c>
      <c r="AA112" s="20">
        <v>45909</v>
      </c>
      <c r="AB112" s="17" t="s">
        <v>218</v>
      </c>
      <c r="AC112" s="17" t="s">
        <v>2372</v>
      </c>
      <c r="AD112" s="20">
        <v>45882</v>
      </c>
      <c r="AE112" s="17">
        <v>600000</v>
      </c>
      <c r="AF112" s="17">
        <v>200000</v>
      </c>
      <c r="AG112" s="17">
        <v>400000</v>
      </c>
      <c r="AH112" s="17">
        <v>600000</v>
      </c>
      <c r="AI112" s="20">
        <v>45883</v>
      </c>
      <c r="AJ112" s="17">
        <v>200000</v>
      </c>
      <c r="AK112" s="20">
        <v>45958</v>
      </c>
      <c r="AL112" s="17">
        <v>400000</v>
      </c>
      <c r="AM112" s="17"/>
    </row>
    <row r="113" spans="1:39" x14ac:dyDescent="0.3">
      <c r="A113" s="16" t="s">
        <v>2284</v>
      </c>
      <c r="B113" s="17">
        <v>2025</v>
      </c>
      <c r="C113" s="17" t="s">
        <v>2871</v>
      </c>
      <c r="D113" s="17" t="s">
        <v>94</v>
      </c>
      <c r="E113" s="17" t="s">
        <v>1322</v>
      </c>
      <c r="F113" s="18" t="s">
        <v>3235</v>
      </c>
      <c r="G113" s="19">
        <v>72</v>
      </c>
      <c r="H113" s="19" t="s">
        <v>729</v>
      </c>
      <c r="I113" s="20">
        <v>45881</v>
      </c>
      <c r="J113" s="20">
        <v>45881</v>
      </c>
      <c r="K113" s="17"/>
      <c r="L113" s="17" t="s">
        <v>218</v>
      </c>
      <c r="M113" s="17" t="s">
        <v>1322</v>
      </c>
      <c r="N113" s="17" t="s">
        <v>2286</v>
      </c>
      <c r="O113" s="17">
        <v>25</v>
      </c>
      <c r="P113" s="17">
        <v>3148174206</v>
      </c>
      <c r="Q113" s="17" t="s">
        <v>3236</v>
      </c>
      <c r="R113" s="17" t="s">
        <v>2287</v>
      </c>
      <c r="S113" s="17"/>
      <c r="T113" s="17" t="s">
        <v>2288</v>
      </c>
      <c r="U113" s="17" t="s">
        <v>2289</v>
      </c>
      <c r="V113" s="17" t="s">
        <v>2290</v>
      </c>
      <c r="W113" s="17" t="s">
        <v>2291</v>
      </c>
      <c r="X113" s="17" t="s">
        <v>2159</v>
      </c>
      <c r="Y113" s="17" t="s">
        <v>2292</v>
      </c>
      <c r="Z113" s="17" t="s">
        <v>2293</v>
      </c>
      <c r="AA113" s="20">
        <v>45909</v>
      </c>
      <c r="AB113" s="17" t="s">
        <v>218</v>
      </c>
      <c r="AC113" s="17" t="s">
        <v>2293</v>
      </c>
      <c r="AD113" s="20">
        <v>45882</v>
      </c>
      <c r="AE113" s="17">
        <v>750000</v>
      </c>
      <c r="AF113" s="17">
        <v>350000</v>
      </c>
      <c r="AG113" s="17">
        <v>400000</v>
      </c>
      <c r="AH113" s="17">
        <v>750000</v>
      </c>
      <c r="AI113" s="20">
        <v>45898</v>
      </c>
      <c r="AJ113" s="17">
        <v>350000</v>
      </c>
      <c r="AK113" s="20">
        <v>45958</v>
      </c>
      <c r="AL113" s="17">
        <v>400000</v>
      </c>
      <c r="AM113" s="17"/>
    </row>
    <row r="114" spans="1:39" x14ac:dyDescent="0.3">
      <c r="A114" s="16" t="s">
        <v>1781</v>
      </c>
      <c r="B114" s="17">
        <v>2025</v>
      </c>
      <c r="C114" s="17" t="s">
        <v>2871</v>
      </c>
      <c r="D114" s="17" t="s">
        <v>94</v>
      </c>
      <c r="E114" s="17" t="s">
        <v>1322</v>
      </c>
      <c r="F114" s="18" t="s">
        <v>3237</v>
      </c>
      <c r="G114" s="19">
        <v>73</v>
      </c>
      <c r="H114" s="19" t="s">
        <v>729</v>
      </c>
      <c r="I114" s="20">
        <v>45882</v>
      </c>
      <c r="J114" s="20">
        <v>45882</v>
      </c>
      <c r="K114" s="17"/>
      <c r="L114" s="17" t="s">
        <v>61</v>
      </c>
      <c r="M114" s="17" t="s">
        <v>1322</v>
      </c>
      <c r="N114" s="17" t="s">
        <v>1783</v>
      </c>
      <c r="O114" s="17">
        <v>3</v>
      </c>
      <c r="P114" s="17">
        <v>6281801613</v>
      </c>
      <c r="Q114" s="17" t="s">
        <v>3238</v>
      </c>
      <c r="R114" s="17" t="s">
        <v>1784</v>
      </c>
      <c r="S114" s="17"/>
      <c r="T114" s="17" t="s">
        <v>1785</v>
      </c>
      <c r="U114" s="17" t="s">
        <v>1786</v>
      </c>
      <c r="V114" s="17" t="s">
        <v>1787</v>
      </c>
      <c r="W114" s="17" t="s">
        <v>1784</v>
      </c>
      <c r="X114" s="17" t="s">
        <v>78</v>
      </c>
      <c r="Y114" s="17" t="s">
        <v>1788</v>
      </c>
      <c r="Z114" s="17" t="s">
        <v>1789</v>
      </c>
      <c r="AA114" s="20"/>
      <c r="AB114" s="17"/>
      <c r="AC114" s="17" t="s">
        <v>1790</v>
      </c>
      <c r="AD114" s="20">
        <v>45883</v>
      </c>
      <c r="AE114" s="17">
        <v>600000</v>
      </c>
      <c r="AF114" s="17">
        <v>200000</v>
      </c>
      <c r="AG114" s="17">
        <v>400000</v>
      </c>
      <c r="AH114" s="17">
        <v>600000</v>
      </c>
      <c r="AI114" s="20">
        <v>46007</v>
      </c>
      <c r="AJ114" s="17">
        <v>200000</v>
      </c>
      <c r="AK114" s="20">
        <v>45958</v>
      </c>
      <c r="AL114" s="17">
        <v>400000</v>
      </c>
      <c r="AM114" s="17"/>
    </row>
    <row r="115" spans="1:39" x14ac:dyDescent="0.3">
      <c r="A115" s="16" t="s">
        <v>1791</v>
      </c>
      <c r="B115" s="17">
        <v>2025</v>
      </c>
      <c r="C115" s="17" t="s">
        <v>2871</v>
      </c>
      <c r="D115" s="17" t="s">
        <v>94</v>
      </c>
      <c r="E115" s="17" t="s">
        <v>1322</v>
      </c>
      <c r="F115" s="18" t="s">
        <v>3239</v>
      </c>
      <c r="G115" s="19">
        <v>74</v>
      </c>
      <c r="H115" s="19" t="s">
        <v>729</v>
      </c>
      <c r="I115" s="20">
        <v>45882</v>
      </c>
      <c r="J115" s="20">
        <v>45882</v>
      </c>
      <c r="K115" s="17"/>
      <c r="L115" s="17" t="s">
        <v>97</v>
      </c>
      <c r="M115" s="17" t="s">
        <v>1322</v>
      </c>
      <c r="N115" s="17" t="s">
        <v>1793</v>
      </c>
      <c r="O115" s="17">
        <v>4</v>
      </c>
      <c r="P115" s="17">
        <v>1922100212</v>
      </c>
      <c r="Q115" s="17" t="s">
        <v>3240</v>
      </c>
      <c r="R115" s="17" t="s">
        <v>1794</v>
      </c>
      <c r="S115" s="17"/>
      <c r="T115" s="17" t="s">
        <v>1795</v>
      </c>
      <c r="U115" s="17" t="s">
        <v>1796</v>
      </c>
      <c r="V115" s="17" t="s">
        <v>1797</v>
      </c>
      <c r="W115" s="17" t="s">
        <v>1794</v>
      </c>
      <c r="X115" s="17" t="s">
        <v>78</v>
      </c>
      <c r="Y115" s="17" t="s">
        <v>1798</v>
      </c>
      <c r="Z115" s="17" t="s">
        <v>1799</v>
      </c>
      <c r="AA115" s="20"/>
      <c r="AB115" s="17"/>
      <c r="AC115" s="17" t="s">
        <v>1799</v>
      </c>
      <c r="AD115" s="20">
        <v>45883</v>
      </c>
      <c r="AE115" s="17">
        <v>600000</v>
      </c>
      <c r="AF115" s="17">
        <v>200000</v>
      </c>
      <c r="AG115" s="17">
        <v>400000</v>
      </c>
      <c r="AH115" s="17">
        <v>600000</v>
      </c>
      <c r="AI115" s="20">
        <v>45887</v>
      </c>
      <c r="AJ115" s="17">
        <v>200000</v>
      </c>
      <c r="AK115" s="20">
        <v>45958</v>
      </c>
      <c r="AL115" s="17">
        <v>400000</v>
      </c>
      <c r="AM115" s="17"/>
    </row>
    <row r="116" spans="1:39" x14ac:dyDescent="0.3">
      <c r="A116" s="16" t="s">
        <v>2143</v>
      </c>
      <c r="B116" s="17">
        <v>2025</v>
      </c>
      <c r="C116" s="17" t="s">
        <v>2871</v>
      </c>
      <c r="D116" s="17" t="s">
        <v>94</v>
      </c>
      <c r="E116" s="17" t="s">
        <v>1322</v>
      </c>
      <c r="F116" s="18" t="s">
        <v>3241</v>
      </c>
      <c r="G116" s="19">
        <v>75</v>
      </c>
      <c r="H116" s="19" t="s">
        <v>741</v>
      </c>
      <c r="I116" s="20">
        <v>45882</v>
      </c>
      <c r="J116" s="20">
        <v>45882</v>
      </c>
      <c r="K116" s="17"/>
      <c r="L116" s="17" t="s">
        <v>181</v>
      </c>
      <c r="M116" s="17" t="s">
        <v>1322</v>
      </c>
      <c r="N116" s="17" t="s">
        <v>2145</v>
      </c>
      <c r="O116" s="17">
        <v>9</v>
      </c>
      <c r="P116" s="17">
        <v>3448800039</v>
      </c>
      <c r="Q116" s="17" t="s">
        <v>3242</v>
      </c>
      <c r="R116" s="17" t="s">
        <v>2146</v>
      </c>
      <c r="S116" s="17"/>
      <c r="T116" s="17" t="s">
        <v>2147</v>
      </c>
      <c r="U116" s="17" t="s">
        <v>2148</v>
      </c>
      <c r="V116" s="17" t="s">
        <v>2149</v>
      </c>
      <c r="W116" s="17" t="s">
        <v>2146</v>
      </c>
      <c r="X116" s="17" t="s">
        <v>78</v>
      </c>
      <c r="Y116" s="17" t="s">
        <v>2150</v>
      </c>
      <c r="Z116" s="17" t="s">
        <v>2151</v>
      </c>
      <c r="AA116" s="20"/>
      <c r="AB116" s="17"/>
      <c r="AC116" s="17" t="s">
        <v>2151</v>
      </c>
      <c r="AD116" s="20">
        <v>45883</v>
      </c>
      <c r="AE116" s="17">
        <v>600000</v>
      </c>
      <c r="AF116" s="17">
        <v>200000</v>
      </c>
      <c r="AG116" s="17">
        <v>400000</v>
      </c>
      <c r="AH116" s="17">
        <v>600000</v>
      </c>
      <c r="AI116" s="20">
        <v>45883</v>
      </c>
      <c r="AJ116" s="17">
        <v>200000</v>
      </c>
      <c r="AK116" s="20">
        <v>45958</v>
      </c>
      <c r="AL116" s="17">
        <v>400000</v>
      </c>
      <c r="AM116" s="17"/>
    </row>
    <row r="117" spans="1:39" x14ac:dyDescent="0.3">
      <c r="A117" s="16" t="s">
        <v>2105</v>
      </c>
      <c r="B117" s="17">
        <v>2025</v>
      </c>
      <c r="C117" s="17" t="s">
        <v>2871</v>
      </c>
      <c r="D117" s="17" t="s">
        <v>94</v>
      </c>
      <c r="E117" s="17" t="s">
        <v>1322</v>
      </c>
      <c r="F117" s="18" t="s">
        <v>3243</v>
      </c>
      <c r="G117" s="19">
        <v>76</v>
      </c>
      <c r="H117" s="19" t="s">
        <v>747</v>
      </c>
      <c r="I117" s="20">
        <v>45882</v>
      </c>
      <c r="J117" s="20">
        <v>45882</v>
      </c>
      <c r="K117" s="17"/>
      <c r="L117" s="17" t="s">
        <v>73</v>
      </c>
      <c r="M117" s="17" t="s">
        <v>1322</v>
      </c>
      <c r="N117" s="17" t="s">
        <v>2107</v>
      </c>
      <c r="O117" s="17">
        <v>15</v>
      </c>
      <c r="P117" s="17">
        <v>3058185432</v>
      </c>
      <c r="Q117" s="17" t="s">
        <v>3244</v>
      </c>
      <c r="R117" s="17" t="s">
        <v>2108</v>
      </c>
      <c r="S117" s="17"/>
      <c r="T117" s="17" t="s">
        <v>2109</v>
      </c>
      <c r="U117" s="17" t="s">
        <v>2110</v>
      </c>
      <c r="V117" s="17" t="s">
        <v>2111</v>
      </c>
      <c r="W117" s="17" t="s">
        <v>2112</v>
      </c>
      <c r="X117" s="17" t="s">
        <v>461</v>
      </c>
      <c r="Y117" s="17" t="s">
        <v>2113</v>
      </c>
      <c r="Z117" s="17" t="s">
        <v>2114</v>
      </c>
      <c r="AA117" s="21">
        <v>45910</v>
      </c>
      <c r="AB117" s="17" t="s">
        <v>218</v>
      </c>
      <c r="AC117" s="17" t="s">
        <v>3245</v>
      </c>
      <c r="AD117" s="20">
        <v>45883</v>
      </c>
      <c r="AE117" s="17">
        <v>600000</v>
      </c>
      <c r="AF117" s="17">
        <v>200000</v>
      </c>
      <c r="AG117" s="17">
        <v>400000</v>
      </c>
      <c r="AH117" s="17">
        <v>600000</v>
      </c>
      <c r="AI117" s="20">
        <v>45887</v>
      </c>
      <c r="AJ117" s="17">
        <v>200000</v>
      </c>
      <c r="AK117" s="20">
        <v>45958</v>
      </c>
      <c r="AL117" s="17">
        <v>400000</v>
      </c>
      <c r="AM117" s="17"/>
    </row>
    <row r="118" spans="1:39" x14ac:dyDescent="0.3">
      <c r="A118" s="16" t="s">
        <v>2116</v>
      </c>
      <c r="B118" s="17">
        <v>2025</v>
      </c>
      <c r="C118" s="17" t="s">
        <v>2871</v>
      </c>
      <c r="D118" s="17" t="s">
        <v>94</v>
      </c>
      <c r="E118" s="17" t="s">
        <v>1322</v>
      </c>
      <c r="F118" s="18" t="s">
        <v>3246</v>
      </c>
      <c r="G118" s="19">
        <v>77</v>
      </c>
      <c r="H118" s="19" t="s">
        <v>747</v>
      </c>
      <c r="I118" s="20">
        <v>45882</v>
      </c>
      <c r="J118" s="20">
        <v>45882</v>
      </c>
      <c r="K118" s="17"/>
      <c r="L118" s="17" t="s">
        <v>46</v>
      </c>
      <c r="M118" s="17" t="s">
        <v>1322</v>
      </c>
      <c r="N118" s="17" t="s">
        <v>2118</v>
      </c>
      <c r="O118" s="17">
        <v>3</v>
      </c>
      <c r="P118" s="17">
        <v>3058193984</v>
      </c>
      <c r="Q118" s="17" t="s">
        <v>3247</v>
      </c>
      <c r="R118" s="17" t="s">
        <v>2119</v>
      </c>
      <c r="S118" s="17"/>
      <c r="T118" s="17" t="s">
        <v>2120</v>
      </c>
      <c r="U118" s="17" t="s">
        <v>2121</v>
      </c>
      <c r="V118" s="17" t="s">
        <v>2122</v>
      </c>
      <c r="W118" s="17" t="s">
        <v>2119</v>
      </c>
      <c r="X118" s="17" t="s">
        <v>78</v>
      </c>
      <c r="Y118" s="17" t="s">
        <v>2123</v>
      </c>
      <c r="Z118" s="17" t="s">
        <v>2124</v>
      </c>
      <c r="AA118" s="21">
        <v>45910</v>
      </c>
      <c r="AB118" s="17" t="s">
        <v>218</v>
      </c>
      <c r="AC118" s="17" t="s">
        <v>2124</v>
      </c>
      <c r="AD118" s="20">
        <v>45883</v>
      </c>
      <c r="AE118" s="17">
        <v>600000</v>
      </c>
      <c r="AF118" s="17">
        <v>200000</v>
      </c>
      <c r="AG118" s="17">
        <v>400000</v>
      </c>
      <c r="AH118" s="17">
        <v>600000</v>
      </c>
      <c r="AI118" s="20">
        <v>46010</v>
      </c>
      <c r="AJ118" s="17">
        <v>200000</v>
      </c>
      <c r="AK118" s="20">
        <v>45958</v>
      </c>
      <c r="AL118" s="17">
        <v>400000</v>
      </c>
      <c r="AM118" s="17"/>
    </row>
    <row r="119" spans="1:39" x14ac:dyDescent="0.3">
      <c r="A119" s="16" t="s">
        <v>2125</v>
      </c>
      <c r="B119" s="17">
        <v>2025</v>
      </c>
      <c r="C119" s="17" t="s">
        <v>2871</v>
      </c>
      <c r="D119" s="17" t="s">
        <v>94</v>
      </c>
      <c r="E119" s="17" t="s">
        <v>1322</v>
      </c>
      <c r="F119" s="18" t="s">
        <v>3248</v>
      </c>
      <c r="G119" s="19">
        <v>78</v>
      </c>
      <c r="H119" s="19" t="s">
        <v>747</v>
      </c>
      <c r="I119" s="20">
        <v>45882</v>
      </c>
      <c r="J119" s="20">
        <v>45882</v>
      </c>
      <c r="K119" s="17"/>
      <c r="L119" s="17" t="s">
        <v>218</v>
      </c>
      <c r="M119" s="17" t="s">
        <v>1322</v>
      </c>
      <c r="N119" s="17" t="s">
        <v>2127</v>
      </c>
      <c r="O119" s="17">
        <v>3</v>
      </c>
      <c r="P119" s="17">
        <v>4058601270</v>
      </c>
      <c r="Q119" s="17" t="s">
        <v>3249</v>
      </c>
      <c r="R119" s="17" t="s">
        <v>2128</v>
      </c>
      <c r="S119" s="17"/>
      <c r="T119" s="17" t="s">
        <v>2129</v>
      </c>
      <c r="U119" s="17"/>
      <c r="V119" s="17" t="s">
        <v>2130</v>
      </c>
      <c r="W119" s="17" t="s">
        <v>2128</v>
      </c>
      <c r="X119" s="17" t="s">
        <v>78</v>
      </c>
      <c r="Y119" s="17" t="s">
        <v>2131</v>
      </c>
      <c r="Z119" s="17" t="s">
        <v>2132</v>
      </c>
      <c r="AA119" s="21">
        <v>45910</v>
      </c>
      <c r="AB119" s="17" t="s">
        <v>218</v>
      </c>
      <c r="AC119" s="17" t="s">
        <v>2132</v>
      </c>
      <c r="AD119" s="20">
        <v>45883</v>
      </c>
      <c r="AE119" s="17">
        <v>600000</v>
      </c>
      <c r="AF119" s="17">
        <v>200000</v>
      </c>
      <c r="AG119" s="17">
        <v>400000</v>
      </c>
      <c r="AH119" s="17">
        <v>600000</v>
      </c>
      <c r="AI119" s="20">
        <v>46009</v>
      </c>
      <c r="AJ119" s="17">
        <v>200000</v>
      </c>
      <c r="AK119" s="20">
        <v>45958</v>
      </c>
      <c r="AL119" s="17">
        <v>400000</v>
      </c>
      <c r="AM119" s="17"/>
    </row>
    <row r="120" spans="1:39" x14ac:dyDescent="0.3">
      <c r="A120" s="16" t="s">
        <v>2334</v>
      </c>
      <c r="B120" s="17">
        <v>2025</v>
      </c>
      <c r="C120" s="17" t="s">
        <v>2871</v>
      </c>
      <c r="D120" s="17" t="s">
        <v>94</v>
      </c>
      <c r="E120" s="17" t="s">
        <v>1322</v>
      </c>
      <c r="F120" s="18" t="s">
        <v>3250</v>
      </c>
      <c r="G120" s="19">
        <v>79</v>
      </c>
      <c r="H120" s="19" t="s">
        <v>758</v>
      </c>
      <c r="I120" s="20">
        <v>45883</v>
      </c>
      <c r="J120" s="20">
        <v>45883</v>
      </c>
      <c r="K120" s="17"/>
      <c r="L120" s="17" t="s">
        <v>61</v>
      </c>
      <c r="M120" s="17" t="s">
        <v>1322</v>
      </c>
      <c r="N120" s="17" t="s">
        <v>2336</v>
      </c>
      <c r="O120" s="17">
        <v>12</v>
      </c>
      <c r="P120" s="17">
        <v>3058164437</v>
      </c>
      <c r="Q120" s="17" t="s">
        <v>3251</v>
      </c>
      <c r="R120" s="17" t="s">
        <v>2337</v>
      </c>
      <c r="S120" s="17"/>
      <c r="T120" s="17" t="s">
        <v>2338</v>
      </c>
      <c r="U120" s="17" t="s">
        <v>2339</v>
      </c>
      <c r="V120" s="17" t="s">
        <v>2340</v>
      </c>
      <c r="W120" s="17" t="s">
        <v>2341</v>
      </c>
      <c r="X120" s="17"/>
      <c r="Y120" s="17" t="s">
        <v>2342</v>
      </c>
      <c r="Z120" s="17" t="s">
        <v>2343</v>
      </c>
      <c r="AA120" s="20">
        <v>45909</v>
      </c>
      <c r="AB120" s="17" t="s">
        <v>61</v>
      </c>
      <c r="AC120" s="17" t="s">
        <v>2343</v>
      </c>
      <c r="AD120" s="20">
        <v>45887</v>
      </c>
      <c r="AE120" s="17">
        <v>600000</v>
      </c>
      <c r="AF120" s="17">
        <v>200000</v>
      </c>
      <c r="AG120" s="17">
        <v>400000</v>
      </c>
      <c r="AH120" s="17">
        <v>600000</v>
      </c>
      <c r="AI120" s="20">
        <v>46007</v>
      </c>
      <c r="AJ120" s="17">
        <v>200000</v>
      </c>
      <c r="AK120" s="20">
        <v>45958</v>
      </c>
      <c r="AL120" s="17">
        <v>400000</v>
      </c>
      <c r="AM120" s="17"/>
    </row>
    <row r="121" spans="1:39" x14ac:dyDescent="0.3">
      <c r="A121" s="16" t="s">
        <v>2325</v>
      </c>
      <c r="B121" s="17">
        <v>2025</v>
      </c>
      <c r="C121" s="17" t="s">
        <v>2871</v>
      </c>
      <c r="D121" s="17" t="s">
        <v>94</v>
      </c>
      <c r="E121" s="17" t="s">
        <v>1322</v>
      </c>
      <c r="F121" s="18" t="s">
        <v>3252</v>
      </c>
      <c r="G121" s="19">
        <v>80</v>
      </c>
      <c r="H121" s="19" t="s">
        <v>767</v>
      </c>
      <c r="I121" s="20">
        <v>45883</v>
      </c>
      <c r="J121" s="20">
        <v>45883</v>
      </c>
      <c r="K121" s="17"/>
      <c r="L121" s="17" t="s">
        <v>97</v>
      </c>
      <c r="M121" s="17" t="s">
        <v>1322</v>
      </c>
      <c r="N121" s="17" t="s">
        <v>2327</v>
      </c>
      <c r="O121" s="17">
        <v>9</v>
      </c>
      <c r="P121" s="17">
        <v>6868101947</v>
      </c>
      <c r="Q121" s="17" t="s">
        <v>3253</v>
      </c>
      <c r="R121" s="17" t="s">
        <v>2328</v>
      </c>
      <c r="S121" s="17"/>
      <c r="T121" s="17" t="s">
        <v>2329</v>
      </c>
      <c r="U121" s="17" t="s">
        <v>2330</v>
      </c>
      <c r="V121" s="17" t="s">
        <v>2331</v>
      </c>
      <c r="W121" s="17" t="s">
        <v>2328</v>
      </c>
      <c r="X121" s="17" t="s">
        <v>78</v>
      </c>
      <c r="Y121" s="17" t="s">
        <v>2332</v>
      </c>
      <c r="Z121" s="17" t="s">
        <v>2333</v>
      </c>
      <c r="AA121" s="20">
        <v>45909</v>
      </c>
      <c r="AB121" s="17" t="s">
        <v>61</v>
      </c>
      <c r="AC121" s="17" t="s">
        <v>2333</v>
      </c>
      <c r="AD121" s="20">
        <v>45887</v>
      </c>
      <c r="AE121" s="17">
        <v>600000</v>
      </c>
      <c r="AF121" s="17">
        <v>200000</v>
      </c>
      <c r="AG121" s="17">
        <v>400000</v>
      </c>
      <c r="AH121" s="17">
        <v>600000</v>
      </c>
      <c r="AI121" s="20">
        <v>45919</v>
      </c>
      <c r="AJ121" s="17">
        <v>200000</v>
      </c>
      <c r="AK121" s="20">
        <v>45958</v>
      </c>
      <c r="AL121" s="17">
        <v>400000</v>
      </c>
      <c r="AM121" s="17"/>
    </row>
    <row r="122" spans="1:39" x14ac:dyDescent="0.3">
      <c r="A122" s="16" t="s">
        <v>2096</v>
      </c>
      <c r="B122" s="17">
        <v>2025</v>
      </c>
      <c r="C122" s="17" t="s">
        <v>2871</v>
      </c>
      <c r="D122" s="17" t="s">
        <v>94</v>
      </c>
      <c r="E122" s="17" t="s">
        <v>1322</v>
      </c>
      <c r="F122" s="18" t="s">
        <v>3254</v>
      </c>
      <c r="G122" s="19">
        <v>81</v>
      </c>
      <c r="H122" s="19" t="s">
        <v>776</v>
      </c>
      <c r="I122" s="20">
        <v>45883</v>
      </c>
      <c r="J122" s="20">
        <v>45883</v>
      </c>
      <c r="K122" s="17"/>
      <c r="L122" s="17" t="s">
        <v>181</v>
      </c>
      <c r="M122" s="17" t="s">
        <v>1322</v>
      </c>
      <c r="N122" s="17" t="s">
        <v>2098</v>
      </c>
      <c r="O122" s="17">
        <v>9</v>
      </c>
      <c r="P122" s="17">
        <v>6830602222</v>
      </c>
      <c r="Q122" s="17" t="s">
        <v>3255</v>
      </c>
      <c r="R122" s="17" t="s">
        <v>2099</v>
      </c>
      <c r="S122" s="17"/>
      <c r="T122" s="17" t="s">
        <v>2100</v>
      </c>
      <c r="U122" s="17" t="s">
        <v>2101</v>
      </c>
      <c r="V122" s="17" t="s">
        <v>2102</v>
      </c>
      <c r="W122" s="17" t="s">
        <v>2099</v>
      </c>
      <c r="X122" s="17" t="s">
        <v>78</v>
      </c>
      <c r="Y122" s="17" t="s">
        <v>2103</v>
      </c>
      <c r="Z122" s="17" t="s">
        <v>2104</v>
      </c>
      <c r="AA122" s="20">
        <v>45909</v>
      </c>
      <c r="AB122" s="17" t="s">
        <v>61</v>
      </c>
      <c r="AC122" s="17" t="s">
        <v>2104</v>
      </c>
      <c r="AD122" s="20">
        <v>45887</v>
      </c>
      <c r="AE122" s="17">
        <v>600000</v>
      </c>
      <c r="AF122" s="17">
        <v>200000</v>
      </c>
      <c r="AG122" s="17">
        <v>400000</v>
      </c>
      <c r="AH122" s="17">
        <v>600000</v>
      </c>
      <c r="AI122" s="20">
        <v>46013</v>
      </c>
      <c r="AJ122" s="17">
        <v>200000</v>
      </c>
      <c r="AK122" s="20">
        <v>45958</v>
      </c>
      <c r="AL122" s="17">
        <v>400000</v>
      </c>
      <c r="AM122" s="17"/>
    </row>
    <row r="123" spans="1:39" x14ac:dyDescent="0.3">
      <c r="A123" s="16" t="s">
        <v>2216</v>
      </c>
      <c r="B123" s="17">
        <v>2025</v>
      </c>
      <c r="C123" s="17" t="s">
        <v>2871</v>
      </c>
      <c r="D123" s="17" t="s">
        <v>94</v>
      </c>
      <c r="E123" s="17" t="s">
        <v>1322</v>
      </c>
      <c r="F123" s="18" t="s">
        <v>3256</v>
      </c>
      <c r="G123" s="19">
        <v>82</v>
      </c>
      <c r="H123" s="19" t="s">
        <v>786</v>
      </c>
      <c r="I123" s="20">
        <v>45883</v>
      </c>
      <c r="J123" s="20">
        <v>45883</v>
      </c>
      <c r="K123" s="17"/>
      <c r="L123" s="17" t="s">
        <v>73</v>
      </c>
      <c r="M123" s="17" t="s">
        <v>1322</v>
      </c>
      <c r="N123" s="17" t="s">
        <v>2218</v>
      </c>
      <c r="O123" s="17">
        <v>12</v>
      </c>
      <c r="P123" s="17">
        <v>1548100136</v>
      </c>
      <c r="Q123" s="17" t="s">
        <v>3257</v>
      </c>
      <c r="R123" s="17" t="s">
        <v>2219</v>
      </c>
      <c r="S123" s="17"/>
      <c r="T123" s="17" t="s">
        <v>2220</v>
      </c>
      <c r="U123" s="17" t="s">
        <v>2221</v>
      </c>
      <c r="V123" s="17" t="s">
        <v>2222</v>
      </c>
      <c r="W123" s="17" t="s">
        <v>2223</v>
      </c>
      <c r="X123" s="17" t="s">
        <v>461</v>
      </c>
      <c r="Y123" s="17" t="s">
        <v>2224</v>
      </c>
      <c r="Z123" s="17" t="s">
        <v>2225</v>
      </c>
      <c r="AA123" s="21">
        <v>45910</v>
      </c>
      <c r="AB123" s="17" t="s">
        <v>218</v>
      </c>
      <c r="AC123" s="17" t="s">
        <v>2225</v>
      </c>
      <c r="AD123" s="20">
        <v>45887</v>
      </c>
      <c r="AE123" s="17">
        <v>600000</v>
      </c>
      <c r="AF123" s="17">
        <v>200000</v>
      </c>
      <c r="AG123" s="17">
        <v>400000</v>
      </c>
      <c r="AH123" s="17">
        <v>600000</v>
      </c>
      <c r="AI123" s="20">
        <v>45896</v>
      </c>
      <c r="AJ123" s="17">
        <v>200000</v>
      </c>
      <c r="AK123" s="20">
        <v>45958</v>
      </c>
      <c r="AL123" s="17">
        <v>400000</v>
      </c>
      <c r="AM123" s="17"/>
    </row>
    <row r="124" spans="1:39" x14ac:dyDescent="0.3">
      <c r="A124" s="16" t="s">
        <v>2236</v>
      </c>
      <c r="B124" s="17">
        <v>2025</v>
      </c>
      <c r="C124" s="17" t="s">
        <v>2871</v>
      </c>
      <c r="D124" s="17" t="s">
        <v>94</v>
      </c>
      <c r="E124" s="17" t="s">
        <v>1322</v>
      </c>
      <c r="F124" s="18" t="s">
        <v>3258</v>
      </c>
      <c r="G124" s="19">
        <v>83</v>
      </c>
      <c r="H124" s="19" t="s">
        <v>797</v>
      </c>
      <c r="I124" s="20">
        <v>45883</v>
      </c>
      <c r="J124" s="20">
        <v>45883</v>
      </c>
      <c r="K124" s="17"/>
      <c r="L124" s="17" t="s">
        <v>46</v>
      </c>
      <c r="M124" s="17" t="s">
        <v>1322</v>
      </c>
      <c r="N124" s="17" t="s">
        <v>2238</v>
      </c>
      <c r="O124" s="17">
        <v>23</v>
      </c>
      <c r="P124" s="17">
        <v>3148657560</v>
      </c>
      <c r="Q124" s="17" t="s">
        <v>3259</v>
      </c>
      <c r="R124" s="17" t="s">
        <v>2239</v>
      </c>
      <c r="S124" s="17"/>
      <c r="T124" s="17" t="s">
        <v>2240</v>
      </c>
      <c r="U124" s="17" t="s">
        <v>2241</v>
      </c>
      <c r="V124" s="17" t="s">
        <v>2242</v>
      </c>
      <c r="W124" s="17" t="s">
        <v>2243</v>
      </c>
      <c r="X124" s="17" t="s">
        <v>123</v>
      </c>
      <c r="Y124" s="17" t="s">
        <v>2244</v>
      </c>
      <c r="Z124" s="17" t="s">
        <v>2245</v>
      </c>
      <c r="AA124" s="21">
        <v>45910</v>
      </c>
      <c r="AB124" s="17" t="s">
        <v>218</v>
      </c>
      <c r="AC124" s="17" t="s">
        <v>2245</v>
      </c>
      <c r="AD124" s="20">
        <v>45887</v>
      </c>
      <c r="AE124" s="17">
        <v>750000</v>
      </c>
      <c r="AF124" s="17">
        <v>350000</v>
      </c>
      <c r="AG124" s="17">
        <v>400000</v>
      </c>
      <c r="AH124" s="17">
        <v>750000</v>
      </c>
      <c r="AI124" s="20">
        <v>45946</v>
      </c>
      <c r="AJ124" s="17">
        <v>350000</v>
      </c>
      <c r="AK124" s="20">
        <v>45958</v>
      </c>
      <c r="AL124" s="17">
        <v>400000</v>
      </c>
      <c r="AM124" s="17"/>
    </row>
    <row r="125" spans="1:39" x14ac:dyDescent="0.3">
      <c r="A125" s="16" t="s">
        <v>2226</v>
      </c>
      <c r="B125" s="17">
        <v>2025</v>
      </c>
      <c r="C125" s="17" t="s">
        <v>2871</v>
      </c>
      <c r="D125" s="17" t="s">
        <v>94</v>
      </c>
      <c r="E125" s="17" t="s">
        <v>1322</v>
      </c>
      <c r="F125" s="18" t="s">
        <v>3260</v>
      </c>
      <c r="G125" s="19">
        <v>84</v>
      </c>
      <c r="H125" s="19" t="s">
        <v>808</v>
      </c>
      <c r="I125" s="20">
        <v>45883</v>
      </c>
      <c r="J125" s="20">
        <v>45883</v>
      </c>
      <c r="K125" s="17"/>
      <c r="L125" s="17" t="s">
        <v>218</v>
      </c>
      <c r="M125" s="17" t="s">
        <v>1322</v>
      </c>
      <c r="N125" s="17" t="s">
        <v>2228</v>
      </c>
      <c r="O125" s="17">
        <v>5</v>
      </c>
      <c r="P125" s="17">
        <v>3053178464</v>
      </c>
      <c r="Q125" s="17" t="s">
        <v>3261</v>
      </c>
      <c r="R125" s="17" t="s">
        <v>2229</v>
      </c>
      <c r="S125" s="17"/>
      <c r="T125" s="17" t="s">
        <v>2230</v>
      </c>
      <c r="U125" s="17" t="s">
        <v>2231</v>
      </c>
      <c r="V125" s="17" t="s">
        <v>2232</v>
      </c>
      <c r="W125" s="17" t="s">
        <v>2233</v>
      </c>
      <c r="X125" s="17" t="s">
        <v>78</v>
      </c>
      <c r="Y125" s="17" t="s">
        <v>2234</v>
      </c>
      <c r="Z125" s="17" t="s">
        <v>2235</v>
      </c>
      <c r="AA125" s="21">
        <v>45910</v>
      </c>
      <c r="AB125" s="17" t="s">
        <v>218</v>
      </c>
      <c r="AC125" s="17" t="s">
        <v>2235</v>
      </c>
      <c r="AD125" s="20">
        <v>45887</v>
      </c>
      <c r="AE125" s="17">
        <v>600000</v>
      </c>
      <c r="AF125" s="17">
        <v>200000</v>
      </c>
      <c r="AG125" s="17">
        <v>400000</v>
      </c>
      <c r="AH125" s="17">
        <v>600000</v>
      </c>
      <c r="AI125" s="20">
        <v>45898</v>
      </c>
      <c r="AJ125" s="17">
        <v>200000</v>
      </c>
      <c r="AK125" s="20">
        <v>45958</v>
      </c>
      <c r="AL125" s="17">
        <v>400000</v>
      </c>
      <c r="AM125" s="17"/>
    </row>
    <row r="126" spans="1:39" x14ac:dyDescent="0.3">
      <c r="A126" s="16" t="s">
        <v>2206</v>
      </c>
      <c r="B126" s="17">
        <v>2025</v>
      </c>
      <c r="C126" s="17" t="s">
        <v>2871</v>
      </c>
      <c r="D126" s="17" t="s">
        <v>94</v>
      </c>
      <c r="E126" s="17" t="s">
        <v>1322</v>
      </c>
      <c r="F126" s="18" t="s">
        <v>3262</v>
      </c>
      <c r="G126" s="19">
        <v>85</v>
      </c>
      <c r="H126" s="19" t="s">
        <v>818</v>
      </c>
      <c r="I126" s="20">
        <v>45887</v>
      </c>
      <c r="J126" s="20">
        <v>45887</v>
      </c>
      <c r="K126" s="17"/>
      <c r="L126" s="17" t="s">
        <v>61</v>
      </c>
      <c r="M126" s="17" t="s">
        <v>1322</v>
      </c>
      <c r="N126" s="17" t="s">
        <v>2208</v>
      </c>
      <c r="O126" s="17">
        <v>10</v>
      </c>
      <c r="P126" s="17">
        <v>2788600757</v>
      </c>
      <c r="Q126" s="17" t="s">
        <v>3263</v>
      </c>
      <c r="R126" s="17" t="s">
        <v>2209</v>
      </c>
      <c r="S126" s="17"/>
      <c r="T126" s="17" t="s">
        <v>2210</v>
      </c>
      <c r="U126" s="17" t="s">
        <v>2211</v>
      </c>
      <c r="V126" s="17" t="s">
        <v>2212</v>
      </c>
      <c r="W126" s="17" t="s">
        <v>2213</v>
      </c>
      <c r="X126" s="17"/>
      <c r="Y126" s="17" t="s">
        <v>2214</v>
      </c>
      <c r="Z126" s="17" t="s">
        <v>2215</v>
      </c>
      <c r="AA126" s="20">
        <v>45916</v>
      </c>
      <c r="AB126" s="17" t="s">
        <v>181</v>
      </c>
      <c r="AC126" s="17" t="s">
        <v>2215</v>
      </c>
      <c r="AD126" s="20">
        <v>45888</v>
      </c>
      <c r="AE126" s="17">
        <v>600000</v>
      </c>
      <c r="AF126" s="17">
        <v>200000</v>
      </c>
      <c r="AG126" s="17">
        <v>400000</v>
      </c>
      <c r="AH126" s="17">
        <v>600000</v>
      </c>
      <c r="AI126" s="20">
        <v>45919</v>
      </c>
      <c r="AJ126" s="17">
        <v>200000</v>
      </c>
      <c r="AK126" s="20">
        <v>45958</v>
      </c>
      <c r="AL126" s="17">
        <v>400000</v>
      </c>
      <c r="AM126" s="17"/>
    </row>
    <row r="127" spans="1:39" x14ac:dyDescent="0.3">
      <c r="A127" s="16" t="s">
        <v>2187</v>
      </c>
      <c r="B127" s="17">
        <v>2025</v>
      </c>
      <c r="C127" s="17" t="s">
        <v>2871</v>
      </c>
      <c r="D127" s="17" t="s">
        <v>94</v>
      </c>
      <c r="E127" s="17" t="s">
        <v>1322</v>
      </c>
      <c r="F127" s="18" t="s">
        <v>3264</v>
      </c>
      <c r="G127" s="19">
        <v>86</v>
      </c>
      <c r="H127" s="19" t="s">
        <v>828</v>
      </c>
      <c r="I127" s="20">
        <v>45887</v>
      </c>
      <c r="J127" s="20">
        <v>45887</v>
      </c>
      <c r="K127" s="17"/>
      <c r="L127" s="17" t="s">
        <v>97</v>
      </c>
      <c r="M127" s="17" t="s">
        <v>1322</v>
      </c>
      <c r="N127" s="17" t="s">
        <v>2189</v>
      </c>
      <c r="O127" s="17">
        <v>11</v>
      </c>
      <c r="P127" s="17">
        <v>7328702839</v>
      </c>
      <c r="Q127" s="17" t="s">
        <v>3265</v>
      </c>
      <c r="R127" s="17" t="s">
        <v>2190</v>
      </c>
      <c r="S127" s="17"/>
      <c r="T127" s="17" t="s">
        <v>2191</v>
      </c>
      <c r="U127" s="17" t="s">
        <v>2192</v>
      </c>
      <c r="V127" s="17" t="s">
        <v>2193</v>
      </c>
      <c r="W127" s="17" t="s">
        <v>2194</v>
      </c>
      <c r="X127" s="17" t="s">
        <v>2159</v>
      </c>
      <c r="Y127" s="17" t="s">
        <v>2195</v>
      </c>
      <c r="Z127" s="17" t="s">
        <v>2196</v>
      </c>
      <c r="AA127" s="20">
        <v>45916</v>
      </c>
      <c r="AB127" s="17" t="s">
        <v>181</v>
      </c>
      <c r="AC127" s="17" t="s">
        <v>2196</v>
      </c>
      <c r="AD127" s="20">
        <v>45888</v>
      </c>
      <c r="AE127" s="17">
        <v>600000</v>
      </c>
      <c r="AF127" s="17">
        <v>200000</v>
      </c>
      <c r="AG127" s="17">
        <v>400000</v>
      </c>
      <c r="AH127" s="17">
        <v>600000</v>
      </c>
      <c r="AI127" s="20">
        <v>45891</v>
      </c>
      <c r="AJ127" s="17">
        <v>200000</v>
      </c>
      <c r="AK127" s="20">
        <v>45958</v>
      </c>
      <c r="AL127" s="17">
        <v>400000</v>
      </c>
      <c r="AM127" s="17"/>
    </row>
    <row r="128" spans="1:39" x14ac:dyDescent="0.3">
      <c r="A128" s="16" t="s">
        <v>2197</v>
      </c>
      <c r="B128" s="17">
        <v>2025</v>
      </c>
      <c r="C128" s="17" t="s">
        <v>2871</v>
      </c>
      <c r="D128" s="17" t="s">
        <v>94</v>
      </c>
      <c r="E128" s="17" t="s">
        <v>1322</v>
      </c>
      <c r="F128" s="18" t="s">
        <v>3266</v>
      </c>
      <c r="G128" s="19">
        <v>87</v>
      </c>
      <c r="H128" s="19" t="s">
        <v>839</v>
      </c>
      <c r="I128" s="20">
        <v>45887</v>
      </c>
      <c r="J128" s="20">
        <v>45887</v>
      </c>
      <c r="K128" s="17"/>
      <c r="L128" s="17" t="s">
        <v>181</v>
      </c>
      <c r="M128" s="17" t="s">
        <v>1322</v>
      </c>
      <c r="N128" s="17" t="s">
        <v>3267</v>
      </c>
      <c r="O128" s="17">
        <v>18</v>
      </c>
      <c r="P128" s="17">
        <v>4798100976</v>
      </c>
      <c r="Q128" s="17" t="s">
        <v>3268</v>
      </c>
      <c r="R128" s="17" t="s">
        <v>2200</v>
      </c>
      <c r="S128" s="17"/>
      <c r="T128" s="17" t="s">
        <v>2201</v>
      </c>
      <c r="U128" s="17" t="s">
        <v>2202</v>
      </c>
      <c r="V128" s="17" t="s">
        <v>2203</v>
      </c>
      <c r="W128" s="17" t="s">
        <v>2200</v>
      </c>
      <c r="X128" s="17" t="s">
        <v>78</v>
      </c>
      <c r="Y128" s="17" t="s">
        <v>2204</v>
      </c>
      <c r="Z128" s="17" t="s">
        <v>2205</v>
      </c>
      <c r="AA128" s="20">
        <v>45916</v>
      </c>
      <c r="AB128" s="17" t="s">
        <v>181</v>
      </c>
      <c r="AC128" s="17" t="s">
        <v>2205</v>
      </c>
      <c r="AD128" s="20">
        <v>45888</v>
      </c>
      <c r="AE128" s="17">
        <v>600000</v>
      </c>
      <c r="AF128" s="17">
        <v>200000</v>
      </c>
      <c r="AG128" s="17">
        <v>400000</v>
      </c>
      <c r="AH128" s="17">
        <v>600000</v>
      </c>
      <c r="AI128" s="20">
        <v>45889</v>
      </c>
      <c r="AJ128" s="17">
        <v>200000</v>
      </c>
      <c r="AK128" s="20">
        <v>45958</v>
      </c>
      <c r="AL128" s="17">
        <v>400000</v>
      </c>
      <c r="AM128" s="17"/>
    </row>
    <row r="129" spans="1:39" x14ac:dyDescent="0.3">
      <c r="A129" s="16" t="s">
        <v>2304</v>
      </c>
      <c r="B129" s="17">
        <v>2025</v>
      </c>
      <c r="C129" s="17" t="s">
        <v>2871</v>
      </c>
      <c r="D129" s="17" t="s">
        <v>94</v>
      </c>
      <c r="E129" s="17" t="s">
        <v>1322</v>
      </c>
      <c r="F129" s="18" t="s">
        <v>3269</v>
      </c>
      <c r="G129" s="19">
        <v>88</v>
      </c>
      <c r="H129" s="19" t="s">
        <v>851</v>
      </c>
      <c r="I129" s="20">
        <v>45887</v>
      </c>
      <c r="J129" s="20">
        <v>45887</v>
      </c>
      <c r="K129" s="17"/>
      <c r="L129" s="17" t="s">
        <v>73</v>
      </c>
      <c r="M129" s="17" t="s">
        <v>1322</v>
      </c>
      <c r="N129" s="17" t="s">
        <v>3270</v>
      </c>
      <c r="O129" s="17">
        <v>12</v>
      </c>
      <c r="P129" s="17">
        <v>5248800426</v>
      </c>
      <c r="Q129" s="17" t="s">
        <v>3271</v>
      </c>
      <c r="R129" s="17" t="s">
        <v>2307</v>
      </c>
      <c r="S129" s="17"/>
      <c r="T129" s="17" t="s">
        <v>2308</v>
      </c>
      <c r="U129" s="17" t="s">
        <v>2309</v>
      </c>
      <c r="V129" s="17" t="s">
        <v>2310</v>
      </c>
      <c r="W129" s="17" t="s">
        <v>2307</v>
      </c>
      <c r="X129" s="17" t="s">
        <v>78</v>
      </c>
      <c r="Y129" s="17" t="s">
        <v>2311</v>
      </c>
      <c r="Z129" s="17" t="s">
        <v>2312</v>
      </c>
      <c r="AA129" s="20">
        <v>45915</v>
      </c>
      <c r="AB129" s="17" t="s">
        <v>73</v>
      </c>
      <c r="AC129" s="17" t="s">
        <v>2312</v>
      </c>
      <c r="AD129" s="20">
        <v>45888</v>
      </c>
      <c r="AE129" s="17">
        <v>600000</v>
      </c>
      <c r="AF129" s="17">
        <v>200000</v>
      </c>
      <c r="AG129" s="17">
        <v>400000</v>
      </c>
      <c r="AH129" s="17">
        <v>600000</v>
      </c>
      <c r="AI129" s="20">
        <v>45888</v>
      </c>
      <c r="AJ129" s="17">
        <v>200000</v>
      </c>
      <c r="AK129" s="20">
        <v>45958</v>
      </c>
      <c r="AL129" s="17">
        <v>400000</v>
      </c>
      <c r="AM129" s="17" t="s">
        <v>3272</v>
      </c>
    </row>
    <row r="130" spans="1:39" x14ac:dyDescent="0.3">
      <c r="A130" s="17" t="s">
        <v>2313</v>
      </c>
      <c r="B130" s="17">
        <v>2025</v>
      </c>
      <c r="C130" s="17" t="s">
        <v>2871</v>
      </c>
      <c r="D130" s="17" t="s">
        <v>94</v>
      </c>
      <c r="E130" s="17" t="s">
        <v>1322</v>
      </c>
      <c r="F130" s="17" t="s">
        <v>3273</v>
      </c>
      <c r="G130" s="19">
        <v>89</v>
      </c>
      <c r="H130" s="19" t="s">
        <v>862</v>
      </c>
      <c r="I130" s="20">
        <v>45887</v>
      </c>
      <c r="J130" s="20">
        <v>45887</v>
      </c>
      <c r="K130" s="17"/>
      <c r="L130" s="17" t="s">
        <v>46</v>
      </c>
      <c r="M130" s="17" t="s">
        <v>1322</v>
      </c>
      <c r="N130" s="17" t="s">
        <v>2316</v>
      </c>
      <c r="O130" s="17">
        <v>5</v>
      </c>
      <c r="P130" s="17">
        <v>5263700094</v>
      </c>
      <c r="Q130" s="17" t="s">
        <v>3274</v>
      </c>
      <c r="R130" s="17" t="s">
        <v>2317</v>
      </c>
      <c r="S130" s="17"/>
      <c r="T130" s="17" t="s">
        <v>2318</v>
      </c>
      <c r="U130" s="17" t="s">
        <v>2319</v>
      </c>
      <c r="V130" s="17" t="s">
        <v>2320</v>
      </c>
      <c r="W130" s="17" t="s">
        <v>2321</v>
      </c>
      <c r="X130" s="17" t="s">
        <v>112</v>
      </c>
      <c r="Y130" s="17" t="s">
        <v>2322</v>
      </c>
      <c r="Z130" s="17" t="s">
        <v>2323</v>
      </c>
      <c r="AA130" s="21">
        <v>45915</v>
      </c>
      <c r="AB130" s="17" t="s">
        <v>73</v>
      </c>
      <c r="AC130" s="17" t="s">
        <v>2323</v>
      </c>
      <c r="AD130" s="21">
        <v>45888</v>
      </c>
      <c r="AE130" s="17">
        <v>600000</v>
      </c>
      <c r="AF130" s="17">
        <v>200000</v>
      </c>
      <c r="AG130" s="17">
        <v>400000</v>
      </c>
      <c r="AH130" s="17">
        <v>600000</v>
      </c>
      <c r="AI130" s="21">
        <v>45925</v>
      </c>
      <c r="AJ130" s="17">
        <v>200000</v>
      </c>
      <c r="AK130" s="20">
        <v>45958</v>
      </c>
      <c r="AL130" s="17">
        <v>400000</v>
      </c>
      <c r="AM130" s="17" t="s">
        <v>3275</v>
      </c>
    </row>
    <row r="131" spans="1:39" x14ac:dyDescent="0.3">
      <c r="A131" s="17" t="s">
        <v>2466</v>
      </c>
      <c r="B131" s="17">
        <v>2025</v>
      </c>
      <c r="C131" s="17" t="s">
        <v>2871</v>
      </c>
      <c r="D131" s="17" t="s">
        <v>94</v>
      </c>
      <c r="E131" s="17" t="s">
        <v>1322</v>
      </c>
      <c r="F131" s="17" t="s">
        <v>3276</v>
      </c>
      <c r="G131" s="19">
        <v>90</v>
      </c>
      <c r="H131" s="19" t="s">
        <v>870</v>
      </c>
      <c r="I131" s="20">
        <v>45887</v>
      </c>
      <c r="J131" s="20">
        <v>45887</v>
      </c>
      <c r="K131" s="17"/>
      <c r="L131" s="17" t="s">
        <v>218</v>
      </c>
      <c r="M131" s="17" t="s">
        <v>1322</v>
      </c>
      <c r="N131" s="17" t="s">
        <v>2468</v>
      </c>
      <c r="O131" s="17">
        <v>7</v>
      </c>
      <c r="P131" s="17">
        <v>3148155534</v>
      </c>
      <c r="Q131" s="17" t="s">
        <v>3277</v>
      </c>
      <c r="R131" s="17" t="s">
        <v>2469</v>
      </c>
      <c r="S131" s="17"/>
      <c r="T131" s="17" t="s">
        <v>2470</v>
      </c>
      <c r="U131" s="17" t="s">
        <v>2471</v>
      </c>
      <c r="V131" s="17" t="s">
        <v>2472</v>
      </c>
      <c r="W131" s="17" t="s">
        <v>2473</v>
      </c>
      <c r="X131" s="17" t="s">
        <v>78</v>
      </c>
      <c r="Y131" s="17" t="s">
        <v>2474</v>
      </c>
      <c r="Z131" s="17" t="s">
        <v>2475</v>
      </c>
      <c r="AA131" s="21">
        <v>45915</v>
      </c>
      <c r="AB131" s="17" t="s">
        <v>73</v>
      </c>
      <c r="AC131" s="17" t="s">
        <v>2475</v>
      </c>
      <c r="AD131" s="21">
        <v>45888</v>
      </c>
      <c r="AE131" s="17">
        <v>600000</v>
      </c>
      <c r="AF131" s="17">
        <v>200000</v>
      </c>
      <c r="AG131" s="17">
        <v>400000</v>
      </c>
      <c r="AH131" s="17">
        <v>600000</v>
      </c>
      <c r="AI131" s="21">
        <v>45895</v>
      </c>
      <c r="AJ131" s="17">
        <v>200000</v>
      </c>
      <c r="AK131" s="20">
        <v>45958</v>
      </c>
      <c r="AL131" s="17">
        <v>400000</v>
      </c>
      <c r="AM131" s="17"/>
    </row>
    <row r="132" spans="1:39" x14ac:dyDescent="0.3">
      <c r="A132" s="17" t="s">
        <v>2381</v>
      </c>
      <c r="B132" s="17">
        <v>2025</v>
      </c>
      <c r="C132" s="17" t="s">
        <v>2871</v>
      </c>
      <c r="D132" s="17" t="s">
        <v>94</v>
      </c>
      <c r="E132" s="17" t="s">
        <v>1322</v>
      </c>
      <c r="F132" s="17" t="s">
        <v>3278</v>
      </c>
      <c r="G132" s="19">
        <v>91</v>
      </c>
      <c r="H132" s="19" t="s">
        <v>889</v>
      </c>
      <c r="I132" s="20">
        <v>45888</v>
      </c>
      <c r="J132" s="20">
        <v>45888</v>
      </c>
      <c r="K132" s="17"/>
      <c r="L132" s="17" t="s">
        <v>97</v>
      </c>
      <c r="M132" s="17" t="s">
        <v>1322</v>
      </c>
      <c r="N132" s="17" t="s">
        <v>2383</v>
      </c>
      <c r="O132" s="17">
        <v>11</v>
      </c>
      <c r="P132" s="17">
        <v>3030524866</v>
      </c>
      <c r="Q132" s="17" t="s">
        <v>3279</v>
      </c>
      <c r="R132" s="17" t="s">
        <v>2384</v>
      </c>
      <c r="S132" s="17"/>
      <c r="T132" s="17" t="s">
        <v>2385</v>
      </c>
      <c r="U132" s="17" t="s">
        <v>2386</v>
      </c>
      <c r="V132" s="17" t="s">
        <v>2387</v>
      </c>
      <c r="W132" s="17" t="s">
        <v>2384</v>
      </c>
      <c r="X132" s="17" t="s">
        <v>78</v>
      </c>
      <c r="Y132" s="17" t="s">
        <v>2388</v>
      </c>
      <c r="Z132" s="17" t="s">
        <v>2389</v>
      </c>
      <c r="AA132" s="21"/>
      <c r="AB132" s="17"/>
      <c r="AC132" s="17" t="s">
        <v>2389</v>
      </c>
      <c r="AD132" s="21">
        <v>45889</v>
      </c>
      <c r="AE132" s="17">
        <v>600000</v>
      </c>
      <c r="AF132" s="17">
        <v>200000</v>
      </c>
      <c r="AG132" s="17">
        <v>400000</v>
      </c>
      <c r="AH132" s="17">
        <v>600000</v>
      </c>
      <c r="AI132" s="21">
        <v>45965</v>
      </c>
      <c r="AJ132" s="17">
        <v>200000</v>
      </c>
      <c r="AK132" s="20">
        <v>45958</v>
      </c>
      <c r="AL132" s="17">
        <v>400000</v>
      </c>
      <c r="AM132" s="17"/>
    </row>
    <row r="133" spans="1:39" x14ac:dyDescent="0.3">
      <c r="A133" s="17" t="s">
        <v>2390</v>
      </c>
      <c r="B133" s="17">
        <v>2025</v>
      </c>
      <c r="C133" s="17" t="s">
        <v>2871</v>
      </c>
      <c r="D133" s="17" t="s">
        <v>94</v>
      </c>
      <c r="E133" s="17" t="s">
        <v>1322</v>
      </c>
      <c r="F133" s="17" t="s">
        <v>3280</v>
      </c>
      <c r="G133" s="19">
        <v>92</v>
      </c>
      <c r="H133" s="19" t="s">
        <v>908</v>
      </c>
      <c r="I133" s="20">
        <v>45888</v>
      </c>
      <c r="J133" s="20">
        <v>45888</v>
      </c>
      <c r="K133" s="17"/>
      <c r="L133" s="17" t="s">
        <v>218</v>
      </c>
      <c r="M133" s="17" t="s">
        <v>1322</v>
      </c>
      <c r="N133" s="17" t="s">
        <v>2392</v>
      </c>
      <c r="O133" s="17">
        <v>5</v>
      </c>
      <c r="P133" s="17">
        <v>1022667006</v>
      </c>
      <c r="Q133" s="17" t="s">
        <v>3281</v>
      </c>
      <c r="R133" s="17" t="s">
        <v>2393</v>
      </c>
      <c r="S133" s="17"/>
      <c r="T133" s="17" t="s">
        <v>2394</v>
      </c>
      <c r="U133" s="17" t="s">
        <v>2395</v>
      </c>
      <c r="V133" s="17" t="s">
        <v>2396</v>
      </c>
      <c r="W133" s="17" t="s">
        <v>2393</v>
      </c>
      <c r="X133" s="17" t="s">
        <v>78</v>
      </c>
      <c r="Y133" s="17" t="s">
        <v>2397</v>
      </c>
      <c r="Z133" s="17" t="s">
        <v>2398</v>
      </c>
      <c r="AA133" s="21"/>
      <c r="AB133" s="17"/>
      <c r="AC133" s="17" t="s">
        <v>2398</v>
      </c>
      <c r="AD133" s="21">
        <v>45889</v>
      </c>
      <c r="AE133" s="17">
        <v>600000</v>
      </c>
      <c r="AF133" s="17">
        <v>200000</v>
      </c>
      <c r="AG133" s="17">
        <v>400000</v>
      </c>
      <c r="AH133" s="17">
        <v>600000</v>
      </c>
      <c r="AI133" s="21">
        <v>46009</v>
      </c>
      <c r="AJ133" s="17">
        <v>200000</v>
      </c>
      <c r="AK133" s="20">
        <v>45958</v>
      </c>
      <c r="AL133" s="17">
        <v>400000</v>
      </c>
      <c r="AM133" s="17"/>
    </row>
    <row r="134" spans="1:39" x14ac:dyDescent="0.3">
      <c r="A134" s="17" t="s">
        <v>2399</v>
      </c>
      <c r="B134" s="17">
        <v>2025</v>
      </c>
      <c r="C134" s="17" t="s">
        <v>2871</v>
      </c>
      <c r="D134" s="17" t="s">
        <v>94</v>
      </c>
      <c r="E134" s="17" t="s">
        <v>1322</v>
      </c>
      <c r="F134" s="17" t="s">
        <v>3282</v>
      </c>
      <c r="G134" s="19">
        <v>93</v>
      </c>
      <c r="H134" s="19" t="s">
        <v>918</v>
      </c>
      <c r="I134" s="20">
        <v>45888</v>
      </c>
      <c r="J134" s="20">
        <v>45888</v>
      </c>
      <c r="K134" s="17"/>
      <c r="L134" s="17" t="s">
        <v>181</v>
      </c>
      <c r="M134" s="17" t="s">
        <v>1322</v>
      </c>
      <c r="N134" s="17" t="s">
        <v>2401</v>
      </c>
      <c r="O134" s="17">
        <v>12</v>
      </c>
      <c r="P134" s="17">
        <v>3064776723</v>
      </c>
      <c r="Q134" s="17" t="s">
        <v>3283</v>
      </c>
      <c r="R134" s="17" t="s">
        <v>2402</v>
      </c>
      <c r="S134" s="17"/>
      <c r="T134" s="17" t="s">
        <v>2403</v>
      </c>
      <c r="U134" s="17" t="s">
        <v>2404</v>
      </c>
      <c r="V134" s="17" t="s">
        <v>2405</v>
      </c>
      <c r="W134" s="17" t="s">
        <v>2406</v>
      </c>
      <c r="X134" s="17" t="s">
        <v>2407</v>
      </c>
      <c r="Y134" s="17" t="s">
        <v>2408</v>
      </c>
      <c r="Z134" s="17" t="s">
        <v>2409</v>
      </c>
      <c r="AA134" s="21"/>
      <c r="AB134" s="17"/>
      <c r="AC134" s="17" t="s">
        <v>2410</v>
      </c>
      <c r="AD134" s="21">
        <v>45889</v>
      </c>
      <c r="AE134" s="17">
        <v>600000</v>
      </c>
      <c r="AF134" s="17">
        <v>200000</v>
      </c>
      <c r="AG134" s="17">
        <v>400000</v>
      </c>
      <c r="AH134" s="17">
        <v>600000</v>
      </c>
      <c r="AI134" s="21">
        <v>45915</v>
      </c>
      <c r="AJ134" s="17">
        <v>200000</v>
      </c>
      <c r="AK134" s="20">
        <v>45958</v>
      </c>
      <c r="AL134" s="17">
        <v>400000</v>
      </c>
      <c r="AM134" s="17"/>
    </row>
    <row r="135" spans="1:39" x14ac:dyDescent="0.3">
      <c r="A135" s="17" t="s">
        <v>2456</v>
      </c>
      <c r="B135" s="17">
        <v>2025</v>
      </c>
      <c r="C135" s="17" t="s">
        <v>2871</v>
      </c>
      <c r="D135" s="17" t="s">
        <v>94</v>
      </c>
      <c r="E135" s="17" t="s">
        <v>1322</v>
      </c>
      <c r="F135" s="17" t="s">
        <v>3284</v>
      </c>
      <c r="G135" s="19">
        <v>94</v>
      </c>
      <c r="H135" s="19" t="s">
        <v>929</v>
      </c>
      <c r="I135" s="20">
        <v>45888</v>
      </c>
      <c r="J135" s="20">
        <v>45888</v>
      </c>
      <c r="K135" s="17"/>
      <c r="L135" s="17" t="s">
        <v>73</v>
      </c>
      <c r="M135" s="17" t="s">
        <v>1322</v>
      </c>
      <c r="N135" s="17" t="s">
        <v>2458</v>
      </c>
      <c r="O135" s="17">
        <v>14</v>
      </c>
      <c r="P135" s="17">
        <v>3148190491</v>
      </c>
      <c r="Q135" s="17" t="s">
        <v>3285</v>
      </c>
      <c r="R135" s="17" t="s">
        <v>2459</v>
      </c>
      <c r="S135" s="17"/>
      <c r="T135" s="17" t="s">
        <v>2460</v>
      </c>
      <c r="U135" s="17" t="s">
        <v>2461</v>
      </c>
      <c r="V135" s="17" t="s">
        <v>2462</v>
      </c>
      <c r="W135" s="17" t="s">
        <v>2463</v>
      </c>
      <c r="X135" s="17" t="s">
        <v>461</v>
      </c>
      <c r="Y135" s="17" t="s">
        <v>2464</v>
      </c>
      <c r="Z135" s="17" t="s">
        <v>2465</v>
      </c>
      <c r="AA135" s="21">
        <v>45915</v>
      </c>
      <c r="AB135" s="17" t="s">
        <v>73</v>
      </c>
      <c r="AC135" s="17" t="s">
        <v>2465</v>
      </c>
      <c r="AD135" s="21">
        <v>45889</v>
      </c>
      <c r="AE135" s="17">
        <v>600000</v>
      </c>
      <c r="AF135" s="17">
        <v>200000</v>
      </c>
      <c r="AG135" s="17">
        <v>400000</v>
      </c>
      <c r="AH135" s="17">
        <v>600000</v>
      </c>
      <c r="AI135" s="21">
        <v>45915</v>
      </c>
      <c r="AJ135" s="17">
        <v>200000</v>
      </c>
      <c r="AK135" s="20">
        <v>45958</v>
      </c>
      <c r="AL135" s="17">
        <v>400000</v>
      </c>
      <c r="AM135" s="17"/>
    </row>
    <row r="136" spans="1:39" x14ac:dyDescent="0.3">
      <c r="A136" s="17" t="s">
        <v>2542</v>
      </c>
      <c r="B136" s="17">
        <v>2025</v>
      </c>
      <c r="C136" s="17" t="s">
        <v>2871</v>
      </c>
      <c r="D136" s="17" t="s">
        <v>94</v>
      </c>
      <c r="E136" s="17" t="s">
        <v>1322</v>
      </c>
      <c r="F136" s="17" t="s">
        <v>3286</v>
      </c>
      <c r="G136" s="19">
        <v>95</v>
      </c>
      <c r="H136" s="19" t="s">
        <v>2315</v>
      </c>
      <c r="I136" s="20">
        <v>45888</v>
      </c>
      <c r="J136" s="20">
        <v>45888</v>
      </c>
      <c r="K136" s="17"/>
      <c r="L136" s="17" t="s">
        <v>46</v>
      </c>
      <c r="M136" s="17" t="s">
        <v>1322</v>
      </c>
      <c r="N136" s="17" t="s">
        <v>2544</v>
      </c>
      <c r="O136" s="17">
        <v>6</v>
      </c>
      <c r="P136" s="17">
        <v>4717000073</v>
      </c>
      <c r="Q136" s="17" t="s">
        <v>3287</v>
      </c>
      <c r="R136" s="17" t="s">
        <v>2545</v>
      </c>
      <c r="S136" s="17"/>
      <c r="T136" s="17" t="s">
        <v>2546</v>
      </c>
      <c r="U136" s="17" t="s">
        <v>2547</v>
      </c>
      <c r="V136" s="17" t="s">
        <v>2548</v>
      </c>
      <c r="W136" s="17" t="s">
        <v>2549</v>
      </c>
      <c r="X136" s="17" t="s">
        <v>2159</v>
      </c>
      <c r="Y136" s="17" t="s">
        <v>2550</v>
      </c>
      <c r="Z136" s="17" t="s">
        <v>2551</v>
      </c>
      <c r="AA136" s="21">
        <v>45915</v>
      </c>
      <c r="AB136" s="17" t="s">
        <v>73</v>
      </c>
      <c r="AC136" s="17" t="s">
        <v>2551</v>
      </c>
      <c r="AD136" s="21">
        <v>45889</v>
      </c>
      <c r="AE136" s="17">
        <v>600000</v>
      </c>
      <c r="AF136" s="17">
        <v>200000</v>
      </c>
      <c r="AG136" s="17">
        <v>400000</v>
      </c>
      <c r="AH136" s="17">
        <v>600000</v>
      </c>
      <c r="AI136" s="21">
        <v>45919</v>
      </c>
      <c r="AJ136" s="17">
        <v>200000</v>
      </c>
      <c r="AK136" s="20">
        <v>45958</v>
      </c>
      <c r="AL136" s="17">
        <v>400000</v>
      </c>
      <c r="AM136" s="17"/>
    </row>
    <row r="137" spans="1:39" x14ac:dyDescent="0.3">
      <c r="A137" s="17" t="s">
        <v>2522</v>
      </c>
      <c r="B137" s="17">
        <v>2025</v>
      </c>
      <c r="C137" s="17" t="s">
        <v>2871</v>
      </c>
      <c r="D137" s="17" t="s">
        <v>94</v>
      </c>
      <c r="E137" s="17" t="s">
        <v>1322</v>
      </c>
      <c r="F137" s="17" t="s">
        <v>3288</v>
      </c>
      <c r="G137" s="19">
        <v>96</v>
      </c>
      <c r="H137" s="19" t="s">
        <v>951</v>
      </c>
      <c r="I137" s="20">
        <v>45889</v>
      </c>
      <c r="J137" s="20">
        <v>45889</v>
      </c>
      <c r="K137" s="17"/>
      <c r="L137" s="17" t="s">
        <v>61</v>
      </c>
      <c r="M137" s="17" t="s">
        <v>1322</v>
      </c>
      <c r="N137" s="17" t="s">
        <v>2524</v>
      </c>
      <c r="O137" s="17">
        <v>5</v>
      </c>
      <c r="P137" s="17">
        <v>3140319409</v>
      </c>
      <c r="Q137" s="17" t="s">
        <v>3289</v>
      </c>
      <c r="R137" s="17" t="s">
        <v>2525</v>
      </c>
      <c r="S137" s="17"/>
      <c r="T137" s="17" t="s">
        <v>2526</v>
      </c>
      <c r="U137" s="17" t="s">
        <v>2527</v>
      </c>
      <c r="V137" s="17" t="s">
        <v>2528</v>
      </c>
      <c r="W137" s="17" t="s">
        <v>2529</v>
      </c>
      <c r="X137" s="17" t="s">
        <v>134</v>
      </c>
      <c r="Y137" s="17" t="s">
        <v>2530</v>
      </c>
      <c r="Z137" s="17" t="s">
        <v>2531</v>
      </c>
      <c r="AA137" s="21"/>
      <c r="AB137" s="17"/>
      <c r="AC137" s="17" t="s">
        <v>2531</v>
      </c>
      <c r="AD137" s="21">
        <v>45890</v>
      </c>
      <c r="AE137" s="17">
        <v>600000</v>
      </c>
      <c r="AF137" s="17">
        <v>200000</v>
      </c>
      <c r="AG137" s="17">
        <v>400000</v>
      </c>
      <c r="AH137" s="17">
        <v>600000</v>
      </c>
      <c r="AI137" s="21">
        <v>46007</v>
      </c>
      <c r="AJ137" s="17">
        <v>200000</v>
      </c>
      <c r="AK137" s="20">
        <v>45958</v>
      </c>
      <c r="AL137" s="17">
        <v>400000</v>
      </c>
      <c r="AM137" s="17"/>
    </row>
    <row r="138" spans="1:39" x14ac:dyDescent="0.3">
      <c r="A138" s="17" t="s">
        <v>2256</v>
      </c>
      <c r="B138" s="17">
        <v>2025</v>
      </c>
      <c r="C138" s="17" t="s">
        <v>2871</v>
      </c>
      <c r="D138" s="17" t="s">
        <v>94</v>
      </c>
      <c r="E138" s="17" t="s">
        <v>1322</v>
      </c>
      <c r="F138" s="17" t="s">
        <v>3290</v>
      </c>
      <c r="G138" s="19">
        <v>97</v>
      </c>
      <c r="H138" s="19" t="s">
        <v>951</v>
      </c>
      <c r="I138" s="20">
        <v>45889</v>
      </c>
      <c r="J138" s="20">
        <v>45889</v>
      </c>
      <c r="K138" s="17"/>
      <c r="L138" s="17" t="s">
        <v>97</v>
      </c>
      <c r="M138" s="17" t="s">
        <v>1322</v>
      </c>
      <c r="N138" s="17" t="s">
        <v>2258</v>
      </c>
      <c r="O138" s="17">
        <v>4</v>
      </c>
      <c r="P138" s="17">
        <v>2212564297</v>
      </c>
      <c r="Q138" s="17">
        <v>22125642970</v>
      </c>
      <c r="R138" s="17" t="s">
        <v>3291</v>
      </c>
      <c r="S138" s="17"/>
      <c r="T138" s="17" t="s">
        <v>2260</v>
      </c>
      <c r="U138" s="17" t="s">
        <v>3292</v>
      </c>
      <c r="V138" s="17" t="s">
        <v>2262</v>
      </c>
      <c r="W138" s="17" t="s">
        <v>3291</v>
      </c>
      <c r="X138" s="17" t="s">
        <v>78</v>
      </c>
      <c r="Y138" s="17" t="s">
        <v>2263</v>
      </c>
      <c r="Z138" s="17" t="s">
        <v>2264</v>
      </c>
      <c r="AA138" s="21"/>
      <c r="AB138" s="17"/>
      <c r="AC138" s="17" t="s">
        <v>2264</v>
      </c>
      <c r="AD138" s="21">
        <v>45890</v>
      </c>
      <c r="AE138" s="17">
        <v>600000</v>
      </c>
      <c r="AF138" s="17">
        <v>200000</v>
      </c>
      <c r="AG138" s="17">
        <v>400000</v>
      </c>
      <c r="AH138" s="17">
        <v>600000</v>
      </c>
      <c r="AI138" s="21">
        <v>46010</v>
      </c>
      <c r="AJ138" s="17">
        <v>200000</v>
      </c>
      <c r="AK138" s="20">
        <v>45958</v>
      </c>
      <c r="AL138" s="17">
        <v>400000</v>
      </c>
      <c r="AM138" s="17"/>
    </row>
    <row r="139" spans="1:39" x14ac:dyDescent="0.3">
      <c r="A139" s="17" t="s">
        <v>2485</v>
      </c>
      <c r="B139" s="17">
        <v>2025</v>
      </c>
      <c r="C139" s="17" t="s">
        <v>2871</v>
      </c>
      <c r="D139" s="17" t="s">
        <v>94</v>
      </c>
      <c r="E139" s="17" t="s">
        <v>1322</v>
      </c>
      <c r="F139" s="17" t="s">
        <v>3293</v>
      </c>
      <c r="G139" s="19">
        <v>98</v>
      </c>
      <c r="H139" s="19" t="s">
        <v>951</v>
      </c>
      <c r="I139" s="20">
        <v>45889</v>
      </c>
      <c r="J139" s="20">
        <v>45889</v>
      </c>
      <c r="K139" s="17"/>
      <c r="L139" s="17" t="s">
        <v>181</v>
      </c>
      <c r="M139" s="17" t="s">
        <v>1322</v>
      </c>
      <c r="N139" s="17" t="s">
        <v>2487</v>
      </c>
      <c r="O139" s="17">
        <v>3</v>
      </c>
      <c r="P139" s="17">
        <v>3060322733</v>
      </c>
      <c r="Q139" s="17" t="s">
        <v>3294</v>
      </c>
      <c r="R139" s="17" t="s">
        <v>2488</v>
      </c>
      <c r="S139" s="17"/>
      <c r="T139" s="17" t="s">
        <v>2489</v>
      </c>
      <c r="U139" s="17" t="s">
        <v>2490</v>
      </c>
      <c r="V139" s="17" t="s">
        <v>2491</v>
      </c>
      <c r="W139" s="17" t="s">
        <v>2488</v>
      </c>
      <c r="X139" s="17" t="s">
        <v>78</v>
      </c>
      <c r="Y139" s="17" t="s">
        <v>2492</v>
      </c>
      <c r="Z139" s="17" t="s">
        <v>2493</v>
      </c>
      <c r="AA139" s="21"/>
      <c r="AB139" s="17"/>
      <c r="AC139" s="17" t="s">
        <v>2493</v>
      </c>
      <c r="AD139" s="21">
        <v>45890</v>
      </c>
      <c r="AE139" s="17">
        <v>600000</v>
      </c>
      <c r="AF139" s="17">
        <v>200000</v>
      </c>
      <c r="AG139" s="17">
        <v>400000</v>
      </c>
      <c r="AH139" s="17">
        <v>400000</v>
      </c>
      <c r="AI139" s="21"/>
      <c r="AJ139" s="17">
        <v>0</v>
      </c>
      <c r="AK139" s="20">
        <v>45958</v>
      </c>
      <c r="AL139" s="17">
        <v>400000</v>
      </c>
      <c r="AM139" s="17"/>
    </row>
    <row r="140" spans="1:39" x14ac:dyDescent="0.3">
      <c r="A140" s="17" t="s">
        <v>2373</v>
      </c>
      <c r="B140" s="17">
        <v>2025</v>
      </c>
      <c r="C140" s="17" t="s">
        <v>2871</v>
      </c>
      <c r="D140" s="17" t="s">
        <v>94</v>
      </c>
      <c r="E140" s="17" t="s">
        <v>1322</v>
      </c>
      <c r="F140" s="17" t="s">
        <v>3295</v>
      </c>
      <c r="G140" s="19">
        <v>99</v>
      </c>
      <c r="H140" s="19" t="s">
        <v>962</v>
      </c>
      <c r="I140" s="20">
        <v>45889</v>
      </c>
      <c r="J140" s="20">
        <v>45889</v>
      </c>
      <c r="K140" s="17"/>
      <c r="L140" s="17" t="s">
        <v>73</v>
      </c>
      <c r="M140" s="17" t="s">
        <v>1322</v>
      </c>
      <c r="N140" s="17" t="s">
        <v>2375</v>
      </c>
      <c r="O140" s="17">
        <v>13</v>
      </c>
      <c r="P140" s="17">
        <v>3058176350</v>
      </c>
      <c r="Q140" s="17" t="s">
        <v>3296</v>
      </c>
      <c r="R140" s="17" t="s">
        <v>2259</v>
      </c>
      <c r="S140" s="17"/>
      <c r="T140" s="17" t="s">
        <v>2376</v>
      </c>
      <c r="U140" s="17" t="s">
        <v>2377</v>
      </c>
      <c r="V140" s="17" t="s">
        <v>2378</v>
      </c>
      <c r="W140" s="17" t="s">
        <v>2259</v>
      </c>
      <c r="X140" s="17" t="s">
        <v>78</v>
      </c>
      <c r="Y140" s="17" t="s">
        <v>2379</v>
      </c>
      <c r="Z140" s="17" t="s">
        <v>2380</v>
      </c>
      <c r="AA140" s="21">
        <v>45918</v>
      </c>
      <c r="AB140" s="17" t="s">
        <v>218</v>
      </c>
      <c r="AC140" s="17" t="s">
        <v>2380</v>
      </c>
      <c r="AD140" s="21">
        <v>45890</v>
      </c>
      <c r="AE140" s="17">
        <v>600000</v>
      </c>
      <c r="AF140" s="17">
        <v>200000</v>
      </c>
      <c r="AG140" s="17">
        <v>400000</v>
      </c>
      <c r="AH140" s="17">
        <v>600000</v>
      </c>
      <c r="AI140" s="21">
        <v>45891</v>
      </c>
      <c r="AJ140" s="17">
        <v>200000</v>
      </c>
      <c r="AK140" s="20">
        <v>45958</v>
      </c>
      <c r="AL140" s="17">
        <v>400000</v>
      </c>
      <c r="AM140" s="17"/>
    </row>
    <row r="141" spans="1:39" x14ac:dyDescent="0.3">
      <c r="A141" s="17" t="s">
        <v>2057</v>
      </c>
      <c r="B141" s="17">
        <v>2025</v>
      </c>
      <c r="C141" s="17" t="s">
        <v>2871</v>
      </c>
      <c r="D141" s="17" t="s">
        <v>94</v>
      </c>
      <c r="E141" s="17" t="s">
        <v>1322</v>
      </c>
      <c r="F141" s="17" t="s">
        <v>3297</v>
      </c>
      <c r="G141" s="19">
        <v>100</v>
      </c>
      <c r="H141" s="19" t="s">
        <v>974</v>
      </c>
      <c r="I141" s="20">
        <v>45889</v>
      </c>
      <c r="J141" s="20">
        <v>45889</v>
      </c>
      <c r="K141" s="17"/>
      <c r="L141" s="17" t="s">
        <v>46</v>
      </c>
      <c r="M141" s="17" t="s">
        <v>1322</v>
      </c>
      <c r="N141" s="17" t="s">
        <v>2059</v>
      </c>
      <c r="O141" s="17">
        <v>6</v>
      </c>
      <c r="P141" s="17">
        <v>3052587486</v>
      </c>
      <c r="Q141" s="17" t="s">
        <v>3298</v>
      </c>
      <c r="R141" s="17" t="s">
        <v>2060</v>
      </c>
      <c r="S141" s="17"/>
      <c r="T141" s="17" t="s">
        <v>2061</v>
      </c>
      <c r="U141" s="17" t="s">
        <v>2062</v>
      </c>
      <c r="V141" s="17" t="s">
        <v>2063</v>
      </c>
      <c r="W141" s="17" t="s">
        <v>2064</v>
      </c>
      <c r="X141" s="17" t="s">
        <v>78</v>
      </c>
      <c r="Y141" s="17" t="s">
        <v>2065</v>
      </c>
      <c r="Z141" s="17" t="s">
        <v>2066</v>
      </c>
      <c r="AA141" s="21">
        <v>45918</v>
      </c>
      <c r="AB141" s="17" t="s">
        <v>218</v>
      </c>
      <c r="AC141" s="17" t="s">
        <v>2066</v>
      </c>
      <c r="AD141" s="21">
        <v>45890</v>
      </c>
      <c r="AE141" s="17">
        <v>600000</v>
      </c>
      <c r="AF141" s="17">
        <v>200000</v>
      </c>
      <c r="AG141" s="17">
        <v>400000</v>
      </c>
      <c r="AH141" s="17">
        <v>600000</v>
      </c>
      <c r="AI141" s="21">
        <v>46009</v>
      </c>
      <c r="AJ141" s="17">
        <v>200000</v>
      </c>
      <c r="AK141" s="20">
        <v>45958</v>
      </c>
      <c r="AL141" s="17">
        <v>400000</v>
      </c>
      <c r="AM141" s="17"/>
    </row>
    <row r="142" spans="1:39" x14ac:dyDescent="0.3">
      <c r="A142" s="17" t="s">
        <v>2067</v>
      </c>
      <c r="B142" s="17">
        <v>2025</v>
      </c>
      <c r="C142" s="17" t="s">
        <v>2871</v>
      </c>
      <c r="D142" s="17" t="s">
        <v>94</v>
      </c>
      <c r="E142" s="17" t="s">
        <v>1322</v>
      </c>
      <c r="F142" s="17" t="s">
        <v>3299</v>
      </c>
      <c r="G142" s="19">
        <v>101</v>
      </c>
      <c r="H142" s="19" t="s">
        <v>974</v>
      </c>
      <c r="I142" s="20">
        <v>45889</v>
      </c>
      <c r="J142" s="20">
        <v>45889</v>
      </c>
      <c r="K142" s="17"/>
      <c r="L142" s="17" t="s">
        <v>218</v>
      </c>
      <c r="M142" s="17" t="s">
        <v>1322</v>
      </c>
      <c r="N142" s="17" t="s">
        <v>2069</v>
      </c>
      <c r="O142" s="17">
        <v>3</v>
      </c>
      <c r="P142" s="17">
        <v>3141072983</v>
      </c>
      <c r="Q142" s="17" t="s">
        <v>3300</v>
      </c>
      <c r="R142" s="17" t="s">
        <v>2070</v>
      </c>
      <c r="S142" s="17"/>
      <c r="T142" s="17" t="s">
        <v>2071</v>
      </c>
      <c r="U142" s="17" t="s">
        <v>2072</v>
      </c>
      <c r="V142" s="17" t="s">
        <v>2073</v>
      </c>
      <c r="W142" s="17" t="s">
        <v>2074</v>
      </c>
      <c r="X142" s="17" t="s">
        <v>134</v>
      </c>
      <c r="Y142" s="17" t="s">
        <v>2075</v>
      </c>
      <c r="Z142" s="17" t="s">
        <v>2076</v>
      </c>
      <c r="AA142" s="21">
        <v>45918</v>
      </c>
      <c r="AB142" s="17" t="s">
        <v>218</v>
      </c>
      <c r="AC142" s="17" t="s">
        <v>2076</v>
      </c>
      <c r="AD142" s="21">
        <v>45890</v>
      </c>
      <c r="AE142" s="17">
        <v>600000</v>
      </c>
      <c r="AF142" s="17">
        <v>200000</v>
      </c>
      <c r="AG142" s="17">
        <v>400000</v>
      </c>
      <c r="AH142" s="17">
        <v>600000</v>
      </c>
      <c r="AI142" s="21">
        <v>46017</v>
      </c>
      <c r="AJ142" s="17">
        <v>200000</v>
      </c>
      <c r="AK142" s="20">
        <v>45958</v>
      </c>
      <c r="AL142" s="17">
        <v>400000</v>
      </c>
      <c r="AM142" s="17"/>
    </row>
    <row r="143" spans="1:39" x14ac:dyDescent="0.3">
      <c r="A143" s="17" t="s">
        <v>2077</v>
      </c>
      <c r="B143" s="17">
        <v>2025</v>
      </c>
      <c r="C143" s="17" t="s">
        <v>2871</v>
      </c>
      <c r="D143" s="17" t="s">
        <v>94</v>
      </c>
      <c r="E143" s="17" t="s">
        <v>1322</v>
      </c>
      <c r="F143" s="17" t="s">
        <v>3301</v>
      </c>
      <c r="G143" s="19">
        <v>102</v>
      </c>
      <c r="H143" s="19" t="s">
        <v>987</v>
      </c>
      <c r="I143" s="20">
        <v>45890</v>
      </c>
      <c r="J143" s="20">
        <v>45890</v>
      </c>
      <c r="K143" s="17"/>
      <c r="L143" s="17" t="s">
        <v>73</v>
      </c>
      <c r="M143" s="17" t="s">
        <v>1322</v>
      </c>
      <c r="N143" s="17" t="s">
        <v>2079</v>
      </c>
      <c r="O143" s="17">
        <v>6</v>
      </c>
      <c r="P143" s="17">
        <v>3051765342</v>
      </c>
      <c r="Q143" s="17" t="s">
        <v>3302</v>
      </c>
      <c r="R143" s="17" t="s">
        <v>2080</v>
      </c>
      <c r="S143" s="17"/>
      <c r="T143" s="17" t="s">
        <v>2081</v>
      </c>
      <c r="U143" s="17" t="s">
        <v>2082</v>
      </c>
      <c r="V143" s="17" t="s">
        <v>2083</v>
      </c>
      <c r="W143" s="17" t="s">
        <v>2080</v>
      </c>
      <c r="X143" s="17" t="s">
        <v>78</v>
      </c>
      <c r="Y143" s="17" t="s">
        <v>2084</v>
      </c>
      <c r="Z143" s="17" t="s">
        <v>2085</v>
      </c>
      <c r="AA143" s="21">
        <v>45918</v>
      </c>
      <c r="AB143" s="17" t="s">
        <v>218</v>
      </c>
      <c r="AC143" s="17" t="s">
        <v>2085</v>
      </c>
      <c r="AD143" s="21">
        <v>45891</v>
      </c>
      <c r="AE143" s="17">
        <v>600000</v>
      </c>
      <c r="AF143" s="17">
        <v>200000</v>
      </c>
      <c r="AG143" s="17">
        <v>400000</v>
      </c>
      <c r="AH143" s="17">
        <v>600000</v>
      </c>
      <c r="AI143" s="21">
        <v>45894</v>
      </c>
      <c r="AJ143" s="17">
        <v>200000</v>
      </c>
      <c r="AK143" s="20">
        <v>45958</v>
      </c>
      <c r="AL143" s="17">
        <v>400000</v>
      </c>
      <c r="AM143" s="17"/>
    </row>
    <row r="144" spans="1:39" x14ac:dyDescent="0.3">
      <c r="A144" s="17" t="s">
        <v>2086</v>
      </c>
      <c r="B144" s="17">
        <v>2025</v>
      </c>
      <c r="C144" s="17" t="s">
        <v>2871</v>
      </c>
      <c r="D144" s="17" t="s">
        <v>94</v>
      </c>
      <c r="E144" s="17" t="s">
        <v>1322</v>
      </c>
      <c r="F144" s="17" t="s">
        <v>3303</v>
      </c>
      <c r="G144" s="19">
        <v>103</v>
      </c>
      <c r="H144" s="19" t="s">
        <v>992</v>
      </c>
      <c r="I144" s="20">
        <v>45890</v>
      </c>
      <c r="J144" s="20">
        <v>45890</v>
      </c>
      <c r="K144" s="17"/>
      <c r="L144" s="17" t="s">
        <v>46</v>
      </c>
      <c r="M144" s="17" t="s">
        <v>1322</v>
      </c>
      <c r="N144" s="17" t="s">
        <v>2088</v>
      </c>
      <c r="O144" s="17">
        <v>6</v>
      </c>
      <c r="P144" s="17">
        <v>8557200237</v>
      </c>
      <c r="Q144" s="17" t="s">
        <v>3304</v>
      </c>
      <c r="R144" s="17" t="s">
        <v>2089</v>
      </c>
      <c r="S144" s="17"/>
      <c r="T144" s="17" t="s">
        <v>2090</v>
      </c>
      <c r="U144" s="17" t="s">
        <v>2091</v>
      </c>
      <c r="V144" s="17" t="s">
        <v>2092</v>
      </c>
      <c r="W144" s="17" t="s">
        <v>2093</v>
      </c>
      <c r="X144" s="17" t="s">
        <v>78</v>
      </c>
      <c r="Y144" s="17" t="s">
        <v>2094</v>
      </c>
      <c r="Z144" s="17" t="s">
        <v>2095</v>
      </c>
      <c r="AA144" s="21">
        <v>45918</v>
      </c>
      <c r="AB144" s="17" t="s">
        <v>218</v>
      </c>
      <c r="AC144" s="17" t="s">
        <v>2095</v>
      </c>
      <c r="AD144" s="21">
        <v>45891</v>
      </c>
      <c r="AE144" s="17">
        <v>600000</v>
      </c>
      <c r="AF144" s="17">
        <v>200000</v>
      </c>
      <c r="AG144" s="17">
        <v>400000</v>
      </c>
      <c r="AH144" s="17">
        <v>600000</v>
      </c>
      <c r="AI144" s="21">
        <v>45922</v>
      </c>
      <c r="AJ144" s="17">
        <v>200000</v>
      </c>
      <c r="AK144" s="20">
        <v>45958</v>
      </c>
      <c r="AL144" s="17">
        <v>400000</v>
      </c>
      <c r="AM144" s="17"/>
    </row>
    <row r="145" spans="1:39" x14ac:dyDescent="0.3">
      <c r="A145" s="17" t="s">
        <v>2532</v>
      </c>
      <c r="B145" s="17">
        <v>2025</v>
      </c>
      <c r="C145" s="17" t="s">
        <v>2871</v>
      </c>
      <c r="D145" s="17" t="s">
        <v>94</v>
      </c>
      <c r="E145" s="17" t="s">
        <v>1322</v>
      </c>
      <c r="F145" s="17" t="s">
        <v>3305</v>
      </c>
      <c r="G145" s="19">
        <v>104</v>
      </c>
      <c r="H145" s="19" t="s">
        <v>1001</v>
      </c>
      <c r="I145" s="20">
        <v>45890</v>
      </c>
      <c r="J145" s="20">
        <v>45890</v>
      </c>
      <c r="K145" s="17"/>
      <c r="L145" s="17" t="s">
        <v>218</v>
      </c>
      <c r="M145" s="17" t="s">
        <v>1322</v>
      </c>
      <c r="N145" s="17" t="s">
        <v>2534</v>
      </c>
      <c r="O145" s="17">
        <v>7</v>
      </c>
      <c r="P145" s="17">
        <v>7760800156</v>
      </c>
      <c r="Q145" s="17" t="s">
        <v>3306</v>
      </c>
      <c r="R145" s="17" t="s">
        <v>2535</v>
      </c>
      <c r="S145" s="17"/>
      <c r="T145" s="17" t="s">
        <v>2536</v>
      </c>
      <c r="U145" s="17" t="s">
        <v>2537</v>
      </c>
      <c r="V145" s="17" t="s">
        <v>2538</v>
      </c>
      <c r="W145" s="17" t="s">
        <v>2539</v>
      </c>
      <c r="X145" s="17" t="s">
        <v>78</v>
      </c>
      <c r="Y145" s="17" t="s">
        <v>2540</v>
      </c>
      <c r="Z145" s="17" t="s">
        <v>2541</v>
      </c>
      <c r="AA145" s="21">
        <v>45918</v>
      </c>
      <c r="AB145" s="17" t="s">
        <v>218</v>
      </c>
      <c r="AC145" s="17" t="s">
        <v>2541</v>
      </c>
      <c r="AD145" s="21">
        <v>45891</v>
      </c>
      <c r="AE145" s="17">
        <v>600000</v>
      </c>
      <c r="AF145" s="17">
        <v>200000</v>
      </c>
      <c r="AG145" s="17">
        <v>400000</v>
      </c>
      <c r="AH145" s="17">
        <v>400000</v>
      </c>
      <c r="AI145" s="21"/>
      <c r="AJ145" s="17">
        <v>0</v>
      </c>
      <c r="AK145" s="20">
        <v>45958</v>
      </c>
      <c r="AL145" s="17">
        <v>400000</v>
      </c>
      <c r="AM145" s="17"/>
    </row>
    <row r="146" spans="1:39" x14ac:dyDescent="0.3">
      <c r="A146" s="17" t="s">
        <v>2503</v>
      </c>
      <c r="B146" s="17">
        <v>2025</v>
      </c>
      <c r="C146" s="17" t="s">
        <v>2871</v>
      </c>
      <c r="D146" s="17" t="s">
        <v>94</v>
      </c>
      <c r="E146" s="17" t="s">
        <v>1322</v>
      </c>
      <c r="F146" s="17" t="s">
        <v>3307</v>
      </c>
      <c r="G146" s="19">
        <v>105</v>
      </c>
      <c r="H146" s="19" t="s">
        <v>1012</v>
      </c>
      <c r="I146" s="20">
        <v>45891</v>
      </c>
      <c r="J146" s="20">
        <v>45891</v>
      </c>
      <c r="K146" s="17"/>
      <c r="L146" s="17" t="s">
        <v>73</v>
      </c>
      <c r="M146" s="17" t="s">
        <v>1322</v>
      </c>
      <c r="N146" s="17" t="s">
        <v>2505</v>
      </c>
      <c r="O146" s="17">
        <v>11</v>
      </c>
      <c r="P146" s="17">
        <v>6688601380</v>
      </c>
      <c r="Q146" s="17" t="s">
        <v>3308</v>
      </c>
      <c r="R146" s="17" t="s">
        <v>2506</v>
      </c>
      <c r="S146" s="17"/>
      <c r="T146" s="17" t="s">
        <v>2507</v>
      </c>
      <c r="U146" s="17" t="s">
        <v>2508</v>
      </c>
      <c r="V146" s="17" t="s">
        <v>2509</v>
      </c>
      <c r="W146" s="17" t="s">
        <v>2510</v>
      </c>
      <c r="X146" s="17" t="s">
        <v>1594</v>
      </c>
      <c r="Y146" s="17" t="s">
        <v>2511</v>
      </c>
      <c r="Z146" s="17" t="s">
        <v>2512</v>
      </c>
      <c r="AA146" s="21">
        <v>45918</v>
      </c>
      <c r="AB146" s="17" t="s">
        <v>218</v>
      </c>
      <c r="AC146" s="17" t="s">
        <v>2512</v>
      </c>
      <c r="AD146" s="21">
        <v>45894</v>
      </c>
      <c r="AE146" s="17">
        <v>600000</v>
      </c>
      <c r="AF146" s="17">
        <v>200000</v>
      </c>
      <c r="AG146" s="17">
        <v>400000</v>
      </c>
      <c r="AH146" s="17">
        <v>600000</v>
      </c>
      <c r="AI146" s="21">
        <v>45897</v>
      </c>
      <c r="AJ146" s="17">
        <v>200000</v>
      </c>
      <c r="AK146" s="20">
        <v>45958</v>
      </c>
      <c r="AL146" s="17">
        <v>400000</v>
      </c>
      <c r="AM146" s="17"/>
    </row>
    <row r="147" spans="1:39" x14ac:dyDescent="0.3">
      <c r="A147" s="17" t="s">
        <v>2602</v>
      </c>
      <c r="B147" s="17">
        <v>2025</v>
      </c>
      <c r="C147" s="17" t="s">
        <v>2871</v>
      </c>
      <c r="D147" s="17" t="s">
        <v>94</v>
      </c>
      <c r="E147" s="17" t="s">
        <v>1322</v>
      </c>
      <c r="F147" s="17" t="s">
        <v>3309</v>
      </c>
      <c r="G147" s="19">
        <v>106</v>
      </c>
      <c r="H147" s="19" t="s">
        <v>1022</v>
      </c>
      <c r="I147" s="20">
        <v>45891</v>
      </c>
      <c r="J147" s="20">
        <v>45891</v>
      </c>
      <c r="K147" s="17"/>
      <c r="L147" s="17" t="s">
        <v>46</v>
      </c>
      <c r="M147" s="17" t="s">
        <v>1322</v>
      </c>
      <c r="N147" s="17" t="s">
        <v>2604</v>
      </c>
      <c r="O147" s="17">
        <v>10</v>
      </c>
      <c r="P147" s="17">
        <v>3063174189</v>
      </c>
      <c r="Q147" s="17" t="s">
        <v>3310</v>
      </c>
      <c r="R147" s="17" t="s">
        <v>2605</v>
      </c>
      <c r="S147" s="17"/>
      <c r="T147" s="17" t="s">
        <v>2606</v>
      </c>
      <c r="U147" s="17" t="s">
        <v>2607</v>
      </c>
      <c r="V147" s="17" t="s">
        <v>2608</v>
      </c>
      <c r="W147" s="17" t="s">
        <v>2605</v>
      </c>
      <c r="X147" s="17" t="s">
        <v>78</v>
      </c>
      <c r="Y147" s="17" t="s">
        <v>2609</v>
      </c>
      <c r="Z147" s="17" t="s">
        <v>2610</v>
      </c>
      <c r="AA147" s="21">
        <v>45918</v>
      </c>
      <c r="AB147" s="17" t="s">
        <v>218</v>
      </c>
      <c r="AC147" s="17" t="s">
        <v>2610</v>
      </c>
      <c r="AD147" s="21">
        <v>45894</v>
      </c>
      <c r="AE147" s="17">
        <v>600000</v>
      </c>
      <c r="AF147" s="17">
        <v>200000</v>
      </c>
      <c r="AG147" s="17">
        <v>400000</v>
      </c>
      <c r="AH147" s="17">
        <v>600000</v>
      </c>
      <c r="AI147" s="21">
        <v>46006</v>
      </c>
      <c r="AJ147" s="17">
        <v>200000</v>
      </c>
      <c r="AK147" s="20">
        <v>45958</v>
      </c>
      <c r="AL147" s="17">
        <v>400000</v>
      </c>
      <c r="AM147" s="17"/>
    </row>
    <row r="148" spans="1:39" x14ac:dyDescent="0.3">
      <c r="A148" s="17" t="s">
        <v>2152</v>
      </c>
      <c r="B148" s="17">
        <v>2025</v>
      </c>
      <c r="C148" s="17" t="s">
        <v>2871</v>
      </c>
      <c r="D148" s="17" t="s">
        <v>94</v>
      </c>
      <c r="E148" s="17" t="s">
        <v>1322</v>
      </c>
      <c r="F148" s="17" t="s">
        <v>3311</v>
      </c>
      <c r="G148" s="19">
        <v>107</v>
      </c>
      <c r="H148" s="19" t="s">
        <v>1036</v>
      </c>
      <c r="I148" s="20">
        <v>45891</v>
      </c>
      <c r="J148" s="20">
        <v>45891</v>
      </c>
      <c r="K148" s="17"/>
      <c r="L148" s="17" t="s">
        <v>218</v>
      </c>
      <c r="M148" s="17" t="s">
        <v>1322</v>
      </c>
      <c r="N148" s="17" t="s">
        <v>2154</v>
      </c>
      <c r="O148" s="17">
        <v>5</v>
      </c>
      <c r="P148" s="17">
        <v>3148632706</v>
      </c>
      <c r="Q148" s="17" t="s">
        <v>3312</v>
      </c>
      <c r="R148" s="17" t="s">
        <v>2155</v>
      </c>
      <c r="S148" s="17"/>
      <c r="T148" s="17" t="s">
        <v>2137</v>
      </c>
      <c r="U148" s="17" t="s">
        <v>2156</v>
      </c>
      <c r="V148" s="17" t="s">
        <v>2157</v>
      </c>
      <c r="W148" s="17" t="s">
        <v>2158</v>
      </c>
      <c r="X148" s="17" t="s">
        <v>2159</v>
      </c>
      <c r="Y148" s="17" t="s">
        <v>2160</v>
      </c>
      <c r="Z148" s="17" t="s">
        <v>2161</v>
      </c>
      <c r="AA148" s="21">
        <v>45918</v>
      </c>
      <c r="AB148" s="17" t="s">
        <v>218</v>
      </c>
      <c r="AC148" s="17" t="s">
        <v>2162</v>
      </c>
      <c r="AD148" s="21">
        <v>45894</v>
      </c>
      <c r="AE148" s="17">
        <v>600000</v>
      </c>
      <c r="AF148" s="17">
        <v>200000</v>
      </c>
      <c r="AG148" s="17">
        <v>400000</v>
      </c>
      <c r="AH148" s="17">
        <v>600000</v>
      </c>
      <c r="AI148" s="21">
        <v>45930</v>
      </c>
      <c r="AJ148" s="17">
        <v>200000</v>
      </c>
      <c r="AK148" s="20">
        <v>45958</v>
      </c>
      <c r="AL148" s="17">
        <v>400000</v>
      </c>
      <c r="AM148" s="17"/>
    </row>
    <row r="149" spans="1:39" x14ac:dyDescent="0.3">
      <c r="A149" s="17" t="s">
        <v>2421</v>
      </c>
      <c r="B149" s="17">
        <v>2025</v>
      </c>
      <c r="C149" s="17" t="s">
        <v>2871</v>
      </c>
      <c r="D149" s="17" t="s">
        <v>71</v>
      </c>
      <c r="E149" s="17" t="s">
        <v>1322</v>
      </c>
      <c r="F149" s="17" t="s">
        <v>3313</v>
      </c>
      <c r="G149" s="19">
        <v>108</v>
      </c>
      <c r="H149" s="19" t="s">
        <v>1036</v>
      </c>
      <c r="I149" s="20">
        <v>45894</v>
      </c>
      <c r="J149" s="20">
        <v>45894</v>
      </c>
      <c r="K149" s="17"/>
      <c r="L149" s="17" t="s">
        <v>46</v>
      </c>
      <c r="M149" s="17" t="s">
        <v>1322</v>
      </c>
      <c r="N149" s="17" t="s">
        <v>2423</v>
      </c>
      <c r="O149" s="17">
        <v>3</v>
      </c>
      <c r="P149" s="17">
        <v>6158616569</v>
      </c>
      <c r="Q149" s="17" t="s">
        <v>3314</v>
      </c>
      <c r="R149" s="17" t="s">
        <v>2414</v>
      </c>
      <c r="S149" s="17"/>
      <c r="T149" s="17" t="s">
        <v>2424</v>
      </c>
      <c r="U149" s="17" t="s">
        <v>2425</v>
      </c>
      <c r="V149" s="17" t="s">
        <v>2426</v>
      </c>
      <c r="W149" s="17" t="s">
        <v>2418</v>
      </c>
      <c r="X149" s="17" t="s">
        <v>388</v>
      </c>
      <c r="Y149" s="17" t="s">
        <v>2419</v>
      </c>
      <c r="Z149" s="17" t="s">
        <v>2420</v>
      </c>
      <c r="AA149" s="21">
        <v>45918</v>
      </c>
      <c r="AB149" s="17" t="s">
        <v>46</v>
      </c>
      <c r="AC149" s="17" t="s">
        <v>2420</v>
      </c>
      <c r="AD149" s="21" t="s">
        <v>69</v>
      </c>
      <c r="AE149" s="17">
        <v>400000</v>
      </c>
      <c r="AF149" s="17">
        <v>0</v>
      </c>
      <c r="AG149" s="17">
        <v>400000</v>
      </c>
      <c r="AH149" s="17">
        <v>400000</v>
      </c>
      <c r="AI149" s="21"/>
      <c r="AJ149" s="17">
        <v>0</v>
      </c>
      <c r="AK149" s="20">
        <v>45958</v>
      </c>
      <c r="AL149" s="17">
        <v>400000</v>
      </c>
      <c r="AM149" s="17"/>
    </row>
    <row r="150" spans="1:39" x14ac:dyDescent="0.3">
      <c r="A150" s="17" t="s">
        <v>1866</v>
      </c>
      <c r="B150" s="17">
        <v>2025</v>
      </c>
      <c r="C150" s="17" t="s">
        <v>2871</v>
      </c>
      <c r="D150" s="17" t="s">
        <v>94</v>
      </c>
      <c r="E150" s="17" t="s">
        <v>1322</v>
      </c>
      <c r="F150" s="17" t="s">
        <v>3315</v>
      </c>
      <c r="G150" s="19">
        <v>109</v>
      </c>
      <c r="H150" s="19" t="s">
        <v>1044</v>
      </c>
      <c r="I150" s="20">
        <v>45894</v>
      </c>
      <c r="J150" s="20">
        <v>45894</v>
      </c>
      <c r="K150" s="17"/>
      <c r="L150" s="17" t="s">
        <v>97</v>
      </c>
      <c r="M150" s="17" t="s">
        <v>1322</v>
      </c>
      <c r="N150" s="17" t="s">
        <v>1868</v>
      </c>
      <c r="O150" s="17">
        <v>16</v>
      </c>
      <c r="P150" s="17">
        <v>3148605849</v>
      </c>
      <c r="Q150" s="17" t="s">
        <v>3316</v>
      </c>
      <c r="R150" s="17" t="s">
        <v>1869</v>
      </c>
      <c r="S150" s="17"/>
      <c r="T150" s="17" t="s">
        <v>1870</v>
      </c>
      <c r="U150" s="17" t="s">
        <v>1871</v>
      </c>
      <c r="V150" s="17" t="s">
        <v>1872</v>
      </c>
      <c r="W150" s="17" t="s">
        <v>1873</v>
      </c>
      <c r="X150" s="17" t="s">
        <v>1594</v>
      </c>
      <c r="Y150" s="17" t="s">
        <v>1874</v>
      </c>
      <c r="Z150" s="17" t="s">
        <v>1875</v>
      </c>
      <c r="AA150" s="21">
        <v>45923</v>
      </c>
      <c r="AB150" s="17" t="s">
        <v>218</v>
      </c>
      <c r="AC150" s="17" t="s">
        <v>1875</v>
      </c>
      <c r="AD150" s="21">
        <v>45895</v>
      </c>
      <c r="AE150" s="17">
        <v>600000</v>
      </c>
      <c r="AF150" s="17">
        <v>200000</v>
      </c>
      <c r="AG150" s="17">
        <v>400000</v>
      </c>
      <c r="AH150" s="17">
        <v>600000</v>
      </c>
      <c r="AI150" s="21">
        <v>45926</v>
      </c>
      <c r="AJ150" s="17">
        <v>200000</v>
      </c>
      <c r="AK150" s="20">
        <v>45958</v>
      </c>
      <c r="AL150" s="17">
        <v>400000</v>
      </c>
      <c r="AM150" s="17"/>
    </row>
    <row r="151" spans="1:39" x14ac:dyDescent="0.3">
      <c r="A151" s="17" t="s">
        <v>2274</v>
      </c>
      <c r="B151" s="17">
        <v>2025</v>
      </c>
      <c r="C151" s="17" t="s">
        <v>2871</v>
      </c>
      <c r="D151" s="17" t="s">
        <v>94</v>
      </c>
      <c r="E151" s="17" t="s">
        <v>1322</v>
      </c>
      <c r="F151" s="17" t="s">
        <v>3317</v>
      </c>
      <c r="G151" s="19">
        <v>110</v>
      </c>
      <c r="H151" s="19" t="s">
        <v>1055</v>
      </c>
      <c r="I151" s="20">
        <v>45894</v>
      </c>
      <c r="J151" s="20">
        <v>45894</v>
      </c>
      <c r="K151" s="17"/>
      <c r="L151" s="17" t="s">
        <v>73</v>
      </c>
      <c r="M151" s="17" t="s">
        <v>1322</v>
      </c>
      <c r="N151" s="17" t="s">
        <v>2276</v>
      </c>
      <c r="O151" s="17">
        <v>37</v>
      </c>
      <c r="P151" s="17">
        <v>3148100193</v>
      </c>
      <c r="Q151" s="17" t="s">
        <v>3318</v>
      </c>
      <c r="R151" s="17" t="s">
        <v>2277</v>
      </c>
      <c r="S151" s="17"/>
      <c r="T151" s="17" t="s">
        <v>2278</v>
      </c>
      <c r="U151" s="17" t="s">
        <v>2279</v>
      </c>
      <c r="V151" s="17" t="s">
        <v>2280</v>
      </c>
      <c r="W151" s="17" t="s">
        <v>2281</v>
      </c>
      <c r="X151" s="17" t="s">
        <v>134</v>
      </c>
      <c r="Y151" s="17" t="s">
        <v>2282</v>
      </c>
      <c r="Z151" s="17" t="s">
        <v>2283</v>
      </c>
      <c r="AA151" s="21">
        <v>45923</v>
      </c>
      <c r="AB151" s="17" t="s">
        <v>218</v>
      </c>
      <c r="AC151" s="17" t="s">
        <v>3319</v>
      </c>
      <c r="AD151" s="21">
        <v>45895</v>
      </c>
      <c r="AE151" s="17">
        <v>750000</v>
      </c>
      <c r="AF151" s="17">
        <v>350000</v>
      </c>
      <c r="AG151" s="17">
        <v>400000</v>
      </c>
      <c r="AH151" s="17">
        <v>750000</v>
      </c>
      <c r="AI151" s="21">
        <v>45929</v>
      </c>
      <c r="AJ151" s="17">
        <v>350000</v>
      </c>
      <c r="AK151" s="20">
        <v>45958</v>
      </c>
      <c r="AL151" s="17">
        <v>400000</v>
      </c>
      <c r="AM151" s="17"/>
    </row>
    <row r="152" spans="1:39" x14ac:dyDescent="0.3">
      <c r="A152" s="17" t="s">
        <v>1981</v>
      </c>
      <c r="B152" s="17">
        <v>2025</v>
      </c>
      <c r="C152" s="17" t="s">
        <v>2871</v>
      </c>
      <c r="D152" s="17" t="s">
        <v>94</v>
      </c>
      <c r="E152" s="17" t="s">
        <v>1322</v>
      </c>
      <c r="F152" s="17" t="s">
        <v>3320</v>
      </c>
      <c r="G152" s="19">
        <v>111</v>
      </c>
      <c r="H152" s="19" t="s">
        <v>1085</v>
      </c>
      <c r="I152" s="20">
        <v>45894</v>
      </c>
      <c r="J152" s="20">
        <v>45894</v>
      </c>
      <c r="K152" s="17"/>
      <c r="L152" s="17" t="s">
        <v>218</v>
      </c>
      <c r="M152" s="17" t="s">
        <v>1322</v>
      </c>
      <c r="N152" s="17" t="s">
        <v>1983</v>
      </c>
      <c r="O152" s="17">
        <v>13</v>
      </c>
      <c r="P152" s="17">
        <v>3142222133</v>
      </c>
      <c r="Q152" s="17" t="s">
        <v>3321</v>
      </c>
      <c r="R152" s="17" t="s">
        <v>1984</v>
      </c>
      <c r="S152" s="17"/>
      <c r="T152" s="17" t="s">
        <v>1985</v>
      </c>
      <c r="U152" s="17" t="s">
        <v>1986</v>
      </c>
      <c r="V152" s="17" t="s">
        <v>1987</v>
      </c>
      <c r="W152" s="17" t="s">
        <v>1984</v>
      </c>
      <c r="X152" s="17" t="s">
        <v>78</v>
      </c>
      <c r="Y152" s="17" t="s">
        <v>1988</v>
      </c>
      <c r="Z152" s="17" t="s">
        <v>1989</v>
      </c>
      <c r="AA152" s="21">
        <v>45923</v>
      </c>
      <c r="AB152" s="17" t="s">
        <v>218</v>
      </c>
      <c r="AC152" s="17" t="s">
        <v>1989</v>
      </c>
      <c r="AD152" s="21">
        <v>45895</v>
      </c>
      <c r="AE152" s="17">
        <v>600000</v>
      </c>
      <c r="AF152" s="17">
        <v>200000</v>
      </c>
      <c r="AG152" s="17">
        <v>400000</v>
      </c>
      <c r="AH152" s="17">
        <v>400000</v>
      </c>
      <c r="AI152" s="21"/>
      <c r="AJ152" s="17">
        <v>0</v>
      </c>
      <c r="AK152" s="20">
        <v>45958</v>
      </c>
      <c r="AL152" s="17">
        <v>400000</v>
      </c>
      <c r="AM152" s="17"/>
    </row>
    <row r="153" spans="1:39" x14ac:dyDescent="0.3">
      <c r="A153" s="17" t="s">
        <v>2177</v>
      </c>
      <c r="B153" s="17">
        <v>2025</v>
      </c>
      <c r="C153" s="17" t="s">
        <v>2871</v>
      </c>
      <c r="D153" s="17" t="s">
        <v>94</v>
      </c>
      <c r="E153" s="17" t="s">
        <v>1322</v>
      </c>
      <c r="F153" s="17" t="s">
        <v>3322</v>
      </c>
      <c r="G153" s="19">
        <v>112</v>
      </c>
      <c r="H153" s="19" t="s">
        <v>1092</v>
      </c>
      <c r="I153" s="20">
        <v>45894</v>
      </c>
      <c r="J153" s="20">
        <v>45894</v>
      </c>
      <c r="K153" s="17"/>
      <c r="L153" s="17" t="s">
        <v>181</v>
      </c>
      <c r="M153" s="17" t="s">
        <v>1322</v>
      </c>
      <c r="N153" s="17" t="s">
        <v>2179</v>
      </c>
      <c r="O153" s="17">
        <v>7</v>
      </c>
      <c r="P153" s="17">
        <v>3188102999</v>
      </c>
      <c r="Q153" s="17" t="s">
        <v>3323</v>
      </c>
      <c r="R153" s="17" t="s">
        <v>2180</v>
      </c>
      <c r="S153" s="17"/>
      <c r="T153" s="17" t="s">
        <v>2181</v>
      </c>
      <c r="U153" s="17" t="s">
        <v>2182</v>
      </c>
      <c r="V153" s="17" t="s">
        <v>2183</v>
      </c>
      <c r="W153" s="17" t="s">
        <v>2180</v>
      </c>
      <c r="X153" s="17" t="s">
        <v>78</v>
      </c>
      <c r="Y153" s="17" t="s">
        <v>2184</v>
      </c>
      <c r="Z153" s="17" t="s">
        <v>2185</v>
      </c>
      <c r="AA153" s="21">
        <v>45923</v>
      </c>
      <c r="AB153" s="17" t="s">
        <v>218</v>
      </c>
      <c r="AC153" s="17" t="s">
        <v>2186</v>
      </c>
      <c r="AD153" s="21">
        <v>45895</v>
      </c>
      <c r="AE153" s="17">
        <v>600000</v>
      </c>
      <c r="AF153" s="17">
        <v>200000</v>
      </c>
      <c r="AG153" s="17">
        <v>400000</v>
      </c>
      <c r="AH153" s="17">
        <v>600000</v>
      </c>
      <c r="AI153" s="21">
        <v>45926</v>
      </c>
      <c r="AJ153" s="17">
        <v>200000</v>
      </c>
      <c r="AK153" s="20">
        <v>45958</v>
      </c>
      <c r="AL153" s="17">
        <v>400000</v>
      </c>
      <c r="AM153" s="17"/>
    </row>
    <row r="154" spans="1:39" x14ac:dyDescent="0.3">
      <c r="A154" s="17" t="s">
        <v>3324</v>
      </c>
      <c r="B154" s="17">
        <v>2025</v>
      </c>
      <c r="C154" s="17" t="s">
        <v>2871</v>
      </c>
      <c r="D154" s="17" t="s">
        <v>94</v>
      </c>
      <c r="E154" s="17" t="s">
        <v>1322</v>
      </c>
      <c r="F154" s="17" t="s">
        <v>3325</v>
      </c>
      <c r="G154" s="19">
        <v>113</v>
      </c>
      <c r="H154" s="19" t="s">
        <v>1098</v>
      </c>
      <c r="I154" s="20">
        <v>45895</v>
      </c>
      <c r="J154" s="20">
        <v>45895</v>
      </c>
      <c r="K154" s="17"/>
      <c r="L154" s="17" t="s">
        <v>97</v>
      </c>
      <c r="M154" s="17" t="s">
        <v>1322</v>
      </c>
      <c r="N154" s="17" t="s">
        <v>3326</v>
      </c>
      <c r="O154" s="17">
        <v>5</v>
      </c>
      <c r="P154" s="17">
        <v>8258802399</v>
      </c>
      <c r="Q154" s="17">
        <v>82588023990</v>
      </c>
      <c r="R154" s="17" t="s">
        <v>3327</v>
      </c>
      <c r="S154" s="17"/>
      <c r="T154" s="17" t="s">
        <v>3328</v>
      </c>
      <c r="U154" s="17" t="s">
        <v>3329</v>
      </c>
      <c r="V154" s="17" t="s">
        <v>3330</v>
      </c>
      <c r="W154" s="17" t="s">
        <v>3327</v>
      </c>
      <c r="X154" s="17" t="s">
        <v>78</v>
      </c>
      <c r="Y154" s="17" t="s">
        <v>3331</v>
      </c>
      <c r="Z154" s="17" t="s">
        <v>3332</v>
      </c>
      <c r="AA154" s="21">
        <v>45924</v>
      </c>
      <c r="AB154" s="17" t="s">
        <v>46</v>
      </c>
      <c r="AC154" s="17" t="s">
        <v>3332</v>
      </c>
      <c r="AD154" s="21">
        <v>45896</v>
      </c>
      <c r="AE154" s="17">
        <v>650000</v>
      </c>
      <c r="AF154" s="17">
        <v>250000</v>
      </c>
      <c r="AG154" s="17">
        <v>400000</v>
      </c>
      <c r="AH154" s="17">
        <v>650000</v>
      </c>
      <c r="AI154" s="21">
        <v>45908</v>
      </c>
      <c r="AJ154" s="17">
        <v>250000</v>
      </c>
      <c r="AK154" s="20">
        <v>45958</v>
      </c>
      <c r="AL154" s="17">
        <v>400000</v>
      </c>
      <c r="AM154" s="17"/>
    </row>
    <row r="155" spans="1:39" x14ac:dyDescent="0.3">
      <c r="A155" s="17" t="s">
        <v>2438</v>
      </c>
      <c r="B155" s="17">
        <v>2025</v>
      </c>
      <c r="C155" s="17" t="s">
        <v>2871</v>
      </c>
      <c r="D155" s="17" t="s">
        <v>2439</v>
      </c>
      <c r="E155" s="17" t="s">
        <v>1322</v>
      </c>
      <c r="F155" s="17" t="s">
        <v>3333</v>
      </c>
      <c r="G155" s="19">
        <v>114</v>
      </c>
      <c r="H155" s="19" t="s">
        <v>1107</v>
      </c>
      <c r="I155" s="20">
        <v>45896</v>
      </c>
      <c r="J155" s="20">
        <v>45896</v>
      </c>
      <c r="K155" s="17"/>
      <c r="L155" s="17" t="s">
        <v>46</v>
      </c>
      <c r="M155" s="17" t="s">
        <v>1322</v>
      </c>
      <c r="N155" s="17" t="s">
        <v>2441</v>
      </c>
      <c r="O155" s="17">
        <v>50</v>
      </c>
      <c r="P155" s="17">
        <v>2048203788</v>
      </c>
      <c r="Q155" s="17" t="s">
        <v>2896</v>
      </c>
      <c r="R155" s="17" t="s">
        <v>921</v>
      </c>
      <c r="S155" s="17"/>
      <c r="T155" s="17" t="s">
        <v>2442</v>
      </c>
      <c r="U155" s="17" t="s">
        <v>2443</v>
      </c>
      <c r="V155" s="17" t="s">
        <v>2444</v>
      </c>
      <c r="W155" s="17" t="s">
        <v>1026</v>
      </c>
      <c r="X155" s="17"/>
      <c r="Y155" s="17" t="s">
        <v>2445</v>
      </c>
      <c r="Z155" s="17" t="s">
        <v>2446</v>
      </c>
      <c r="AA155" s="21">
        <v>45925</v>
      </c>
      <c r="AB155" s="17" t="s">
        <v>46</v>
      </c>
      <c r="AC155" s="17" t="s">
        <v>2446</v>
      </c>
      <c r="AD155" s="21">
        <v>45925</v>
      </c>
      <c r="AE155" s="17">
        <v>2150000</v>
      </c>
      <c r="AF155" s="17">
        <v>2150000</v>
      </c>
      <c r="AG155" s="17">
        <v>0</v>
      </c>
      <c r="AH155" s="17">
        <v>2150000</v>
      </c>
      <c r="AI155" s="21">
        <v>45961</v>
      </c>
      <c r="AJ155" s="17">
        <v>2150000</v>
      </c>
      <c r="AK155" s="20" t="s">
        <v>56</v>
      </c>
      <c r="AL155" s="17">
        <v>0</v>
      </c>
      <c r="AM155" s="17"/>
    </row>
    <row r="156" spans="1:39" x14ac:dyDescent="0.3">
      <c r="A156" s="17" t="s">
        <v>3334</v>
      </c>
      <c r="B156" s="17">
        <v>2025</v>
      </c>
      <c r="C156" s="17" t="s">
        <v>2871</v>
      </c>
      <c r="D156" s="17" t="s">
        <v>2953</v>
      </c>
      <c r="E156" s="17" t="s">
        <v>1322</v>
      </c>
      <c r="F156" s="17" t="s">
        <v>3335</v>
      </c>
      <c r="G156" s="19">
        <v>115</v>
      </c>
      <c r="H156" s="19" t="s">
        <v>1107</v>
      </c>
      <c r="I156" s="20">
        <v>45897</v>
      </c>
      <c r="J156" s="20">
        <v>45897</v>
      </c>
      <c r="K156" s="17"/>
      <c r="L156" s="17" t="s">
        <v>73</v>
      </c>
      <c r="M156" s="17" t="s">
        <v>1322</v>
      </c>
      <c r="N156" s="17" t="s">
        <v>3336</v>
      </c>
      <c r="O156" s="17">
        <v>3</v>
      </c>
      <c r="P156" s="17">
        <v>5888100474</v>
      </c>
      <c r="Q156" s="17">
        <v>58881004746</v>
      </c>
      <c r="R156" s="17" t="s">
        <v>3337</v>
      </c>
      <c r="S156" s="17"/>
      <c r="T156" s="17" t="s">
        <v>3338</v>
      </c>
      <c r="U156" s="17"/>
      <c r="V156" s="17"/>
      <c r="W156" s="17" t="s">
        <v>2958</v>
      </c>
      <c r="X156" s="17" t="s">
        <v>2959</v>
      </c>
      <c r="Y156" s="17" t="s">
        <v>2960</v>
      </c>
      <c r="Z156" s="17" t="s">
        <v>2961</v>
      </c>
      <c r="AA156" s="21">
        <v>45925</v>
      </c>
      <c r="AB156" s="17" t="s">
        <v>73</v>
      </c>
      <c r="AC156" s="17"/>
      <c r="AD156" s="21" t="s">
        <v>69</v>
      </c>
      <c r="AE156" s="17">
        <v>784750</v>
      </c>
      <c r="AF156" s="17">
        <v>0</v>
      </c>
      <c r="AG156" s="17">
        <v>784750</v>
      </c>
      <c r="AH156" s="17">
        <v>784750</v>
      </c>
      <c r="AI156" s="21"/>
      <c r="AJ156" s="17">
        <v>0</v>
      </c>
      <c r="AK156" s="20">
        <v>45958</v>
      </c>
      <c r="AL156" s="17">
        <v>784750</v>
      </c>
      <c r="AM156" s="17"/>
    </row>
    <row r="157" spans="1:39" x14ac:dyDescent="0.3">
      <c r="A157" s="17" t="s">
        <v>1962</v>
      </c>
      <c r="B157" s="17">
        <v>2025</v>
      </c>
      <c r="C157" s="17" t="s">
        <v>2871</v>
      </c>
      <c r="D157" s="17" t="s">
        <v>94</v>
      </c>
      <c r="E157" s="17" t="s">
        <v>1322</v>
      </c>
      <c r="F157" s="17" t="s">
        <v>3339</v>
      </c>
      <c r="G157" s="19">
        <v>116</v>
      </c>
      <c r="H157" s="19" t="s">
        <v>1117</v>
      </c>
      <c r="I157" s="20">
        <v>45902</v>
      </c>
      <c r="J157" s="20">
        <v>45902</v>
      </c>
      <c r="K157" s="17"/>
      <c r="L157" s="17" t="s">
        <v>61</v>
      </c>
      <c r="M157" s="17" t="s">
        <v>1322</v>
      </c>
      <c r="N157" s="17" t="s">
        <v>1964</v>
      </c>
      <c r="O157" s="17">
        <v>45</v>
      </c>
      <c r="P157" s="17">
        <v>3148626446</v>
      </c>
      <c r="Q157" s="17" t="s">
        <v>3340</v>
      </c>
      <c r="R157" s="17" t="s">
        <v>1965</v>
      </c>
      <c r="S157" s="17"/>
      <c r="T157" s="17" t="s">
        <v>1966</v>
      </c>
      <c r="U157" s="17" t="s">
        <v>1967</v>
      </c>
      <c r="V157" s="17" t="s">
        <v>1968</v>
      </c>
      <c r="W157" s="17" t="s">
        <v>1969</v>
      </c>
      <c r="X157" s="17"/>
      <c r="Y157" s="17" t="s">
        <v>1970</v>
      </c>
      <c r="Z157" s="17" t="s">
        <v>1971</v>
      </c>
      <c r="AA157" s="21"/>
      <c r="AB157" s="17"/>
      <c r="AC157" s="17" t="s">
        <v>1971</v>
      </c>
      <c r="AD157" s="21">
        <v>45902</v>
      </c>
      <c r="AE157" s="17">
        <v>750000</v>
      </c>
      <c r="AF157" s="17">
        <v>350000</v>
      </c>
      <c r="AG157" s="17">
        <v>400000</v>
      </c>
      <c r="AH157" s="17">
        <v>750000</v>
      </c>
      <c r="AI157" s="21">
        <v>45918</v>
      </c>
      <c r="AJ157" s="17">
        <v>350000</v>
      </c>
      <c r="AK157" s="20">
        <v>45980</v>
      </c>
      <c r="AL157" s="17">
        <v>400000</v>
      </c>
      <c r="AM157" s="17"/>
    </row>
    <row r="158" spans="1:39" x14ac:dyDescent="0.3">
      <c r="A158" s="17" t="s">
        <v>2476</v>
      </c>
      <c r="B158" s="17">
        <v>2025</v>
      </c>
      <c r="C158" s="17" t="s">
        <v>2871</v>
      </c>
      <c r="D158" s="17" t="s">
        <v>94</v>
      </c>
      <c r="E158" s="17" t="s">
        <v>1322</v>
      </c>
      <c r="F158" s="17" t="s">
        <v>3341</v>
      </c>
      <c r="G158" s="19">
        <v>117</v>
      </c>
      <c r="H158" s="19" t="s">
        <v>1127</v>
      </c>
      <c r="I158" s="20">
        <v>45902</v>
      </c>
      <c r="J158" s="20">
        <v>45902</v>
      </c>
      <c r="K158" s="17"/>
      <c r="L158" s="17" t="s">
        <v>181</v>
      </c>
      <c r="M158" s="17" t="s">
        <v>1322</v>
      </c>
      <c r="N158" s="17" t="s">
        <v>2478</v>
      </c>
      <c r="O158" s="17">
        <v>8</v>
      </c>
      <c r="P158" s="17">
        <v>6330601626</v>
      </c>
      <c r="Q158" s="17" t="s">
        <v>3342</v>
      </c>
      <c r="R158" s="17" t="s">
        <v>2479</v>
      </c>
      <c r="S158" s="17"/>
      <c r="T158" s="17" t="s">
        <v>2480</v>
      </c>
      <c r="U158" s="17" t="s">
        <v>2481</v>
      </c>
      <c r="V158" s="17" t="s">
        <v>2482</v>
      </c>
      <c r="W158" s="17" t="s">
        <v>2479</v>
      </c>
      <c r="X158" s="17" t="s">
        <v>78</v>
      </c>
      <c r="Y158" s="17" t="s">
        <v>2483</v>
      </c>
      <c r="Z158" s="17" t="s">
        <v>2484</v>
      </c>
      <c r="AA158" s="21"/>
      <c r="AB158" s="17"/>
      <c r="AC158" s="17" t="s">
        <v>2484</v>
      </c>
      <c r="AD158" s="21">
        <v>45902</v>
      </c>
      <c r="AE158" s="17">
        <v>600000</v>
      </c>
      <c r="AF158" s="17">
        <v>200000</v>
      </c>
      <c r="AG158" s="17">
        <v>400000</v>
      </c>
      <c r="AH158" s="17">
        <v>600000</v>
      </c>
      <c r="AI158" s="21">
        <v>45905</v>
      </c>
      <c r="AJ158" s="17">
        <v>200000</v>
      </c>
      <c r="AK158" s="20">
        <v>45980</v>
      </c>
      <c r="AL158" s="17">
        <v>400000</v>
      </c>
      <c r="AM158" s="17"/>
    </row>
    <row r="159" spans="1:39" x14ac:dyDescent="0.3">
      <c r="A159" s="17" t="s">
        <v>2048</v>
      </c>
      <c r="B159" s="17">
        <v>2025</v>
      </c>
      <c r="C159" s="17" t="s">
        <v>2871</v>
      </c>
      <c r="D159" s="17" t="s">
        <v>94</v>
      </c>
      <c r="E159" s="17" t="s">
        <v>1322</v>
      </c>
      <c r="F159" s="17" t="s">
        <v>3343</v>
      </c>
      <c r="G159" s="19">
        <v>118</v>
      </c>
      <c r="H159" s="19" t="s">
        <v>1127</v>
      </c>
      <c r="I159" s="20">
        <v>45902</v>
      </c>
      <c r="J159" s="20">
        <v>45902</v>
      </c>
      <c r="K159" s="17"/>
      <c r="L159" s="17" t="s">
        <v>46</v>
      </c>
      <c r="M159" s="17" t="s">
        <v>1322</v>
      </c>
      <c r="N159" s="17" t="s">
        <v>2050</v>
      </c>
      <c r="O159" s="17">
        <v>2</v>
      </c>
      <c r="P159" s="17">
        <v>3052115155</v>
      </c>
      <c r="Q159" s="17" t="s">
        <v>3344</v>
      </c>
      <c r="R159" s="17" t="s">
        <v>2051</v>
      </c>
      <c r="S159" s="17"/>
      <c r="T159" s="17" t="s">
        <v>2052</v>
      </c>
      <c r="U159" s="17" t="s">
        <v>2053</v>
      </c>
      <c r="V159" s="17" t="s">
        <v>2054</v>
      </c>
      <c r="W159" s="17" t="s">
        <v>2051</v>
      </c>
      <c r="X159" s="17" t="s">
        <v>78</v>
      </c>
      <c r="Y159" s="17" t="s">
        <v>2055</v>
      </c>
      <c r="Z159" s="17" t="s">
        <v>2056</v>
      </c>
      <c r="AA159" s="21">
        <v>45930</v>
      </c>
      <c r="AB159" s="17" t="s">
        <v>73</v>
      </c>
      <c r="AC159" s="17" t="s">
        <v>2056</v>
      </c>
      <c r="AD159" s="21">
        <v>45902</v>
      </c>
      <c r="AE159" s="17">
        <v>600000</v>
      </c>
      <c r="AF159" s="17">
        <v>200000</v>
      </c>
      <c r="AG159" s="17">
        <v>400000</v>
      </c>
      <c r="AH159" s="17">
        <v>400000</v>
      </c>
      <c r="AI159" s="21"/>
      <c r="AJ159" s="17">
        <v>0</v>
      </c>
      <c r="AK159" s="20">
        <v>45958</v>
      </c>
      <c r="AL159" s="17">
        <v>400000</v>
      </c>
      <c r="AM159" s="17"/>
    </row>
    <row r="160" spans="1:39" x14ac:dyDescent="0.3">
      <c r="A160" s="17" t="s">
        <v>1837</v>
      </c>
      <c r="B160" s="17">
        <v>2025</v>
      </c>
      <c r="C160" s="17" t="s">
        <v>2871</v>
      </c>
      <c r="D160" s="17" t="s">
        <v>71</v>
      </c>
      <c r="E160" s="17" t="s">
        <v>1322</v>
      </c>
      <c r="F160" s="17" t="s">
        <v>3345</v>
      </c>
      <c r="G160" s="19">
        <v>119</v>
      </c>
      <c r="H160" s="19" t="s">
        <v>1138</v>
      </c>
      <c r="I160" s="20">
        <v>45902</v>
      </c>
      <c r="J160" s="20">
        <v>45902</v>
      </c>
      <c r="K160" s="17"/>
      <c r="L160" s="17" t="s">
        <v>73</v>
      </c>
      <c r="M160" s="17" t="s">
        <v>1322</v>
      </c>
      <c r="N160" s="17" t="s">
        <v>1839</v>
      </c>
      <c r="O160" s="17">
        <v>9</v>
      </c>
      <c r="P160" s="17">
        <v>3060278109</v>
      </c>
      <c r="Q160" s="17">
        <v>30602781090</v>
      </c>
      <c r="R160" s="17" t="s">
        <v>1840</v>
      </c>
      <c r="S160" s="17"/>
      <c r="T160" s="17" t="s">
        <v>1841</v>
      </c>
      <c r="U160" s="17" t="s">
        <v>1842</v>
      </c>
      <c r="V160" s="17" t="s">
        <v>1843</v>
      </c>
      <c r="W160" s="17" t="s">
        <v>1844</v>
      </c>
      <c r="X160" s="17" t="s">
        <v>78</v>
      </c>
      <c r="Y160" s="17" t="s">
        <v>1845</v>
      </c>
      <c r="Z160" s="17" t="s">
        <v>1846</v>
      </c>
      <c r="AA160" s="21">
        <v>45925</v>
      </c>
      <c r="AB160" s="17" t="s">
        <v>73</v>
      </c>
      <c r="AC160" s="17" t="s">
        <v>1846</v>
      </c>
      <c r="AD160" s="21">
        <v>45925</v>
      </c>
      <c r="AE160" s="17">
        <v>1900000</v>
      </c>
      <c r="AF160" s="17">
        <v>1500000</v>
      </c>
      <c r="AG160" s="17">
        <v>400000</v>
      </c>
      <c r="AH160" s="17">
        <v>1900000</v>
      </c>
      <c r="AI160" s="21">
        <v>45964</v>
      </c>
      <c r="AJ160" s="17">
        <v>1500000</v>
      </c>
      <c r="AK160" s="20">
        <v>45958</v>
      </c>
      <c r="AL160" s="17">
        <v>400000</v>
      </c>
      <c r="AM160" s="17"/>
    </row>
    <row r="161" spans="1:39" x14ac:dyDescent="0.3">
      <c r="A161" s="17" t="s">
        <v>2679</v>
      </c>
      <c r="B161" s="17">
        <v>2025</v>
      </c>
      <c r="C161" s="17" t="s">
        <v>2871</v>
      </c>
      <c r="D161" s="17" t="s">
        <v>94</v>
      </c>
      <c r="E161" s="17" t="s">
        <v>1322</v>
      </c>
      <c r="F161" s="17" t="s">
        <v>3346</v>
      </c>
      <c r="G161" s="19">
        <v>120</v>
      </c>
      <c r="H161" s="19" t="s">
        <v>1146</v>
      </c>
      <c r="I161" s="20">
        <v>45903</v>
      </c>
      <c r="J161" s="20">
        <v>45903</v>
      </c>
      <c r="K161" s="17"/>
      <c r="L161" s="17" t="s">
        <v>61</v>
      </c>
      <c r="M161" s="17" t="s">
        <v>1322</v>
      </c>
      <c r="N161" s="17" t="s">
        <v>2682</v>
      </c>
      <c r="O161" s="17">
        <v>5</v>
      </c>
      <c r="P161" s="17">
        <v>7585000517</v>
      </c>
      <c r="Q161" s="17" t="s">
        <v>3347</v>
      </c>
      <c r="R161" s="17" t="s">
        <v>2683</v>
      </c>
      <c r="S161" s="17"/>
      <c r="T161" s="17" t="s">
        <v>2684</v>
      </c>
      <c r="U161" s="17"/>
      <c r="V161" s="17" t="s">
        <v>2685</v>
      </c>
      <c r="W161" s="17" t="s">
        <v>2686</v>
      </c>
      <c r="X161" s="17" t="s">
        <v>78</v>
      </c>
      <c r="Y161" s="17" t="s">
        <v>2687</v>
      </c>
      <c r="Z161" s="17" t="s">
        <v>2688</v>
      </c>
      <c r="AA161" s="21"/>
      <c r="AB161" s="17"/>
      <c r="AC161" s="17" t="s">
        <v>2688</v>
      </c>
      <c r="AD161" s="21">
        <v>45904</v>
      </c>
      <c r="AE161" s="17">
        <v>600000</v>
      </c>
      <c r="AF161" s="17">
        <v>200000</v>
      </c>
      <c r="AG161" s="17">
        <v>400000</v>
      </c>
      <c r="AH161" s="17">
        <v>400000</v>
      </c>
      <c r="AI161" s="21"/>
      <c r="AJ161" s="17">
        <v>0</v>
      </c>
      <c r="AK161" s="20">
        <v>45980</v>
      </c>
      <c r="AL161" s="17">
        <v>400000</v>
      </c>
      <c r="AM161" s="17"/>
    </row>
    <row r="162" spans="1:39" x14ac:dyDescent="0.3">
      <c r="A162" s="17" t="s">
        <v>2611</v>
      </c>
      <c r="B162" s="17">
        <v>2025</v>
      </c>
      <c r="C162" s="17" t="s">
        <v>2871</v>
      </c>
      <c r="D162" s="17" t="s">
        <v>94</v>
      </c>
      <c r="E162" s="17" t="s">
        <v>1322</v>
      </c>
      <c r="F162" s="17" t="s">
        <v>3348</v>
      </c>
      <c r="G162" s="19">
        <v>121</v>
      </c>
      <c r="H162" s="19" t="s">
        <v>1157</v>
      </c>
      <c r="I162" s="20">
        <v>45903</v>
      </c>
      <c r="J162" s="20">
        <v>45903</v>
      </c>
      <c r="K162" s="17"/>
      <c r="L162" s="17" t="s">
        <v>97</v>
      </c>
      <c r="M162" s="17" t="s">
        <v>1322</v>
      </c>
      <c r="N162" s="17" t="s">
        <v>2613</v>
      </c>
      <c r="O162" s="17">
        <v>13</v>
      </c>
      <c r="P162" s="17">
        <v>3068122347</v>
      </c>
      <c r="Q162" s="17" t="s">
        <v>3349</v>
      </c>
      <c r="R162" s="17" t="s">
        <v>2614</v>
      </c>
      <c r="S162" s="17"/>
      <c r="T162" s="17" t="s">
        <v>2615</v>
      </c>
      <c r="U162" s="17" t="s">
        <v>2616</v>
      </c>
      <c r="V162" s="17" t="s">
        <v>2617</v>
      </c>
      <c r="W162" s="17" t="s">
        <v>2618</v>
      </c>
      <c r="X162" s="17" t="s">
        <v>134</v>
      </c>
      <c r="Y162" s="17" t="s">
        <v>2619</v>
      </c>
      <c r="Z162" s="17" t="s">
        <v>2620</v>
      </c>
      <c r="AA162" s="21"/>
      <c r="AB162" s="17"/>
      <c r="AC162" s="17" t="s">
        <v>2620</v>
      </c>
      <c r="AD162" s="21">
        <v>45904</v>
      </c>
      <c r="AE162" s="17">
        <v>600000</v>
      </c>
      <c r="AF162" s="17">
        <v>200000</v>
      </c>
      <c r="AG162" s="17">
        <v>400000</v>
      </c>
      <c r="AH162" s="17">
        <v>600000</v>
      </c>
      <c r="AI162" s="21">
        <v>45932</v>
      </c>
      <c r="AJ162" s="17">
        <v>200000</v>
      </c>
      <c r="AK162" s="20">
        <v>45980</v>
      </c>
      <c r="AL162" s="17">
        <v>400000</v>
      </c>
      <c r="AM162" s="17"/>
    </row>
    <row r="163" spans="1:39" x14ac:dyDescent="0.3">
      <c r="A163" s="17" t="s">
        <v>2621</v>
      </c>
      <c r="B163" s="17">
        <v>2025</v>
      </c>
      <c r="C163" s="17" t="s">
        <v>2871</v>
      </c>
      <c r="D163" s="17" t="s">
        <v>94</v>
      </c>
      <c r="E163" s="17" t="s">
        <v>1322</v>
      </c>
      <c r="F163" s="17" t="s">
        <v>3350</v>
      </c>
      <c r="G163" s="19">
        <v>122</v>
      </c>
      <c r="H163" s="19" t="s">
        <v>1172</v>
      </c>
      <c r="I163" s="20">
        <v>45903</v>
      </c>
      <c r="J163" s="20">
        <v>45903</v>
      </c>
      <c r="K163" s="17"/>
      <c r="L163" s="17" t="s">
        <v>181</v>
      </c>
      <c r="M163" s="17" t="s">
        <v>1322</v>
      </c>
      <c r="N163" s="17" t="s">
        <v>2623</v>
      </c>
      <c r="O163" s="17">
        <v>6</v>
      </c>
      <c r="P163" s="17">
        <v>3180124593</v>
      </c>
      <c r="Q163" s="17" t="s">
        <v>3351</v>
      </c>
      <c r="R163" s="17" t="s">
        <v>2624</v>
      </c>
      <c r="S163" s="17"/>
      <c r="T163" s="17" t="s">
        <v>2625</v>
      </c>
      <c r="U163" s="17" t="s">
        <v>2626</v>
      </c>
      <c r="V163" s="17" t="s">
        <v>2627</v>
      </c>
      <c r="W163" s="17" t="s">
        <v>2624</v>
      </c>
      <c r="X163" s="17" t="s">
        <v>78</v>
      </c>
      <c r="Y163" s="17" t="s">
        <v>2628</v>
      </c>
      <c r="Z163" s="17" t="s">
        <v>2629</v>
      </c>
      <c r="AA163" s="21"/>
      <c r="AB163" s="17"/>
      <c r="AC163" s="17" t="s">
        <v>2629</v>
      </c>
      <c r="AD163" s="21">
        <v>45904</v>
      </c>
      <c r="AE163" s="17">
        <v>600000</v>
      </c>
      <c r="AF163" s="17">
        <v>200000</v>
      </c>
      <c r="AG163" s="17">
        <v>400000</v>
      </c>
      <c r="AH163" s="17">
        <v>600000</v>
      </c>
      <c r="AI163" s="21">
        <v>45904</v>
      </c>
      <c r="AJ163" s="17">
        <v>200000</v>
      </c>
      <c r="AK163" s="20">
        <v>45980</v>
      </c>
      <c r="AL163" s="17">
        <v>400000</v>
      </c>
      <c r="AM163" s="17"/>
    </row>
    <row r="164" spans="1:39" x14ac:dyDescent="0.3">
      <c r="A164" s="17" t="s">
        <v>2494</v>
      </c>
      <c r="B164" s="17">
        <v>2025</v>
      </c>
      <c r="C164" s="17" t="s">
        <v>2871</v>
      </c>
      <c r="D164" s="17" t="s">
        <v>94</v>
      </c>
      <c r="E164" s="17" t="s">
        <v>1322</v>
      </c>
      <c r="F164" s="17" t="s">
        <v>3352</v>
      </c>
      <c r="G164" s="19">
        <v>123</v>
      </c>
      <c r="H164" s="19" t="s">
        <v>1172</v>
      </c>
      <c r="I164" s="20">
        <v>45904</v>
      </c>
      <c r="J164" s="20">
        <v>45904</v>
      </c>
      <c r="K164" s="17"/>
      <c r="L164" s="17" t="s">
        <v>46</v>
      </c>
      <c r="M164" s="17" t="s">
        <v>1322</v>
      </c>
      <c r="N164" s="17" t="s">
        <v>2496</v>
      </c>
      <c r="O164" s="17">
        <v>2</v>
      </c>
      <c r="P164" s="17">
        <v>1111269544</v>
      </c>
      <c r="Q164" s="17" t="s">
        <v>3353</v>
      </c>
      <c r="R164" s="17" t="s">
        <v>2497</v>
      </c>
      <c r="S164" s="17"/>
      <c r="T164" s="17" t="s">
        <v>2498</v>
      </c>
      <c r="U164" s="17" t="s">
        <v>2499</v>
      </c>
      <c r="V164" s="17" t="s">
        <v>2500</v>
      </c>
      <c r="W164" s="17" t="s">
        <v>2497</v>
      </c>
      <c r="X164" s="17" t="s">
        <v>78</v>
      </c>
      <c r="Y164" s="17" t="s">
        <v>2501</v>
      </c>
      <c r="Z164" s="17" t="s">
        <v>2502</v>
      </c>
      <c r="AA164" s="21"/>
      <c r="AB164" s="17"/>
      <c r="AC164" s="17" t="s">
        <v>2502</v>
      </c>
      <c r="AD164" s="21">
        <v>45905</v>
      </c>
      <c r="AE164" s="17">
        <v>600000</v>
      </c>
      <c r="AF164" s="17">
        <v>200000</v>
      </c>
      <c r="AG164" s="17">
        <v>400000</v>
      </c>
      <c r="AH164" s="17">
        <v>400000</v>
      </c>
      <c r="AI164" s="21"/>
      <c r="AJ164" s="17">
        <v>0</v>
      </c>
      <c r="AK164" s="20">
        <v>45980</v>
      </c>
      <c r="AL164" s="17">
        <v>400000</v>
      </c>
      <c r="AM164" s="17"/>
    </row>
    <row r="165" spans="1:39" x14ac:dyDescent="0.3">
      <c r="A165" s="17" t="s">
        <v>2572</v>
      </c>
      <c r="B165" s="17">
        <v>2025</v>
      </c>
      <c r="C165" s="17" t="s">
        <v>2871</v>
      </c>
      <c r="D165" s="17" t="s">
        <v>94</v>
      </c>
      <c r="E165" s="17" t="s">
        <v>1322</v>
      </c>
      <c r="F165" s="17" t="s">
        <v>3354</v>
      </c>
      <c r="G165" s="19">
        <v>124</v>
      </c>
      <c r="H165" s="19" t="s">
        <v>1172</v>
      </c>
      <c r="I165" s="20">
        <v>45904</v>
      </c>
      <c r="J165" s="20">
        <v>45904</v>
      </c>
      <c r="K165" s="17"/>
      <c r="L165" s="17" t="s">
        <v>218</v>
      </c>
      <c r="M165" s="17" t="s">
        <v>1322</v>
      </c>
      <c r="N165" s="17" t="s">
        <v>2574</v>
      </c>
      <c r="O165" s="17">
        <v>3</v>
      </c>
      <c r="P165" s="17">
        <v>4705100652</v>
      </c>
      <c r="Q165" s="17">
        <v>47051006520</v>
      </c>
      <c r="R165" s="17" t="s">
        <v>2575</v>
      </c>
      <c r="S165" s="17"/>
      <c r="T165" s="17" t="s">
        <v>2394</v>
      </c>
      <c r="U165" s="17" t="s">
        <v>2576</v>
      </c>
      <c r="V165" s="17" t="s">
        <v>2577</v>
      </c>
      <c r="W165" s="17" t="s">
        <v>2578</v>
      </c>
      <c r="X165" s="17" t="s">
        <v>66</v>
      </c>
      <c r="Y165" s="17" t="s">
        <v>2579</v>
      </c>
      <c r="Z165" s="17" t="s">
        <v>2580</v>
      </c>
      <c r="AA165" s="21"/>
      <c r="AB165" s="17"/>
      <c r="AC165" s="17" t="s">
        <v>2580</v>
      </c>
      <c r="AD165" s="21">
        <v>45905</v>
      </c>
      <c r="AE165" s="17">
        <v>600000</v>
      </c>
      <c r="AF165" s="17">
        <v>200000</v>
      </c>
      <c r="AG165" s="17">
        <v>400000</v>
      </c>
      <c r="AH165" s="17">
        <v>400000</v>
      </c>
      <c r="AI165" s="21"/>
      <c r="AJ165" s="17">
        <v>0</v>
      </c>
      <c r="AK165" s="20">
        <v>45980</v>
      </c>
      <c r="AL165" s="17">
        <v>400000</v>
      </c>
      <c r="AM165" s="17"/>
    </row>
    <row r="166" spans="1:39" x14ac:dyDescent="0.3">
      <c r="A166" s="17" t="s">
        <v>2668</v>
      </c>
      <c r="B166" s="17">
        <v>2025</v>
      </c>
      <c r="C166" s="17" t="s">
        <v>2871</v>
      </c>
      <c r="D166" s="17" t="s">
        <v>94</v>
      </c>
      <c r="E166" s="17" t="s">
        <v>1322</v>
      </c>
      <c r="F166" s="17" t="s">
        <v>3355</v>
      </c>
      <c r="G166" s="19">
        <v>125</v>
      </c>
      <c r="H166" s="19" t="s">
        <v>1178</v>
      </c>
      <c r="I166" s="20">
        <v>45904</v>
      </c>
      <c r="J166" s="20">
        <v>45904</v>
      </c>
      <c r="K166" s="17"/>
      <c r="L166" s="17" t="s">
        <v>181</v>
      </c>
      <c r="M166" s="17" t="s">
        <v>1322</v>
      </c>
      <c r="N166" s="17" t="s">
        <v>2671</v>
      </c>
      <c r="O166" s="17">
        <v>6</v>
      </c>
      <c r="P166" s="17">
        <v>3140393020</v>
      </c>
      <c r="Q166" s="17" t="s">
        <v>3356</v>
      </c>
      <c r="R166" s="17" t="s">
        <v>2672</v>
      </c>
      <c r="S166" s="17"/>
      <c r="T166" s="17" t="s">
        <v>2673</v>
      </c>
      <c r="U166" s="17" t="s">
        <v>2674</v>
      </c>
      <c r="V166" s="17" t="s">
        <v>2675</v>
      </c>
      <c r="W166" s="17" t="s">
        <v>2676</v>
      </c>
      <c r="X166" s="17" t="s">
        <v>134</v>
      </c>
      <c r="Y166" s="17" t="s">
        <v>2677</v>
      </c>
      <c r="Z166" s="17" t="s">
        <v>2678</v>
      </c>
      <c r="AA166" s="21"/>
      <c r="AB166" s="17"/>
      <c r="AC166" s="17" t="s">
        <v>2678</v>
      </c>
      <c r="AD166" s="21">
        <v>45905</v>
      </c>
      <c r="AE166" s="17">
        <v>600000</v>
      </c>
      <c r="AF166" s="17">
        <v>200000</v>
      </c>
      <c r="AG166" s="17">
        <v>400000</v>
      </c>
      <c r="AH166" s="17">
        <v>400000</v>
      </c>
      <c r="AI166" s="21"/>
      <c r="AJ166" s="17">
        <v>0</v>
      </c>
      <c r="AK166" s="20">
        <v>45980</v>
      </c>
      <c r="AL166" s="17">
        <v>400000</v>
      </c>
      <c r="AM166" s="17"/>
    </row>
    <row r="167" spans="1:39" x14ac:dyDescent="0.3">
      <c r="A167" s="17" t="s">
        <v>2430</v>
      </c>
      <c r="B167" s="17">
        <v>2025</v>
      </c>
      <c r="C167" s="17" t="s">
        <v>2871</v>
      </c>
      <c r="D167" s="17" t="s">
        <v>94</v>
      </c>
      <c r="E167" s="17" t="s">
        <v>1322</v>
      </c>
      <c r="F167" s="17" t="s">
        <v>3357</v>
      </c>
      <c r="G167" s="19">
        <v>126</v>
      </c>
      <c r="H167" s="19" t="s">
        <v>1189</v>
      </c>
      <c r="I167" s="20">
        <v>45904</v>
      </c>
      <c r="J167" s="20">
        <v>45904</v>
      </c>
      <c r="K167" s="17"/>
      <c r="L167" s="17" t="s">
        <v>61</v>
      </c>
      <c r="M167" s="17" t="s">
        <v>1322</v>
      </c>
      <c r="N167" s="17" t="s">
        <v>2432</v>
      </c>
      <c r="O167" s="17">
        <v>6</v>
      </c>
      <c r="P167" s="17">
        <v>6098135227</v>
      </c>
      <c r="Q167" s="17">
        <v>60981352276</v>
      </c>
      <c r="R167" s="17" t="s">
        <v>2433</v>
      </c>
      <c r="S167" s="17"/>
      <c r="T167" s="17" t="s">
        <v>2434</v>
      </c>
      <c r="U167" s="17"/>
      <c r="V167" s="17"/>
      <c r="W167" s="17" t="s">
        <v>2435</v>
      </c>
      <c r="X167" s="17" t="s">
        <v>532</v>
      </c>
      <c r="Y167" s="17" t="s">
        <v>2436</v>
      </c>
      <c r="Z167" s="17" t="s">
        <v>2437</v>
      </c>
      <c r="AA167" s="21"/>
      <c r="AB167" s="17"/>
      <c r="AC167" s="17" t="s">
        <v>2437</v>
      </c>
      <c r="AD167" s="21">
        <v>45943</v>
      </c>
      <c r="AE167" s="17">
        <v>1300000</v>
      </c>
      <c r="AF167" s="17">
        <v>1300000</v>
      </c>
      <c r="AG167" s="17">
        <v>0</v>
      </c>
      <c r="AH167" s="17">
        <v>1300000</v>
      </c>
      <c r="AI167" s="21">
        <v>45951</v>
      </c>
      <c r="AJ167" s="17">
        <v>1300000</v>
      </c>
      <c r="AK167" s="20" t="s">
        <v>56</v>
      </c>
      <c r="AL167" s="17">
        <v>0</v>
      </c>
      <c r="AM167" s="17"/>
    </row>
    <row r="168" spans="1:39" x14ac:dyDescent="0.3">
      <c r="A168" s="17" t="s">
        <v>1828</v>
      </c>
      <c r="B168" s="17">
        <v>2025</v>
      </c>
      <c r="C168" s="17" t="s">
        <v>2871</v>
      </c>
      <c r="D168" s="17" t="s">
        <v>94</v>
      </c>
      <c r="E168" s="17" t="s">
        <v>1322</v>
      </c>
      <c r="F168" s="17" t="s">
        <v>3358</v>
      </c>
      <c r="G168" s="19">
        <v>127</v>
      </c>
      <c r="H168" s="19" t="s">
        <v>1206</v>
      </c>
      <c r="I168" s="20">
        <v>45908</v>
      </c>
      <c r="J168" s="20">
        <v>45908</v>
      </c>
      <c r="K168" s="17"/>
      <c r="L168" s="17" t="s">
        <v>73</v>
      </c>
      <c r="M168" s="17" t="s">
        <v>1322</v>
      </c>
      <c r="N168" s="17" t="s">
        <v>1830</v>
      </c>
      <c r="O168" s="17">
        <v>74</v>
      </c>
      <c r="P168" s="17">
        <v>6878100785</v>
      </c>
      <c r="Q168" s="17">
        <v>11881160786</v>
      </c>
      <c r="R168" s="17" t="s">
        <v>1831</v>
      </c>
      <c r="S168" s="17"/>
      <c r="T168" s="17" t="s">
        <v>1832</v>
      </c>
      <c r="U168" s="17"/>
      <c r="V168" s="17"/>
      <c r="W168" s="17" t="s">
        <v>1833</v>
      </c>
      <c r="X168" s="17" t="s">
        <v>1834</v>
      </c>
      <c r="Y168" s="17" t="s">
        <v>1835</v>
      </c>
      <c r="Z168" s="17" t="s">
        <v>1836</v>
      </c>
      <c r="AA168" s="21">
        <v>45930</v>
      </c>
      <c r="AB168" s="17" t="s">
        <v>73</v>
      </c>
      <c r="AC168" s="17" t="s">
        <v>1836</v>
      </c>
      <c r="AD168" s="21">
        <v>45946</v>
      </c>
      <c r="AE168" s="17">
        <v>1800000</v>
      </c>
      <c r="AF168" s="17">
        <v>1800000</v>
      </c>
      <c r="AG168" s="17">
        <v>0</v>
      </c>
      <c r="AH168" s="17">
        <v>1800000</v>
      </c>
      <c r="AI168" s="21">
        <v>45960</v>
      </c>
      <c r="AJ168" s="17">
        <v>1800000</v>
      </c>
      <c r="AK168" s="20" t="s">
        <v>56</v>
      </c>
      <c r="AL168" s="17">
        <v>0</v>
      </c>
      <c r="AM168" s="17"/>
    </row>
    <row r="169" spans="1:39" x14ac:dyDescent="0.3">
      <c r="A169" s="17" t="s">
        <v>2552</v>
      </c>
      <c r="B169" s="17">
        <v>2025</v>
      </c>
      <c r="C169" s="17" t="s">
        <v>2871</v>
      </c>
      <c r="D169" s="17" t="s">
        <v>94</v>
      </c>
      <c r="E169" s="17" t="s">
        <v>1322</v>
      </c>
      <c r="F169" s="17" t="s">
        <v>3359</v>
      </c>
      <c r="G169" s="19">
        <v>128</v>
      </c>
      <c r="H169" s="19" t="s">
        <v>1218</v>
      </c>
      <c r="I169" s="20">
        <v>45910</v>
      </c>
      <c r="J169" s="20">
        <v>45910</v>
      </c>
      <c r="K169" s="17"/>
      <c r="L169" s="17" t="s">
        <v>97</v>
      </c>
      <c r="M169" s="17" t="s">
        <v>1322</v>
      </c>
      <c r="N169" s="17" t="s">
        <v>2554</v>
      </c>
      <c r="O169" s="17">
        <v>6</v>
      </c>
      <c r="P169" s="17">
        <v>7773900847</v>
      </c>
      <c r="Q169" s="17" t="s">
        <v>3360</v>
      </c>
      <c r="R169" s="17" t="s">
        <v>2555</v>
      </c>
      <c r="S169" s="17"/>
      <c r="T169" s="17" t="s">
        <v>2556</v>
      </c>
      <c r="U169" s="17" t="s">
        <v>2557</v>
      </c>
      <c r="V169" s="17" t="s">
        <v>2558</v>
      </c>
      <c r="W169" s="17" t="s">
        <v>2559</v>
      </c>
      <c r="X169" s="17" t="s">
        <v>78</v>
      </c>
      <c r="Y169" s="17" t="s">
        <v>2560</v>
      </c>
      <c r="Z169" s="17" t="s">
        <v>2561</v>
      </c>
      <c r="AA169" s="21">
        <v>45931</v>
      </c>
      <c r="AB169" s="17" t="s">
        <v>218</v>
      </c>
      <c r="AC169" s="17" t="s">
        <v>2561</v>
      </c>
      <c r="AD169" s="21">
        <v>45911</v>
      </c>
      <c r="AE169" s="17">
        <v>600000</v>
      </c>
      <c r="AF169" s="17">
        <v>200000</v>
      </c>
      <c r="AG169" s="17">
        <v>400000</v>
      </c>
      <c r="AH169" s="17">
        <v>400000</v>
      </c>
      <c r="AI169" s="21"/>
      <c r="AJ169" s="17">
        <v>0</v>
      </c>
      <c r="AK169" s="20">
        <v>45980</v>
      </c>
      <c r="AL169" s="17">
        <v>400000</v>
      </c>
      <c r="AM169" s="17"/>
    </row>
    <row r="170" spans="1:39" x14ac:dyDescent="0.3">
      <c r="A170" s="17" t="s">
        <v>2689</v>
      </c>
      <c r="B170" s="17">
        <v>2025</v>
      </c>
      <c r="C170" s="17" t="s">
        <v>2871</v>
      </c>
      <c r="D170" s="17" t="s">
        <v>94</v>
      </c>
      <c r="E170" s="17" t="s">
        <v>1322</v>
      </c>
      <c r="F170" s="17" t="s">
        <v>3361</v>
      </c>
      <c r="G170" s="19">
        <v>129</v>
      </c>
      <c r="H170" s="19" t="s">
        <v>1226</v>
      </c>
      <c r="I170" s="20">
        <v>45910</v>
      </c>
      <c r="J170" s="20">
        <v>45910</v>
      </c>
      <c r="K170" s="17"/>
      <c r="L170" s="17" t="s">
        <v>61</v>
      </c>
      <c r="M170" s="17" t="s">
        <v>1322</v>
      </c>
      <c r="N170" s="17" t="s">
        <v>2692</v>
      </c>
      <c r="O170" s="17">
        <v>8</v>
      </c>
      <c r="P170" s="17">
        <v>4262900218</v>
      </c>
      <c r="Q170" s="17" t="s">
        <v>3362</v>
      </c>
      <c r="R170" s="17" t="s">
        <v>2693</v>
      </c>
      <c r="S170" s="17"/>
      <c r="T170" s="17" t="s">
        <v>2120</v>
      </c>
      <c r="U170" s="17" t="s">
        <v>2694</v>
      </c>
      <c r="V170" s="17" t="s">
        <v>2695</v>
      </c>
      <c r="W170" s="17" t="s">
        <v>2696</v>
      </c>
      <c r="X170" s="17" t="s">
        <v>78</v>
      </c>
      <c r="Y170" s="17" t="s">
        <v>2697</v>
      </c>
      <c r="Z170" s="17" t="s">
        <v>2698</v>
      </c>
      <c r="AA170" s="21">
        <v>45931</v>
      </c>
      <c r="AB170" s="17" t="s">
        <v>218</v>
      </c>
      <c r="AC170" s="17" t="s">
        <v>2698</v>
      </c>
      <c r="AD170" s="21">
        <v>45911</v>
      </c>
      <c r="AE170" s="17">
        <v>600000</v>
      </c>
      <c r="AF170" s="17">
        <v>200000</v>
      </c>
      <c r="AG170" s="17">
        <v>400000</v>
      </c>
      <c r="AH170" s="17">
        <v>600000</v>
      </c>
      <c r="AI170" s="21">
        <v>46010</v>
      </c>
      <c r="AJ170" s="17">
        <v>200000</v>
      </c>
      <c r="AK170" s="20">
        <v>45980</v>
      </c>
      <c r="AL170" s="17">
        <v>400000</v>
      </c>
      <c r="AM170" s="17"/>
    </row>
    <row r="171" spans="1:39" x14ac:dyDescent="0.3">
      <c r="A171" s="17" t="s">
        <v>2562</v>
      </c>
      <c r="B171" s="17">
        <v>2025</v>
      </c>
      <c r="C171" s="17" t="s">
        <v>2871</v>
      </c>
      <c r="D171" s="17" t="s">
        <v>94</v>
      </c>
      <c r="E171" s="17" t="s">
        <v>1322</v>
      </c>
      <c r="F171" s="17" t="s">
        <v>3363</v>
      </c>
      <c r="G171" s="19">
        <v>130</v>
      </c>
      <c r="H171" s="19" t="s">
        <v>1261</v>
      </c>
      <c r="I171" s="20">
        <v>45910</v>
      </c>
      <c r="J171" s="20">
        <v>45910</v>
      </c>
      <c r="K171" s="17"/>
      <c r="L171" s="17" t="s">
        <v>218</v>
      </c>
      <c r="M171" s="17" t="s">
        <v>1322</v>
      </c>
      <c r="N171" s="17" t="s">
        <v>2564</v>
      </c>
      <c r="O171" s="17">
        <v>8</v>
      </c>
      <c r="P171" s="17">
        <v>2211908993</v>
      </c>
      <c r="Q171" s="17" t="s">
        <v>3364</v>
      </c>
      <c r="R171" s="17" t="s">
        <v>2565</v>
      </c>
      <c r="S171" s="17"/>
      <c r="T171" s="17" t="s">
        <v>2566</v>
      </c>
      <c r="U171" s="17" t="s">
        <v>2567</v>
      </c>
      <c r="V171" s="17" t="s">
        <v>2568</v>
      </c>
      <c r="W171" s="17" t="s">
        <v>2569</v>
      </c>
      <c r="X171" s="17" t="s">
        <v>224</v>
      </c>
      <c r="Y171" s="17" t="s">
        <v>2570</v>
      </c>
      <c r="Z171" s="17" t="s">
        <v>3365</v>
      </c>
      <c r="AA171" s="21">
        <v>45931</v>
      </c>
      <c r="AB171" s="17" t="s">
        <v>218</v>
      </c>
      <c r="AC171" s="17" t="s">
        <v>3365</v>
      </c>
      <c r="AD171" s="21">
        <v>45911</v>
      </c>
      <c r="AE171" s="17">
        <v>600000</v>
      </c>
      <c r="AF171" s="17">
        <v>200000</v>
      </c>
      <c r="AG171" s="17">
        <v>400000</v>
      </c>
      <c r="AH171" s="17">
        <v>600000</v>
      </c>
      <c r="AI171" s="21">
        <v>45961</v>
      </c>
      <c r="AJ171" s="17">
        <v>200000</v>
      </c>
      <c r="AK171" s="20">
        <v>45980</v>
      </c>
      <c r="AL171" s="17">
        <v>400000</v>
      </c>
      <c r="AM171" s="17"/>
    </row>
    <row r="172" spans="1:39" x14ac:dyDescent="0.3">
      <c r="A172" s="17" t="s">
        <v>1972</v>
      </c>
      <c r="B172" s="17">
        <v>2025</v>
      </c>
      <c r="C172" s="17" t="s">
        <v>2871</v>
      </c>
      <c r="D172" s="17" t="s">
        <v>94</v>
      </c>
      <c r="E172" s="17" t="s">
        <v>1322</v>
      </c>
      <c r="F172" s="17" t="s">
        <v>3366</v>
      </c>
      <c r="G172" s="19">
        <v>131</v>
      </c>
      <c r="H172" s="19" t="s">
        <v>1269</v>
      </c>
      <c r="I172" s="20">
        <v>45917</v>
      </c>
      <c r="J172" s="20">
        <v>45917</v>
      </c>
      <c r="K172" s="17"/>
      <c r="L172" s="17" t="s">
        <v>218</v>
      </c>
      <c r="M172" s="17" t="s">
        <v>1322</v>
      </c>
      <c r="N172" s="17" t="s">
        <v>1974</v>
      </c>
      <c r="O172" s="17">
        <v>8</v>
      </c>
      <c r="P172" s="17">
        <v>3148552194</v>
      </c>
      <c r="Q172" s="17" t="s">
        <v>3367</v>
      </c>
      <c r="R172" s="17" t="s">
        <v>1965</v>
      </c>
      <c r="S172" s="17"/>
      <c r="T172" s="17" t="s">
        <v>1975</v>
      </c>
      <c r="U172" s="17" t="s">
        <v>1976</v>
      </c>
      <c r="V172" s="17" t="s">
        <v>1977</v>
      </c>
      <c r="W172" s="17" t="s">
        <v>1978</v>
      </c>
      <c r="X172" s="17" t="s">
        <v>168</v>
      </c>
      <c r="Y172" s="17" t="s">
        <v>1979</v>
      </c>
      <c r="Z172" s="17" t="s">
        <v>1980</v>
      </c>
      <c r="AA172" s="21">
        <v>45945</v>
      </c>
      <c r="AB172" s="17" t="s">
        <v>218</v>
      </c>
      <c r="AC172" s="17" t="s">
        <v>1980</v>
      </c>
      <c r="AD172" s="21">
        <v>45918</v>
      </c>
      <c r="AE172" s="17">
        <v>600000</v>
      </c>
      <c r="AF172" s="17">
        <v>200000</v>
      </c>
      <c r="AG172" s="17">
        <v>400000</v>
      </c>
      <c r="AH172" s="17">
        <v>600000</v>
      </c>
      <c r="AI172" s="21">
        <v>45930</v>
      </c>
      <c r="AJ172" s="17">
        <v>200000</v>
      </c>
      <c r="AK172" s="20">
        <v>46009</v>
      </c>
      <c r="AL172" s="17">
        <v>400000</v>
      </c>
      <c r="AM172" s="17"/>
    </row>
    <row r="173" spans="1:39" x14ac:dyDescent="0.3">
      <c r="A173" s="17" t="s">
        <v>2581</v>
      </c>
      <c r="B173" s="17">
        <v>2025</v>
      </c>
      <c r="C173" s="17" t="s">
        <v>2871</v>
      </c>
      <c r="D173" s="17" t="s">
        <v>71</v>
      </c>
      <c r="E173" s="17" t="s">
        <v>1322</v>
      </c>
      <c r="F173" s="17" t="s">
        <v>3368</v>
      </c>
      <c r="G173" s="19">
        <v>132</v>
      </c>
      <c r="H173" s="19" t="s">
        <v>1289</v>
      </c>
      <c r="I173" s="20">
        <v>45950</v>
      </c>
      <c r="J173" s="20">
        <v>45950</v>
      </c>
      <c r="K173" s="17"/>
      <c r="L173" s="17" t="s">
        <v>73</v>
      </c>
      <c r="M173" s="17" t="s">
        <v>1322</v>
      </c>
      <c r="N173" s="17" t="s">
        <v>2583</v>
      </c>
      <c r="O173" s="17">
        <v>27</v>
      </c>
      <c r="P173" s="17">
        <v>3178105431</v>
      </c>
      <c r="Q173" s="17" t="s">
        <v>3369</v>
      </c>
      <c r="R173" s="17" t="s">
        <v>2584</v>
      </c>
      <c r="S173" s="17"/>
      <c r="T173" s="17" t="s">
        <v>2585</v>
      </c>
      <c r="U173" s="17" t="s">
        <v>2586</v>
      </c>
      <c r="V173" s="17" t="s">
        <v>2587</v>
      </c>
      <c r="W173" s="17" t="s">
        <v>2588</v>
      </c>
      <c r="X173" s="17" t="s">
        <v>134</v>
      </c>
      <c r="Y173" s="17" t="s">
        <v>2589</v>
      </c>
      <c r="Z173" s="17" t="s">
        <v>2590</v>
      </c>
      <c r="AA173" s="21">
        <v>45980</v>
      </c>
      <c r="AB173" s="17" t="s">
        <v>73</v>
      </c>
      <c r="AC173" s="17" t="s">
        <v>2591</v>
      </c>
      <c r="AD173" s="21">
        <v>45965</v>
      </c>
      <c r="AE173" s="17">
        <v>1700000</v>
      </c>
      <c r="AF173" s="17">
        <v>1300000</v>
      </c>
      <c r="AG173" s="17">
        <v>400000</v>
      </c>
      <c r="AH173" s="17">
        <v>1700000</v>
      </c>
      <c r="AI173" s="21">
        <v>45971</v>
      </c>
      <c r="AJ173" s="17">
        <v>1300000</v>
      </c>
      <c r="AK173" s="20">
        <v>46009</v>
      </c>
      <c r="AL173" s="17">
        <v>400000</v>
      </c>
      <c r="AM173" s="17"/>
    </row>
    <row r="174" spans="1:39" x14ac:dyDescent="0.3">
      <c r="A174" s="17" t="s">
        <v>2758</v>
      </c>
      <c r="B174" s="17">
        <v>2025</v>
      </c>
      <c r="C174" s="17" t="s">
        <v>2871</v>
      </c>
      <c r="D174" s="17" t="s">
        <v>94</v>
      </c>
      <c r="E174" s="17" t="s">
        <v>1322</v>
      </c>
      <c r="F174" s="17" t="s">
        <v>3370</v>
      </c>
      <c r="G174" s="19">
        <v>133</v>
      </c>
      <c r="H174" s="19" t="s">
        <v>1301</v>
      </c>
      <c r="I174" s="20">
        <v>45950</v>
      </c>
      <c r="J174" s="20">
        <v>45950</v>
      </c>
      <c r="K174" s="17"/>
      <c r="L174" s="17" t="s">
        <v>218</v>
      </c>
      <c r="M174" s="17" t="s">
        <v>1322</v>
      </c>
      <c r="N174" s="17" t="s">
        <v>2762</v>
      </c>
      <c r="O174" s="17">
        <v>5</v>
      </c>
      <c r="P174" s="17">
        <v>3060230973</v>
      </c>
      <c r="Q174" s="17">
        <v>30602309730</v>
      </c>
      <c r="R174" s="17" t="s">
        <v>2763</v>
      </c>
      <c r="S174" s="17"/>
      <c r="T174" s="17" t="s">
        <v>2764</v>
      </c>
      <c r="U174" s="17" t="s">
        <v>2765</v>
      </c>
      <c r="V174" s="17" t="s">
        <v>2766</v>
      </c>
      <c r="W174" s="17" t="s">
        <v>2767</v>
      </c>
      <c r="X174" s="17"/>
      <c r="Y174" s="17" t="s">
        <v>2768</v>
      </c>
      <c r="Z174" s="17" t="s">
        <v>2769</v>
      </c>
      <c r="AA174" s="21">
        <v>45974</v>
      </c>
      <c r="AB174" s="17" t="s">
        <v>73</v>
      </c>
      <c r="AC174" s="17" t="s">
        <v>2769</v>
      </c>
      <c r="AD174" s="21">
        <v>45954</v>
      </c>
      <c r="AE174" s="17">
        <v>600000</v>
      </c>
      <c r="AF174" s="17">
        <v>200000</v>
      </c>
      <c r="AG174" s="17">
        <v>400000</v>
      </c>
      <c r="AH174" s="17">
        <v>600000</v>
      </c>
      <c r="AI174" s="21">
        <v>45979</v>
      </c>
      <c r="AJ174" s="17">
        <v>200000</v>
      </c>
      <c r="AK174" s="20">
        <v>46009</v>
      </c>
      <c r="AL174" s="17">
        <v>400000</v>
      </c>
      <c r="AM174" s="17"/>
    </row>
    <row r="175" spans="1:39" x14ac:dyDescent="0.3">
      <c r="A175" s="17" t="s">
        <v>2592</v>
      </c>
      <c r="B175" s="17">
        <v>2025</v>
      </c>
      <c r="C175" s="17" t="s">
        <v>2871</v>
      </c>
      <c r="D175" s="17" t="s">
        <v>94</v>
      </c>
      <c r="E175" s="17" t="s">
        <v>1322</v>
      </c>
      <c r="F175" s="17" t="s">
        <v>3371</v>
      </c>
      <c r="G175" s="19">
        <v>134</v>
      </c>
      <c r="H175" s="19" t="s">
        <v>1311</v>
      </c>
      <c r="I175" s="20">
        <v>45954</v>
      </c>
      <c r="J175" s="20">
        <v>45954</v>
      </c>
      <c r="K175" s="17"/>
      <c r="L175" s="17" t="s">
        <v>2899</v>
      </c>
      <c r="M175" s="17" t="s">
        <v>1322</v>
      </c>
      <c r="N175" s="17" t="s">
        <v>2594</v>
      </c>
      <c r="O175" s="17">
        <v>147</v>
      </c>
      <c r="P175" s="17">
        <v>1078549859</v>
      </c>
      <c r="Q175" s="17" t="s">
        <v>3372</v>
      </c>
      <c r="R175" s="17" t="s">
        <v>2595</v>
      </c>
      <c r="S175" s="17"/>
      <c r="T175" s="17" t="s">
        <v>2596</v>
      </c>
      <c r="U175" s="17" t="s">
        <v>2597</v>
      </c>
      <c r="V175" s="17" t="s">
        <v>2598</v>
      </c>
      <c r="W175" s="17" t="s">
        <v>2599</v>
      </c>
      <c r="X175" s="17" t="s">
        <v>123</v>
      </c>
      <c r="Y175" s="17" t="s">
        <v>2600</v>
      </c>
      <c r="Z175" s="17" t="s">
        <v>2601</v>
      </c>
      <c r="AA175" s="21">
        <v>45980</v>
      </c>
      <c r="AB175" s="17" t="s">
        <v>73</v>
      </c>
      <c r="AC175" s="17" t="s">
        <v>2601</v>
      </c>
      <c r="AD175" s="21">
        <v>45992</v>
      </c>
      <c r="AE175" s="17">
        <v>5100000</v>
      </c>
      <c r="AF175" s="17">
        <v>5100000</v>
      </c>
      <c r="AG175" s="17">
        <v>0</v>
      </c>
      <c r="AH175" s="17">
        <v>5100000</v>
      </c>
      <c r="AI175" s="21">
        <v>46021</v>
      </c>
      <c r="AJ175" s="17">
        <v>5100000</v>
      </c>
      <c r="AK175" s="20" t="s">
        <v>56</v>
      </c>
      <c r="AL175" s="17">
        <v>0</v>
      </c>
      <c r="AM175" s="17"/>
    </row>
    <row r="176" spans="1:39" x14ac:dyDescent="0.3">
      <c r="A176" s="17" t="s">
        <v>2770</v>
      </c>
      <c r="B176" s="17">
        <v>2025</v>
      </c>
      <c r="C176" s="17" t="s">
        <v>2871</v>
      </c>
      <c r="D176" s="17" t="s">
        <v>94</v>
      </c>
      <c r="E176" s="17" t="s">
        <v>1322</v>
      </c>
      <c r="F176" s="17" t="s">
        <v>3373</v>
      </c>
      <c r="G176" s="19">
        <v>135</v>
      </c>
      <c r="H176" s="19" t="s">
        <v>2670</v>
      </c>
      <c r="I176" s="20">
        <v>45965</v>
      </c>
      <c r="J176" s="20">
        <v>45965</v>
      </c>
      <c r="K176" s="17"/>
      <c r="L176" s="17" t="s">
        <v>73</v>
      </c>
      <c r="M176" s="17" t="s">
        <v>1322</v>
      </c>
      <c r="N176" s="17" t="s">
        <v>2773</v>
      </c>
      <c r="O176" s="17">
        <v>10</v>
      </c>
      <c r="P176" s="17">
        <v>1462300950</v>
      </c>
      <c r="Q176" s="17">
        <v>14623009500</v>
      </c>
      <c r="R176" s="17" t="s">
        <v>2774</v>
      </c>
      <c r="S176" s="17"/>
      <c r="T176" s="17" t="s">
        <v>2775</v>
      </c>
      <c r="U176" s="17" t="s">
        <v>2776</v>
      </c>
      <c r="V176" s="17" t="s">
        <v>2777</v>
      </c>
      <c r="W176" s="17" t="s">
        <v>2774</v>
      </c>
      <c r="X176" s="17" t="s">
        <v>78</v>
      </c>
      <c r="Y176" s="17" t="s">
        <v>2778</v>
      </c>
      <c r="Z176" s="17" t="s">
        <v>2779</v>
      </c>
      <c r="AA176" s="21">
        <v>45992</v>
      </c>
      <c r="AB176" s="17" t="s">
        <v>73</v>
      </c>
      <c r="AC176" s="17" t="s">
        <v>2779</v>
      </c>
      <c r="AD176" s="21">
        <v>45966</v>
      </c>
      <c r="AE176" s="17">
        <v>600000</v>
      </c>
      <c r="AF176" s="17">
        <v>200000</v>
      </c>
      <c r="AG176" s="17">
        <v>400000</v>
      </c>
      <c r="AH176" s="17">
        <v>200000</v>
      </c>
      <c r="AI176" s="21">
        <v>45995</v>
      </c>
      <c r="AJ176" s="17">
        <v>200000</v>
      </c>
      <c r="AK176" s="20"/>
      <c r="AL176" s="17">
        <v>0</v>
      </c>
      <c r="AM176" s="17"/>
    </row>
    <row r="177" spans="1:39" x14ac:dyDescent="0.3">
      <c r="A177" s="17" t="s">
        <v>2657</v>
      </c>
      <c r="B177" s="17">
        <v>2025</v>
      </c>
      <c r="C177" s="17" t="s">
        <v>2871</v>
      </c>
      <c r="D177" s="17" t="s">
        <v>2878</v>
      </c>
      <c r="E177" s="17" t="s">
        <v>1322</v>
      </c>
      <c r="F177" s="17" t="s">
        <v>3374</v>
      </c>
      <c r="G177" s="19">
        <v>136</v>
      </c>
      <c r="H177" s="19" t="s">
        <v>2681</v>
      </c>
      <c r="I177" s="20">
        <v>45968</v>
      </c>
      <c r="J177" s="20">
        <v>45968</v>
      </c>
      <c r="K177" s="17"/>
      <c r="L177" s="17" t="s">
        <v>73</v>
      </c>
      <c r="M177" s="17" t="s">
        <v>1322</v>
      </c>
      <c r="N177" s="17" t="s">
        <v>2659</v>
      </c>
      <c r="O177" s="17">
        <v>57</v>
      </c>
      <c r="P177" s="17">
        <v>3068104878</v>
      </c>
      <c r="Q177" s="17" t="s">
        <v>3375</v>
      </c>
      <c r="R177" s="17" t="s">
        <v>2660</v>
      </c>
      <c r="S177" s="17"/>
      <c r="T177" s="17" t="s">
        <v>2661</v>
      </c>
      <c r="U177" s="17" t="s">
        <v>2662</v>
      </c>
      <c r="V177" s="17" t="s">
        <v>2663</v>
      </c>
      <c r="W177" s="17" t="s">
        <v>2664</v>
      </c>
      <c r="X177" s="17" t="s">
        <v>2159</v>
      </c>
      <c r="Y177" s="17" t="s">
        <v>2665</v>
      </c>
      <c r="Z177" s="17" t="s">
        <v>2666</v>
      </c>
      <c r="AA177" s="21">
        <v>45993</v>
      </c>
      <c r="AB177" s="17" t="s">
        <v>73</v>
      </c>
      <c r="AC177" s="17" t="s">
        <v>2667</v>
      </c>
      <c r="AD177" s="21">
        <v>45994</v>
      </c>
      <c r="AE177" s="17">
        <v>700000</v>
      </c>
      <c r="AF177" s="17">
        <v>700000</v>
      </c>
      <c r="AG177" s="17">
        <v>0</v>
      </c>
      <c r="AH177" s="17">
        <v>700000</v>
      </c>
      <c r="AI177" s="21">
        <v>45999</v>
      </c>
      <c r="AJ177" s="17">
        <v>700000</v>
      </c>
      <c r="AK177" s="20" t="s">
        <v>56</v>
      </c>
      <c r="AL177" s="17">
        <v>0</v>
      </c>
      <c r="AM177" s="17"/>
    </row>
    <row r="178" spans="1:39" x14ac:dyDescent="0.3">
      <c r="A178" s="17" t="s">
        <v>2638</v>
      </c>
      <c r="B178" s="17">
        <v>2025</v>
      </c>
      <c r="C178" s="17" t="s">
        <v>2871</v>
      </c>
      <c r="D178" s="17" t="s">
        <v>94</v>
      </c>
      <c r="E178" s="17" t="s">
        <v>1322</v>
      </c>
      <c r="F178" s="17" t="s">
        <v>3376</v>
      </c>
      <c r="G178" s="19">
        <v>137</v>
      </c>
      <c r="H178" s="19" t="s">
        <v>2681</v>
      </c>
      <c r="I178" s="20">
        <v>45971</v>
      </c>
      <c r="J178" s="20">
        <v>45971</v>
      </c>
      <c r="K178" s="17"/>
      <c r="L178" s="17" t="s">
        <v>73</v>
      </c>
      <c r="M178" s="17" t="s">
        <v>1322</v>
      </c>
      <c r="N178" s="17" t="s">
        <v>2640</v>
      </c>
      <c r="O178" s="17">
        <v>4</v>
      </c>
      <c r="P178" s="17">
        <v>3088137832</v>
      </c>
      <c r="Q178" s="17" t="s">
        <v>3377</v>
      </c>
      <c r="R178" s="17" t="s">
        <v>2641</v>
      </c>
      <c r="S178" s="17"/>
      <c r="T178" s="17" t="s">
        <v>2642</v>
      </c>
      <c r="U178" s="17" t="s">
        <v>2643</v>
      </c>
      <c r="V178" s="17" t="s">
        <v>2644</v>
      </c>
      <c r="W178" s="17" t="s">
        <v>3378</v>
      </c>
      <c r="X178" s="17" t="s">
        <v>638</v>
      </c>
      <c r="Y178" s="17" t="s">
        <v>2646</v>
      </c>
      <c r="Z178" s="17" t="s">
        <v>2647</v>
      </c>
      <c r="AA178" s="21">
        <v>45985</v>
      </c>
      <c r="AB178" s="17" t="s">
        <v>73</v>
      </c>
      <c r="AC178" s="17" t="s">
        <v>2648</v>
      </c>
      <c r="AD178" s="21">
        <v>45985</v>
      </c>
      <c r="AE178" s="17">
        <v>700000</v>
      </c>
      <c r="AF178" s="17">
        <v>700000</v>
      </c>
      <c r="AG178" s="17">
        <v>0</v>
      </c>
      <c r="AH178" s="17">
        <v>700000</v>
      </c>
      <c r="AI178" s="21">
        <v>45999</v>
      </c>
      <c r="AJ178" s="17">
        <v>700000</v>
      </c>
      <c r="AK178" s="20" t="s">
        <v>56</v>
      </c>
      <c r="AL178" s="17">
        <v>0</v>
      </c>
      <c r="AM178" s="17"/>
    </row>
    <row r="179" spans="1:39" x14ac:dyDescent="0.3">
      <c r="A179" s="17" t="s">
        <v>2722</v>
      </c>
      <c r="B179" s="17">
        <v>2025</v>
      </c>
      <c r="C179" s="17" t="s">
        <v>2871</v>
      </c>
      <c r="D179" s="17" t="s">
        <v>71</v>
      </c>
      <c r="E179" s="17" t="s">
        <v>1322</v>
      </c>
      <c r="F179" s="17" t="s">
        <v>3379</v>
      </c>
      <c r="G179" s="19">
        <v>138</v>
      </c>
      <c r="H179" s="19" t="s">
        <v>2691</v>
      </c>
      <c r="I179" s="20">
        <v>45981</v>
      </c>
      <c r="J179" s="20">
        <v>45981</v>
      </c>
      <c r="K179" s="17"/>
      <c r="L179" s="17" t="s">
        <v>73</v>
      </c>
      <c r="M179" s="17" t="s">
        <v>1322</v>
      </c>
      <c r="N179" s="17" t="s">
        <v>2725</v>
      </c>
      <c r="O179" s="17">
        <v>406</v>
      </c>
      <c r="P179" s="17">
        <v>3078201717</v>
      </c>
      <c r="Q179" s="17" t="s">
        <v>3380</v>
      </c>
      <c r="R179" s="17" t="s">
        <v>2726</v>
      </c>
      <c r="S179" s="17"/>
      <c r="T179" s="17" t="s">
        <v>2727</v>
      </c>
      <c r="U179" s="17" t="s">
        <v>2728</v>
      </c>
      <c r="V179" s="17" t="s">
        <v>2729</v>
      </c>
      <c r="W179" s="17" t="s">
        <v>2730</v>
      </c>
      <c r="X179" s="17"/>
      <c r="Y179" s="17" t="s">
        <v>2731</v>
      </c>
      <c r="Z179" s="17" t="s">
        <v>2732</v>
      </c>
      <c r="AA179" s="21">
        <v>46007</v>
      </c>
      <c r="AB179" s="17" t="s">
        <v>73</v>
      </c>
      <c r="AC179" s="17" t="s">
        <v>2733</v>
      </c>
      <c r="AD179" s="21">
        <v>46007</v>
      </c>
      <c r="AE179" s="17">
        <v>2000000</v>
      </c>
      <c r="AF179" s="17">
        <v>2000000</v>
      </c>
      <c r="AG179" s="17">
        <v>0</v>
      </c>
      <c r="AH179" s="17">
        <v>0</v>
      </c>
      <c r="AI179" s="21"/>
      <c r="AJ179" s="17">
        <v>0</v>
      </c>
      <c r="AK179" s="20" t="s">
        <v>56</v>
      </c>
      <c r="AL179" s="17">
        <v>0</v>
      </c>
      <c r="AM179" s="17"/>
    </row>
    <row r="180" spans="1:39" x14ac:dyDescent="0.3">
      <c r="A180" s="17" t="s">
        <v>2780</v>
      </c>
      <c r="B180" s="17">
        <v>2025</v>
      </c>
      <c r="C180" s="17" t="s">
        <v>2871</v>
      </c>
      <c r="D180" s="17" t="s">
        <v>94</v>
      </c>
      <c r="E180" s="17" t="s">
        <v>1322</v>
      </c>
      <c r="F180" s="17" t="s">
        <v>3381</v>
      </c>
      <c r="G180" s="19">
        <v>139</v>
      </c>
      <c r="H180" s="19" t="s">
        <v>2691</v>
      </c>
      <c r="I180" s="20">
        <v>45993</v>
      </c>
      <c r="J180" s="20">
        <v>45993</v>
      </c>
      <c r="K180" s="17"/>
      <c r="L180" s="17" t="s">
        <v>61</v>
      </c>
      <c r="M180" s="17" t="s">
        <v>1322</v>
      </c>
      <c r="N180" s="17" t="s">
        <v>2782</v>
      </c>
      <c r="O180" s="17">
        <v>3</v>
      </c>
      <c r="P180" s="17">
        <v>2391001800</v>
      </c>
      <c r="Q180" s="17" t="s">
        <v>3382</v>
      </c>
      <c r="R180" s="17" t="s">
        <v>2783</v>
      </c>
      <c r="S180" s="17"/>
      <c r="T180" s="17" t="s">
        <v>2784</v>
      </c>
      <c r="U180" s="17" t="s">
        <v>2785</v>
      </c>
      <c r="V180" s="17" t="s">
        <v>2786</v>
      </c>
      <c r="W180" s="17" t="s">
        <v>2783</v>
      </c>
      <c r="X180" s="17" t="s">
        <v>78</v>
      </c>
      <c r="Y180" s="17" t="s">
        <v>2787</v>
      </c>
      <c r="Z180" s="17" t="s">
        <v>2788</v>
      </c>
      <c r="AA180" s="21">
        <v>46015</v>
      </c>
      <c r="AB180" s="17" t="s">
        <v>218</v>
      </c>
      <c r="AC180" s="17" t="s">
        <v>2788</v>
      </c>
      <c r="AD180" s="21">
        <v>45994</v>
      </c>
      <c r="AE180" s="17">
        <v>600000</v>
      </c>
      <c r="AF180" s="17">
        <v>200000</v>
      </c>
      <c r="AG180" s="17">
        <v>400000</v>
      </c>
      <c r="AH180" s="17">
        <v>0</v>
      </c>
      <c r="AI180" s="21"/>
      <c r="AJ180" s="17">
        <v>0</v>
      </c>
      <c r="AK180" s="20"/>
      <c r="AL180" s="17"/>
      <c r="AM180" s="17"/>
    </row>
    <row r="181" spans="1:39" x14ac:dyDescent="0.3">
      <c r="A181" s="17" t="s">
        <v>2265</v>
      </c>
      <c r="B181" s="17">
        <v>2025</v>
      </c>
      <c r="C181" s="17" t="s">
        <v>2871</v>
      </c>
      <c r="D181" s="17" t="s">
        <v>94</v>
      </c>
      <c r="E181" s="17" t="s">
        <v>1322</v>
      </c>
      <c r="F181" s="17" t="s">
        <v>3383</v>
      </c>
      <c r="G181" s="19">
        <v>140</v>
      </c>
      <c r="H181" s="19" t="s">
        <v>2691</v>
      </c>
      <c r="I181" s="20">
        <v>45993</v>
      </c>
      <c r="J181" s="20">
        <v>45993</v>
      </c>
      <c r="K181" s="17"/>
      <c r="L181" s="17" t="s">
        <v>218</v>
      </c>
      <c r="M181" s="17" t="s">
        <v>1322</v>
      </c>
      <c r="N181" s="17" t="s">
        <v>2267</v>
      </c>
      <c r="O181" s="17">
        <v>3</v>
      </c>
      <c r="P181" s="17">
        <v>2520901485</v>
      </c>
      <c r="Q181" s="17" t="s">
        <v>3384</v>
      </c>
      <c r="R181" s="17" t="s">
        <v>2268</v>
      </c>
      <c r="S181" s="17"/>
      <c r="T181" s="17" t="s">
        <v>2269</v>
      </c>
      <c r="U181" s="17" t="s">
        <v>2270</v>
      </c>
      <c r="V181" s="17" t="s">
        <v>2271</v>
      </c>
      <c r="W181" s="17" t="s">
        <v>2268</v>
      </c>
      <c r="X181" s="17" t="s">
        <v>78</v>
      </c>
      <c r="Y181" s="17" t="s">
        <v>2272</v>
      </c>
      <c r="Z181" s="17" t="s">
        <v>2273</v>
      </c>
      <c r="AA181" s="21">
        <v>46015</v>
      </c>
      <c r="AB181" s="17" t="s">
        <v>218</v>
      </c>
      <c r="AC181" s="17" t="s">
        <v>2273</v>
      </c>
      <c r="AD181" s="21">
        <v>45994</v>
      </c>
      <c r="AE181" s="17">
        <v>600000</v>
      </c>
      <c r="AF181" s="17">
        <v>200000</v>
      </c>
      <c r="AG181" s="17">
        <v>400000</v>
      </c>
      <c r="AH181" s="17">
        <v>0</v>
      </c>
      <c r="AI181" s="21"/>
      <c r="AJ181" s="17">
        <v>0</v>
      </c>
      <c r="AK181" s="20"/>
      <c r="AL181" s="17"/>
      <c r="AM181" s="17"/>
    </row>
    <row r="182" spans="1:39" x14ac:dyDescent="0.3">
      <c r="A182" s="17" t="s">
        <v>2699</v>
      </c>
      <c r="B182" s="17">
        <v>2025</v>
      </c>
      <c r="C182" s="17" t="s">
        <v>2871</v>
      </c>
      <c r="D182" s="17"/>
      <c r="E182" s="17" t="s">
        <v>1322</v>
      </c>
      <c r="F182" s="17" t="s">
        <v>3385</v>
      </c>
      <c r="G182" s="19">
        <v>141</v>
      </c>
      <c r="H182" s="19" t="s">
        <v>2701</v>
      </c>
      <c r="I182" s="20">
        <v>45993</v>
      </c>
      <c r="J182" s="20">
        <v>45993</v>
      </c>
      <c r="K182" s="17"/>
      <c r="L182" s="17" t="s">
        <v>73</v>
      </c>
      <c r="M182" s="17" t="s">
        <v>1322</v>
      </c>
      <c r="N182" s="17" t="s">
        <v>2702</v>
      </c>
      <c r="O182" s="17">
        <v>74</v>
      </c>
      <c r="P182" s="17">
        <v>7308502523</v>
      </c>
      <c r="Q182" s="17">
        <v>73085025230</v>
      </c>
      <c r="R182" s="17" t="s">
        <v>2703</v>
      </c>
      <c r="S182" s="17"/>
      <c r="T182" s="17" t="s">
        <v>2704</v>
      </c>
      <c r="U182" s="17" t="s">
        <v>2705</v>
      </c>
      <c r="V182" s="17" t="s">
        <v>2706</v>
      </c>
      <c r="W182" s="17" t="s">
        <v>2707</v>
      </c>
      <c r="X182" s="17" t="s">
        <v>52</v>
      </c>
      <c r="Y182" s="17" t="s">
        <v>2708</v>
      </c>
      <c r="Z182" s="17" t="s">
        <v>2709</v>
      </c>
      <c r="AA182" s="21">
        <v>46015</v>
      </c>
      <c r="AB182" s="17" t="s">
        <v>73</v>
      </c>
      <c r="AC182" s="17" t="s">
        <v>2709</v>
      </c>
      <c r="AD182" s="21">
        <v>46013</v>
      </c>
      <c r="AE182" s="17">
        <v>1700000</v>
      </c>
      <c r="AF182" s="17">
        <v>1700000</v>
      </c>
      <c r="AG182" s="17">
        <v>0</v>
      </c>
      <c r="AH182" s="17">
        <v>0</v>
      </c>
      <c r="AI182" s="21"/>
      <c r="AJ182" s="17">
        <v>0</v>
      </c>
      <c r="AK182" s="20" t="s">
        <v>56</v>
      </c>
      <c r="AL182" s="17">
        <v>0</v>
      </c>
      <c r="AM182" s="17"/>
    </row>
    <row r="183" spans="1:39" x14ac:dyDescent="0.3">
      <c r="A183" s="17" t="s">
        <v>3386</v>
      </c>
      <c r="B183" s="17">
        <v>2025</v>
      </c>
      <c r="C183" s="17" t="s">
        <v>2871</v>
      </c>
      <c r="D183" s="17" t="s">
        <v>2953</v>
      </c>
      <c r="E183" s="17" t="s">
        <v>1322</v>
      </c>
      <c r="F183" s="17" t="s">
        <v>3387</v>
      </c>
      <c r="G183" s="19">
        <v>142</v>
      </c>
      <c r="H183" s="19" t="s">
        <v>2713</v>
      </c>
      <c r="I183" s="20">
        <v>45993</v>
      </c>
      <c r="J183" s="20">
        <v>45993</v>
      </c>
      <c r="K183" s="17"/>
      <c r="L183" s="17" t="s">
        <v>61</v>
      </c>
      <c r="M183" s="17" t="s">
        <v>1322</v>
      </c>
      <c r="N183" s="17" t="s">
        <v>3388</v>
      </c>
      <c r="O183" s="17">
        <v>7</v>
      </c>
      <c r="P183" s="17">
        <v>6218143241</v>
      </c>
      <c r="Q183" s="17">
        <v>62181432416</v>
      </c>
      <c r="R183" s="17" t="s">
        <v>3389</v>
      </c>
      <c r="S183" s="17"/>
      <c r="T183" s="17" t="s">
        <v>3390</v>
      </c>
      <c r="U183" s="17"/>
      <c r="V183" s="17"/>
      <c r="W183" s="17" t="s">
        <v>3391</v>
      </c>
      <c r="X183" s="17"/>
      <c r="Y183" s="17" t="s">
        <v>3392</v>
      </c>
      <c r="Z183" s="17" t="s">
        <v>3393</v>
      </c>
      <c r="AA183" s="21">
        <v>46021</v>
      </c>
      <c r="AB183" s="17" t="s">
        <v>61</v>
      </c>
      <c r="AC183" s="17"/>
      <c r="AD183" s="21" t="s">
        <v>69</v>
      </c>
      <c r="AE183" s="17">
        <v>981880</v>
      </c>
      <c r="AF183" s="17">
        <v>0</v>
      </c>
      <c r="AG183" s="17">
        <v>981880</v>
      </c>
      <c r="AH183" s="17">
        <v>0</v>
      </c>
      <c r="AI183" s="21"/>
      <c r="AJ183" s="17">
        <v>0</v>
      </c>
      <c r="AK183" s="20"/>
      <c r="AL183" s="17"/>
      <c r="AM183" s="17"/>
    </row>
    <row r="184" spans="1:39" x14ac:dyDescent="0.3">
      <c r="A184" s="17" t="s">
        <v>2734</v>
      </c>
      <c r="B184" s="17">
        <v>2025</v>
      </c>
      <c r="C184" s="17" t="s">
        <v>2871</v>
      </c>
      <c r="D184" s="17" t="s">
        <v>71</v>
      </c>
      <c r="E184" s="17" t="s">
        <v>1322</v>
      </c>
      <c r="F184" s="17" t="s">
        <v>3394</v>
      </c>
      <c r="G184" s="19">
        <v>143</v>
      </c>
      <c r="H184" s="19" t="s">
        <v>2724</v>
      </c>
      <c r="I184" s="20">
        <v>46000</v>
      </c>
      <c r="J184" s="20">
        <v>46000</v>
      </c>
      <c r="K184" s="17"/>
      <c r="L184" s="17" t="s">
        <v>46</v>
      </c>
      <c r="M184" s="17" t="s">
        <v>1322</v>
      </c>
      <c r="N184" s="17" t="s">
        <v>2737</v>
      </c>
      <c r="O184" s="17">
        <v>103</v>
      </c>
      <c r="P184" s="17">
        <v>7058200339</v>
      </c>
      <c r="Q184" s="17" t="s">
        <v>3395</v>
      </c>
      <c r="R184" s="17" t="s">
        <v>2738</v>
      </c>
      <c r="S184" s="17"/>
      <c r="T184" s="17" t="s">
        <v>2739</v>
      </c>
      <c r="U184" s="17" t="s">
        <v>2740</v>
      </c>
      <c r="V184" s="17" t="s">
        <v>2741</v>
      </c>
      <c r="W184" s="17" t="s">
        <v>2742</v>
      </c>
      <c r="X184" s="17" t="s">
        <v>2743</v>
      </c>
      <c r="Y184" s="17" t="s">
        <v>2744</v>
      </c>
      <c r="Z184" s="17" t="s">
        <v>2745</v>
      </c>
      <c r="AA184" s="21">
        <v>46028</v>
      </c>
      <c r="AB184" s="17" t="s">
        <v>46</v>
      </c>
      <c r="AC184" s="17" t="s">
        <v>2745</v>
      </c>
      <c r="AD184" s="21"/>
      <c r="AE184" s="17">
        <v>700000</v>
      </c>
      <c r="AF184" s="17">
        <v>700000</v>
      </c>
      <c r="AG184" s="17">
        <v>0</v>
      </c>
      <c r="AH184" s="17">
        <v>0</v>
      </c>
      <c r="AI184" s="21"/>
      <c r="AJ184" s="17">
        <v>0</v>
      </c>
      <c r="AK184" s="20" t="s">
        <v>56</v>
      </c>
      <c r="AL184" s="17">
        <v>0</v>
      </c>
      <c r="AM184" s="17"/>
    </row>
    <row r="185" spans="1:39" x14ac:dyDescent="0.3">
      <c r="A185" s="17" t="s">
        <v>3396</v>
      </c>
      <c r="B185" s="17">
        <v>2025</v>
      </c>
      <c r="C185" s="17" t="s">
        <v>2871</v>
      </c>
      <c r="D185" s="17"/>
      <c r="E185" s="17" t="s">
        <v>1322</v>
      </c>
      <c r="F185" s="17" t="s">
        <v>3397</v>
      </c>
      <c r="G185" s="19">
        <v>144</v>
      </c>
      <c r="H185" s="19" t="s">
        <v>2736</v>
      </c>
      <c r="I185" s="20">
        <v>46009</v>
      </c>
      <c r="J185" s="20">
        <v>46009</v>
      </c>
      <c r="K185" s="17"/>
      <c r="L185" s="17" t="s">
        <v>73</v>
      </c>
      <c r="M185" s="17" t="s">
        <v>1322</v>
      </c>
      <c r="N185" s="17" t="s">
        <v>3398</v>
      </c>
      <c r="O185" s="17">
        <v>72</v>
      </c>
      <c r="P185" s="17">
        <v>3058195094</v>
      </c>
      <c r="Q185" s="17">
        <v>30581950940</v>
      </c>
      <c r="R185" s="17" t="s">
        <v>3399</v>
      </c>
      <c r="S185" s="17"/>
      <c r="T185" s="17" t="s">
        <v>3400</v>
      </c>
      <c r="U185" s="17" t="s">
        <v>3401</v>
      </c>
      <c r="V185" s="17" t="s">
        <v>3402</v>
      </c>
      <c r="W185" s="17" t="s">
        <v>3403</v>
      </c>
      <c r="X185" s="17" t="s">
        <v>134</v>
      </c>
      <c r="Y185" s="17" t="s">
        <v>3404</v>
      </c>
      <c r="Z185" s="17" t="s">
        <v>3405</v>
      </c>
      <c r="AA185" s="21"/>
      <c r="AB185" s="17"/>
      <c r="AC185" s="17" t="s">
        <v>3406</v>
      </c>
      <c r="AD185" s="21">
        <v>46009</v>
      </c>
      <c r="AE185" s="17">
        <v>1650000</v>
      </c>
      <c r="AF185" s="17">
        <v>1650000</v>
      </c>
      <c r="AG185" s="17">
        <v>0</v>
      </c>
      <c r="AH185" s="17">
        <v>1650000</v>
      </c>
      <c r="AI185" s="21">
        <v>46020</v>
      </c>
      <c r="AJ185" s="17">
        <v>1650000</v>
      </c>
      <c r="AK185" s="20" t="s">
        <v>56</v>
      </c>
      <c r="AL185" s="17">
        <v>0</v>
      </c>
      <c r="AM185" s="17"/>
    </row>
    <row r="186" spans="1:39" x14ac:dyDescent="0.3">
      <c r="A186" s="17" t="s">
        <v>2746</v>
      </c>
      <c r="B186" s="17">
        <v>2025</v>
      </c>
      <c r="C186" s="17" t="s">
        <v>2871</v>
      </c>
      <c r="D186" s="17" t="s">
        <v>71</v>
      </c>
      <c r="E186" s="17" t="s">
        <v>1322</v>
      </c>
      <c r="F186" s="17" t="s">
        <v>3407</v>
      </c>
      <c r="G186" s="19">
        <v>145</v>
      </c>
      <c r="H186" s="19" t="s">
        <v>2748</v>
      </c>
      <c r="I186" s="20">
        <v>46013</v>
      </c>
      <c r="J186" s="20">
        <v>46013</v>
      </c>
      <c r="K186" s="17"/>
      <c r="L186" s="17" t="s">
        <v>73</v>
      </c>
      <c r="M186" s="17" t="s">
        <v>1322</v>
      </c>
      <c r="N186" s="17" t="s">
        <v>2749</v>
      </c>
      <c r="O186" s="17">
        <v>44</v>
      </c>
      <c r="P186" s="17">
        <v>3148164111</v>
      </c>
      <c r="Q186" s="17" t="s">
        <v>3408</v>
      </c>
      <c r="R186" s="17" t="s">
        <v>2750</v>
      </c>
      <c r="S186" s="17"/>
      <c r="T186" s="17" t="s">
        <v>2751</v>
      </c>
      <c r="U186" s="17" t="s">
        <v>2752</v>
      </c>
      <c r="V186" s="17" t="s">
        <v>2753</v>
      </c>
      <c r="W186" s="17" t="s">
        <v>2754</v>
      </c>
      <c r="X186" s="17" t="s">
        <v>168</v>
      </c>
      <c r="Y186" s="17" t="s">
        <v>2755</v>
      </c>
      <c r="Z186" s="17" t="s">
        <v>2756</v>
      </c>
      <c r="AA186" s="21"/>
      <c r="AB186" s="17"/>
      <c r="AC186" s="17" t="s">
        <v>2757</v>
      </c>
      <c r="AD186" s="21">
        <v>46010</v>
      </c>
      <c r="AE186" s="17">
        <v>1400000</v>
      </c>
      <c r="AF186" s="17">
        <v>1000000</v>
      </c>
      <c r="AG186" s="17">
        <v>400000</v>
      </c>
      <c r="AH186" s="17">
        <v>0</v>
      </c>
      <c r="AI186" s="21"/>
      <c r="AJ186" s="17">
        <v>0</v>
      </c>
      <c r="AK186" s="20"/>
      <c r="AL186" s="17"/>
      <c r="AM186" s="17"/>
    </row>
    <row r="187" spans="1:39" x14ac:dyDescent="0.3">
      <c r="A187" s="17" t="s">
        <v>3409</v>
      </c>
      <c r="B187" s="17">
        <v>2025</v>
      </c>
      <c r="C187" s="17" t="s">
        <v>2871</v>
      </c>
      <c r="D187" s="17" t="s">
        <v>2953</v>
      </c>
      <c r="E187" s="17" t="s">
        <v>1322</v>
      </c>
      <c r="F187" s="17" t="s">
        <v>3410</v>
      </c>
      <c r="G187" s="19">
        <v>146</v>
      </c>
      <c r="H187" s="19" t="s">
        <v>2761</v>
      </c>
      <c r="I187" s="20">
        <v>46020</v>
      </c>
      <c r="J187" s="20">
        <v>46020</v>
      </c>
      <c r="K187" s="17"/>
      <c r="L187" s="17" t="s">
        <v>73</v>
      </c>
      <c r="M187" s="17" t="s">
        <v>1322</v>
      </c>
      <c r="N187" s="17" t="s">
        <v>3411</v>
      </c>
      <c r="O187" s="17">
        <v>15</v>
      </c>
      <c r="P187" s="17">
        <v>7968701173</v>
      </c>
      <c r="Q187" s="17">
        <v>37387007246</v>
      </c>
      <c r="R187" s="17" t="s">
        <v>3412</v>
      </c>
      <c r="S187" s="17"/>
      <c r="T187" s="17" t="s">
        <v>3413</v>
      </c>
      <c r="U187" s="17"/>
      <c r="V187" s="17"/>
      <c r="W187" s="17" t="s">
        <v>3414</v>
      </c>
      <c r="X187" s="17"/>
      <c r="Y187" s="17" t="s">
        <v>3415</v>
      </c>
      <c r="Z187" s="17" t="s">
        <v>3416</v>
      </c>
      <c r="AA187" s="21"/>
      <c r="AB187" s="17"/>
      <c r="AC187" s="17"/>
      <c r="AD187" s="21"/>
      <c r="AE187" s="17">
        <v>1350000</v>
      </c>
      <c r="AF187" s="17">
        <v>1350000</v>
      </c>
      <c r="AG187" s="17">
        <v>0</v>
      </c>
      <c r="AH187" s="17">
        <v>0</v>
      </c>
      <c r="AI187" s="21"/>
      <c r="AJ187" s="17">
        <v>0</v>
      </c>
      <c r="AK187" s="20" t="s">
        <v>56</v>
      </c>
      <c r="AL187" s="17">
        <v>0</v>
      </c>
      <c r="AM187" s="17"/>
    </row>
    <row r="188" spans="1:39" x14ac:dyDescent="0.3">
      <c r="A188" s="17" t="s">
        <v>3417</v>
      </c>
      <c r="B188" s="17">
        <v>2025</v>
      </c>
      <c r="C188" s="17" t="s">
        <v>2871</v>
      </c>
      <c r="D188" s="17" t="s">
        <v>2953</v>
      </c>
      <c r="E188" s="17" t="s">
        <v>1322</v>
      </c>
      <c r="F188" s="17" t="s">
        <v>3418</v>
      </c>
      <c r="G188" s="19">
        <v>147</v>
      </c>
      <c r="H188" s="19" t="s">
        <v>2772</v>
      </c>
      <c r="I188" s="20">
        <v>46020</v>
      </c>
      <c r="J188" s="20">
        <v>46020</v>
      </c>
      <c r="K188" s="17"/>
      <c r="L188" s="17" t="s">
        <v>181</v>
      </c>
      <c r="M188" s="17" t="s">
        <v>1322</v>
      </c>
      <c r="N188" s="17" t="s">
        <v>3419</v>
      </c>
      <c r="O188" s="17">
        <v>7</v>
      </c>
      <c r="P188" s="17">
        <v>3128157803</v>
      </c>
      <c r="Q188" s="17">
        <v>31281578036</v>
      </c>
      <c r="R188" s="17" t="s">
        <v>3420</v>
      </c>
      <c r="S188" s="17"/>
      <c r="T188" s="17" t="s">
        <v>3421</v>
      </c>
      <c r="U188" s="17"/>
      <c r="V188" s="17"/>
      <c r="W188" s="17" t="s">
        <v>3422</v>
      </c>
      <c r="X188" s="17" t="s">
        <v>224</v>
      </c>
      <c r="Y188" s="17" t="s">
        <v>3423</v>
      </c>
      <c r="Z188" s="17" t="s">
        <v>3424</v>
      </c>
      <c r="AA188" s="21"/>
      <c r="AB188" s="17"/>
      <c r="AC188" s="17"/>
      <c r="AD188" s="21" t="s">
        <v>69</v>
      </c>
      <c r="AE188" s="17">
        <v>572090</v>
      </c>
      <c r="AF188" s="17">
        <v>0</v>
      </c>
      <c r="AG188" s="17">
        <v>572090</v>
      </c>
      <c r="AH188" s="17">
        <v>0</v>
      </c>
      <c r="AI188" s="21"/>
      <c r="AJ188" s="17">
        <v>0</v>
      </c>
      <c r="AK188" s="20"/>
      <c r="AL188" s="17"/>
      <c r="AM188" s="17"/>
    </row>
    <row r="189" spans="1:39" x14ac:dyDescent="0.3">
      <c r="A189" s="17" t="s">
        <v>2789</v>
      </c>
      <c r="B189" s="17">
        <v>2025</v>
      </c>
      <c r="C189" s="17" t="s">
        <v>2871</v>
      </c>
      <c r="D189" s="17" t="s">
        <v>71</v>
      </c>
      <c r="E189" s="17" t="s">
        <v>2790</v>
      </c>
      <c r="F189" s="17" t="s">
        <v>3425</v>
      </c>
      <c r="G189" s="19">
        <v>1</v>
      </c>
      <c r="H189" s="19" t="s">
        <v>44</v>
      </c>
      <c r="I189" s="20">
        <v>45890</v>
      </c>
      <c r="J189" s="20">
        <v>45890</v>
      </c>
      <c r="K189" s="17"/>
      <c r="L189" s="17" t="s">
        <v>73</v>
      </c>
      <c r="M189" s="17" t="s">
        <v>2790</v>
      </c>
      <c r="N189" s="17" t="s">
        <v>2792</v>
      </c>
      <c r="O189" s="17">
        <v>130</v>
      </c>
      <c r="P189" s="17">
        <v>1318628077</v>
      </c>
      <c r="Q189" s="17">
        <v>13186280770</v>
      </c>
      <c r="R189" s="17" t="s">
        <v>2793</v>
      </c>
      <c r="S189" s="17"/>
      <c r="T189" s="17" t="s">
        <v>2794</v>
      </c>
      <c r="U189" s="17" t="s">
        <v>2795</v>
      </c>
      <c r="V189" s="17" t="s">
        <v>2796</v>
      </c>
      <c r="W189" s="17" t="s">
        <v>2797</v>
      </c>
      <c r="X189" s="17" t="s">
        <v>2798</v>
      </c>
      <c r="Y189" s="17" t="s">
        <v>2799</v>
      </c>
      <c r="Z189" s="17" t="s">
        <v>2800</v>
      </c>
      <c r="AA189" s="21">
        <v>45918</v>
      </c>
      <c r="AB189" s="17" t="s">
        <v>73</v>
      </c>
      <c r="AC189" s="17" t="s">
        <v>2800</v>
      </c>
      <c r="AD189" s="21">
        <v>45890</v>
      </c>
      <c r="AE189" s="17">
        <v>2500000</v>
      </c>
      <c r="AF189" s="17">
        <v>2500000</v>
      </c>
      <c r="AG189" s="17">
        <v>0</v>
      </c>
      <c r="AH189" s="17">
        <v>2500000</v>
      </c>
      <c r="AI189" s="21">
        <v>45898</v>
      </c>
      <c r="AJ189" s="17">
        <v>2500000</v>
      </c>
      <c r="AK189" s="20" t="s">
        <v>56</v>
      </c>
      <c r="AL189" s="17">
        <v>0</v>
      </c>
      <c r="AM189" s="17"/>
    </row>
    <row r="190" spans="1:39" x14ac:dyDescent="0.3">
      <c r="A190" s="17" t="s">
        <v>2801</v>
      </c>
      <c r="B190" s="17">
        <v>2025</v>
      </c>
      <c r="C190" s="17" t="s">
        <v>2871</v>
      </c>
      <c r="D190" s="17" t="s">
        <v>71</v>
      </c>
      <c r="E190" s="17" t="s">
        <v>2790</v>
      </c>
      <c r="F190" s="17" t="s">
        <v>3426</v>
      </c>
      <c r="G190" s="19">
        <v>2</v>
      </c>
      <c r="H190" s="19" t="s">
        <v>60</v>
      </c>
      <c r="I190" s="20">
        <v>45890</v>
      </c>
      <c r="J190" s="20">
        <v>45890</v>
      </c>
      <c r="K190" s="17"/>
      <c r="L190" s="17" t="s">
        <v>97</v>
      </c>
      <c r="M190" s="17" t="s">
        <v>2790</v>
      </c>
      <c r="N190" s="17" t="s">
        <v>2803</v>
      </c>
      <c r="O190" s="17">
        <v>9</v>
      </c>
      <c r="P190" s="17">
        <v>3258101192</v>
      </c>
      <c r="Q190" s="17">
        <v>32581011920</v>
      </c>
      <c r="R190" s="17" t="s">
        <v>2804</v>
      </c>
      <c r="S190" s="17"/>
      <c r="T190" s="17" t="s">
        <v>2794</v>
      </c>
      <c r="U190" s="17" t="s">
        <v>2795</v>
      </c>
      <c r="V190" s="17" t="s">
        <v>2796</v>
      </c>
      <c r="W190" s="17" t="s">
        <v>2797</v>
      </c>
      <c r="X190" s="17" t="s">
        <v>2798</v>
      </c>
      <c r="Y190" s="17" t="s">
        <v>2799</v>
      </c>
      <c r="Z190" s="17" t="s">
        <v>2800</v>
      </c>
      <c r="AA190" s="21">
        <v>45918</v>
      </c>
      <c r="AB190" s="17" t="s">
        <v>73</v>
      </c>
      <c r="AC190" s="17" t="s">
        <v>2800</v>
      </c>
      <c r="AD190" s="21">
        <v>45890</v>
      </c>
      <c r="AE190" s="17">
        <v>1800000</v>
      </c>
      <c r="AF190" s="17">
        <v>1400000</v>
      </c>
      <c r="AG190" s="17">
        <v>400000</v>
      </c>
      <c r="AH190" s="17">
        <v>1800000</v>
      </c>
      <c r="AI190" s="21">
        <v>45898</v>
      </c>
      <c r="AJ190" s="17">
        <v>1400000</v>
      </c>
      <c r="AK190" s="20">
        <v>45944</v>
      </c>
      <c r="AL190" s="17">
        <v>400000</v>
      </c>
      <c r="AM190" s="17"/>
    </row>
    <row r="191" spans="1:39" x14ac:dyDescent="0.3">
      <c r="A191" s="17" t="s">
        <v>3427</v>
      </c>
      <c r="B191" s="17">
        <v>2025</v>
      </c>
      <c r="C191" s="17" t="s">
        <v>2871</v>
      </c>
      <c r="D191" s="17" t="s">
        <v>3428</v>
      </c>
      <c r="E191" s="17" t="s">
        <v>2790</v>
      </c>
      <c r="F191" s="17" t="s">
        <v>3429</v>
      </c>
      <c r="G191" s="19">
        <v>3</v>
      </c>
      <c r="H191" s="19" t="s">
        <v>83</v>
      </c>
      <c r="I191" s="20">
        <v>45950</v>
      </c>
      <c r="J191" s="20">
        <v>45950</v>
      </c>
      <c r="K191" s="17"/>
      <c r="L191" s="17" t="s">
        <v>181</v>
      </c>
      <c r="M191" s="17" t="s">
        <v>2790</v>
      </c>
      <c r="N191" s="17" t="s">
        <v>3430</v>
      </c>
      <c r="O191" s="17">
        <v>5</v>
      </c>
      <c r="P191" s="17">
        <v>3128169949</v>
      </c>
      <c r="Q191" s="17">
        <v>31281699490</v>
      </c>
      <c r="R191" s="17" t="s">
        <v>656</v>
      </c>
      <c r="S191" s="17"/>
      <c r="T191" s="17" t="s">
        <v>3431</v>
      </c>
      <c r="U191" s="17" t="s">
        <v>658</v>
      </c>
      <c r="V191" s="17" t="s">
        <v>3432</v>
      </c>
      <c r="W191" s="17" t="s">
        <v>659</v>
      </c>
      <c r="X191" s="17" t="s">
        <v>388</v>
      </c>
      <c r="Y191" s="17" t="s">
        <v>660</v>
      </c>
      <c r="Z191" s="17" t="s">
        <v>661</v>
      </c>
      <c r="AA191" s="21">
        <v>45978</v>
      </c>
      <c r="AB191" s="17" t="s">
        <v>181</v>
      </c>
      <c r="AC191" s="17" t="s">
        <v>661</v>
      </c>
      <c r="AD191" s="21">
        <v>45994</v>
      </c>
      <c r="AE191" s="17">
        <v>500000</v>
      </c>
      <c r="AF191" s="17">
        <v>500000</v>
      </c>
      <c r="AG191" s="17">
        <v>0</v>
      </c>
      <c r="AH191" s="17">
        <v>500000</v>
      </c>
      <c r="AI191" s="21">
        <v>46017</v>
      </c>
      <c r="AJ191" s="17">
        <v>500000</v>
      </c>
      <c r="AK191" s="20" t="s">
        <v>56</v>
      </c>
      <c r="AL191" s="17">
        <v>0</v>
      </c>
      <c r="AM191" s="17"/>
    </row>
    <row r="192" spans="1:39" x14ac:dyDescent="0.3">
      <c r="A192" s="17" t="s">
        <v>3433</v>
      </c>
      <c r="B192" s="17">
        <v>2025</v>
      </c>
      <c r="C192" s="17" t="s">
        <v>2871</v>
      </c>
      <c r="D192" s="17" t="s">
        <v>3428</v>
      </c>
      <c r="E192" s="17" t="s">
        <v>2790</v>
      </c>
      <c r="F192" s="17" t="s">
        <v>3434</v>
      </c>
      <c r="G192" s="19">
        <v>4</v>
      </c>
      <c r="H192" s="19" t="s">
        <v>96</v>
      </c>
      <c r="I192" s="20">
        <v>45954</v>
      </c>
      <c r="J192" s="20">
        <v>45954</v>
      </c>
      <c r="K192" s="17"/>
      <c r="L192" s="17" t="s">
        <v>61</v>
      </c>
      <c r="M192" s="17" t="s">
        <v>2790</v>
      </c>
      <c r="N192" s="17" t="s">
        <v>3435</v>
      </c>
      <c r="O192" s="17">
        <v>37</v>
      </c>
      <c r="P192" s="17">
        <v>1258188075</v>
      </c>
      <c r="Q192" s="17">
        <v>12581880750</v>
      </c>
      <c r="R192" s="17" t="s">
        <v>3436</v>
      </c>
      <c r="S192" s="17"/>
      <c r="T192" s="17" t="s">
        <v>3437</v>
      </c>
      <c r="U192" s="17" t="s">
        <v>3438</v>
      </c>
      <c r="V192" s="17" t="s">
        <v>3439</v>
      </c>
      <c r="W192" s="17" t="s">
        <v>3440</v>
      </c>
      <c r="X192" s="17" t="s">
        <v>224</v>
      </c>
      <c r="Y192" s="17" t="s">
        <v>3441</v>
      </c>
      <c r="Z192" s="17" t="s">
        <v>3442</v>
      </c>
      <c r="AA192" s="21">
        <v>45966</v>
      </c>
      <c r="AB192" s="17" t="s">
        <v>73</v>
      </c>
      <c r="AC192" s="17" t="s">
        <v>3443</v>
      </c>
      <c r="AD192" s="21">
        <v>45972</v>
      </c>
      <c r="AE192" s="17">
        <v>1400000</v>
      </c>
      <c r="AF192" s="17">
        <v>400000</v>
      </c>
      <c r="AG192" s="17">
        <v>1000000</v>
      </c>
      <c r="AH192" s="17">
        <v>1400000</v>
      </c>
      <c r="AI192" s="21">
        <v>45978</v>
      </c>
      <c r="AJ192" s="17">
        <v>400000</v>
      </c>
      <c r="AK192" s="20">
        <v>46009</v>
      </c>
      <c r="AL192" s="17">
        <v>1000000</v>
      </c>
      <c r="AM192" s="17"/>
    </row>
    <row r="193" spans="1:39" x14ac:dyDescent="0.3">
      <c r="A193" s="17" t="s">
        <v>2829</v>
      </c>
      <c r="B193" s="17">
        <v>2025</v>
      </c>
      <c r="C193" s="17" t="s">
        <v>2871</v>
      </c>
      <c r="D193" s="17" t="s">
        <v>71</v>
      </c>
      <c r="E193" s="17" t="s">
        <v>2790</v>
      </c>
      <c r="F193" s="17" t="s">
        <v>3444</v>
      </c>
      <c r="G193" s="19">
        <v>5</v>
      </c>
      <c r="H193" s="19" t="s">
        <v>106</v>
      </c>
      <c r="I193" s="20">
        <v>45957</v>
      </c>
      <c r="J193" s="20">
        <v>45957</v>
      </c>
      <c r="K193" s="17"/>
      <c r="L193" s="17" t="s">
        <v>218</v>
      </c>
      <c r="M193" s="17" t="s">
        <v>2790</v>
      </c>
      <c r="N193" s="17" t="s">
        <v>2831</v>
      </c>
      <c r="O193" s="17">
        <v>19</v>
      </c>
      <c r="P193" s="17">
        <v>1258134604</v>
      </c>
      <c r="Q193" s="17">
        <v>12581346040</v>
      </c>
      <c r="R193" s="17" t="s">
        <v>571</v>
      </c>
      <c r="S193" s="17"/>
      <c r="T193" s="17" t="s">
        <v>2832</v>
      </c>
      <c r="U193" s="17" t="s">
        <v>573</v>
      </c>
      <c r="V193" s="17" t="s">
        <v>2833</v>
      </c>
      <c r="W193" s="17" t="s">
        <v>574</v>
      </c>
      <c r="X193" s="17" t="s">
        <v>178</v>
      </c>
      <c r="Y193" s="17" t="s">
        <v>575</v>
      </c>
      <c r="Z193" s="17" t="s">
        <v>576</v>
      </c>
      <c r="AA193" s="21">
        <v>45986</v>
      </c>
      <c r="AB193" s="17" t="s">
        <v>218</v>
      </c>
      <c r="AC193" s="17" t="s">
        <v>576</v>
      </c>
      <c r="AD193" s="21">
        <v>45989</v>
      </c>
      <c r="AE193" s="17">
        <v>600000</v>
      </c>
      <c r="AF193" s="17">
        <v>600000</v>
      </c>
      <c r="AG193" s="17">
        <v>0</v>
      </c>
      <c r="AH193" s="17">
        <v>600000</v>
      </c>
      <c r="AI193" s="21">
        <v>45992</v>
      </c>
      <c r="AJ193" s="17">
        <v>600000</v>
      </c>
      <c r="AK193" s="17" t="s">
        <v>56</v>
      </c>
      <c r="AL193" s="17">
        <v>0</v>
      </c>
      <c r="AM193" s="17"/>
    </row>
    <row r="194" spans="1:39" x14ac:dyDescent="0.3">
      <c r="A194" s="17" t="s">
        <v>2845</v>
      </c>
      <c r="B194" s="17">
        <v>2025</v>
      </c>
      <c r="C194" s="17" t="s">
        <v>2871</v>
      </c>
      <c r="D194" s="17" t="s">
        <v>71</v>
      </c>
      <c r="E194" s="17" t="s">
        <v>2790</v>
      </c>
      <c r="F194" s="17" t="s">
        <v>3445</v>
      </c>
      <c r="G194" s="19">
        <v>6</v>
      </c>
      <c r="H194" s="19" t="s">
        <v>117</v>
      </c>
      <c r="I194" s="20">
        <v>45959</v>
      </c>
      <c r="J194" s="20">
        <v>45959</v>
      </c>
      <c r="K194" s="17"/>
      <c r="L194" s="17" t="s">
        <v>3446</v>
      </c>
      <c r="M194" s="17" t="s">
        <v>2790</v>
      </c>
      <c r="N194" s="17" t="s">
        <v>2848</v>
      </c>
      <c r="O194" s="17">
        <v>89</v>
      </c>
      <c r="P194" s="17">
        <v>1258300530</v>
      </c>
      <c r="Q194" s="17">
        <v>90700144261</v>
      </c>
      <c r="R194" s="17" t="s">
        <v>2849</v>
      </c>
      <c r="S194" s="17"/>
      <c r="T194" s="17" t="s">
        <v>2850</v>
      </c>
      <c r="U194" s="17" t="s">
        <v>2851</v>
      </c>
      <c r="V194" s="17">
        <v>0</v>
      </c>
      <c r="W194" s="17" t="s">
        <v>2852</v>
      </c>
      <c r="X194" s="17" t="s">
        <v>947</v>
      </c>
      <c r="Y194" s="17" t="s">
        <v>2853</v>
      </c>
      <c r="Z194" s="17" t="s">
        <v>2854</v>
      </c>
      <c r="AA194" s="21">
        <v>45988</v>
      </c>
      <c r="AB194" s="17" t="s">
        <v>73</v>
      </c>
      <c r="AC194" s="17" t="s">
        <v>2855</v>
      </c>
      <c r="AD194" s="21">
        <v>46001</v>
      </c>
      <c r="AE194" s="17">
        <v>3400000</v>
      </c>
      <c r="AF194" s="17">
        <v>3400000</v>
      </c>
      <c r="AG194" s="17">
        <v>0</v>
      </c>
      <c r="AH194" s="17">
        <v>3400000</v>
      </c>
      <c r="AI194" s="21">
        <v>46007</v>
      </c>
      <c r="AJ194" s="17">
        <v>3400000</v>
      </c>
      <c r="AK194" s="20" t="s">
        <v>56</v>
      </c>
      <c r="AL194" s="17">
        <v>0</v>
      </c>
      <c r="AM194" s="17"/>
    </row>
    <row r="195" spans="1:39" x14ac:dyDescent="0.3">
      <c r="A195" s="17" t="s">
        <v>2805</v>
      </c>
      <c r="B195" s="17">
        <v>2025</v>
      </c>
      <c r="C195" s="17" t="s">
        <v>2871</v>
      </c>
      <c r="D195" s="17" t="s">
        <v>2911</v>
      </c>
      <c r="E195" s="17" t="s">
        <v>2790</v>
      </c>
      <c r="F195" s="17" t="s">
        <v>3447</v>
      </c>
      <c r="G195" s="19">
        <v>7</v>
      </c>
      <c r="H195" s="19" t="s">
        <v>128</v>
      </c>
      <c r="I195" s="20">
        <v>45972</v>
      </c>
      <c r="J195" s="20">
        <v>45972</v>
      </c>
      <c r="K195" s="17"/>
      <c r="L195" s="17" t="s">
        <v>73</v>
      </c>
      <c r="M195" s="17" t="s">
        <v>2790</v>
      </c>
      <c r="N195" s="17" t="s">
        <v>2807</v>
      </c>
      <c r="O195" s="17">
        <v>15</v>
      </c>
      <c r="P195" s="17">
        <v>2298602864</v>
      </c>
      <c r="Q195" s="17">
        <v>22986028640</v>
      </c>
      <c r="R195" s="17" t="s">
        <v>2808</v>
      </c>
      <c r="S195" s="17"/>
      <c r="T195" s="17" t="s">
        <v>2809</v>
      </c>
      <c r="U195" s="17" t="s">
        <v>2810</v>
      </c>
      <c r="V195" s="17">
        <v>0</v>
      </c>
      <c r="W195" s="17" t="s">
        <v>3448</v>
      </c>
      <c r="X195" s="17" t="s">
        <v>532</v>
      </c>
      <c r="Y195" s="17" t="s">
        <v>2812</v>
      </c>
      <c r="Z195" s="17" t="s">
        <v>3449</v>
      </c>
      <c r="AA195" s="21">
        <v>46000</v>
      </c>
      <c r="AB195" s="17" t="s">
        <v>73</v>
      </c>
      <c r="AC195" s="17" t="s">
        <v>3450</v>
      </c>
      <c r="AD195" s="21">
        <v>46000</v>
      </c>
      <c r="AE195" s="17">
        <v>1700000</v>
      </c>
      <c r="AF195" s="17">
        <v>1300000</v>
      </c>
      <c r="AG195" s="17">
        <v>400000</v>
      </c>
      <c r="AH195" s="17">
        <v>1300000</v>
      </c>
      <c r="AI195" s="21">
        <v>46010</v>
      </c>
      <c r="AJ195" s="17">
        <v>1300000</v>
      </c>
      <c r="AK195" s="20"/>
      <c r="AL195" s="17">
        <v>0</v>
      </c>
      <c r="AM195" s="17"/>
    </row>
    <row r="196" spans="1:39" x14ac:dyDescent="0.3">
      <c r="A196" s="17" t="s">
        <v>2864</v>
      </c>
      <c r="B196" s="17">
        <v>2025</v>
      </c>
      <c r="C196" s="17" t="s">
        <v>2871</v>
      </c>
      <c r="D196" s="17"/>
      <c r="E196" s="17" t="s">
        <v>2790</v>
      </c>
      <c r="F196" s="17" t="s">
        <v>3451</v>
      </c>
      <c r="G196" s="19">
        <v>8</v>
      </c>
      <c r="H196" s="19" t="s">
        <v>139</v>
      </c>
      <c r="I196" s="20">
        <v>45975</v>
      </c>
      <c r="J196" s="20">
        <v>45975</v>
      </c>
      <c r="K196" s="17"/>
      <c r="L196" s="17" t="s">
        <v>61</v>
      </c>
      <c r="M196" s="17" t="s">
        <v>2790</v>
      </c>
      <c r="N196" s="17" t="s">
        <v>2866</v>
      </c>
      <c r="O196" s="17">
        <v>15</v>
      </c>
      <c r="P196" s="17">
        <v>1838602229</v>
      </c>
      <c r="Q196" s="17">
        <v>92232429351</v>
      </c>
      <c r="R196" s="17" t="s">
        <v>865</v>
      </c>
      <c r="S196" s="17"/>
      <c r="T196" s="17" t="s">
        <v>2867</v>
      </c>
      <c r="U196" s="17" t="s">
        <v>1160</v>
      </c>
      <c r="V196" s="17" t="s">
        <v>2868</v>
      </c>
      <c r="W196" s="17" t="s">
        <v>2869</v>
      </c>
      <c r="X196" s="17" t="s">
        <v>491</v>
      </c>
      <c r="Y196" s="17" t="s">
        <v>2870</v>
      </c>
      <c r="Z196" s="17" t="s">
        <v>859</v>
      </c>
      <c r="AA196" s="21">
        <v>45987</v>
      </c>
      <c r="AB196" s="17" t="s">
        <v>61</v>
      </c>
      <c r="AC196" s="17" t="s">
        <v>859</v>
      </c>
      <c r="AD196" s="21">
        <v>46013</v>
      </c>
      <c r="AE196" s="17">
        <v>500000</v>
      </c>
      <c r="AF196" s="17">
        <v>500000</v>
      </c>
      <c r="AG196" s="17">
        <v>0</v>
      </c>
      <c r="AH196" s="17">
        <v>0</v>
      </c>
      <c r="AI196" s="21">
        <v>46013</v>
      </c>
      <c r="AJ196" s="17">
        <v>0</v>
      </c>
      <c r="AK196" s="20" t="s">
        <v>56</v>
      </c>
      <c r="AL196" s="17">
        <v>0</v>
      </c>
      <c r="AM196" s="17"/>
    </row>
    <row r="197" spans="1:39" x14ac:dyDescent="0.3">
      <c r="A197" s="17" t="s">
        <v>2834</v>
      </c>
      <c r="B197" s="17">
        <v>2025</v>
      </c>
      <c r="C197" s="17" t="s">
        <v>2871</v>
      </c>
      <c r="D197" s="17" t="s">
        <v>71</v>
      </c>
      <c r="E197" s="17" t="s">
        <v>2790</v>
      </c>
      <c r="F197" s="17" t="s">
        <v>3452</v>
      </c>
      <c r="G197" s="19">
        <v>9</v>
      </c>
      <c r="H197" s="19" t="s">
        <v>148</v>
      </c>
      <c r="I197" s="20">
        <v>46000</v>
      </c>
      <c r="J197" s="20">
        <v>46000</v>
      </c>
      <c r="K197" s="17"/>
      <c r="L197" s="17" t="s">
        <v>73</v>
      </c>
      <c r="M197" s="17" t="s">
        <v>2790</v>
      </c>
      <c r="N197" s="17" t="s">
        <v>2837</v>
      </c>
      <c r="O197" s="17">
        <v>34</v>
      </c>
      <c r="P197" s="17">
        <v>1088201221</v>
      </c>
      <c r="Q197" s="17">
        <v>10882012210</v>
      </c>
      <c r="R197" s="17" t="s">
        <v>2838</v>
      </c>
      <c r="S197" s="17"/>
      <c r="T197" s="17" t="s">
        <v>2839</v>
      </c>
      <c r="U197" s="17" t="s">
        <v>2840</v>
      </c>
      <c r="V197" s="17" t="s">
        <v>2841</v>
      </c>
      <c r="W197" s="17" t="s">
        <v>2842</v>
      </c>
      <c r="X197" s="17">
        <v>0</v>
      </c>
      <c r="Y197" s="17" t="s">
        <v>2843</v>
      </c>
      <c r="Z197" s="17" t="s">
        <v>2844</v>
      </c>
      <c r="AA197" s="21"/>
      <c r="AB197" s="17"/>
      <c r="AC197" s="17" t="s">
        <v>2844</v>
      </c>
      <c r="AD197" s="21"/>
      <c r="AE197" s="17">
        <v>3000000</v>
      </c>
      <c r="AF197" s="17">
        <v>3000000</v>
      </c>
      <c r="AG197" s="17">
        <v>0</v>
      </c>
      <c r="AH197" s="17">
        <v>0</v>
      </c>
      <c r="AI197" s="21"/>
      <c r="AJ197" s="17">
        <v>0</v>
      </c>
      <c r="AK197" s="20" t="s">
        <v>56</v>
      </c>
      <c r="AL197" s="17">
        <v>0</v>
      </c>
      <c r="AM197" s="17"/>
    </row>
    <row r="198" spans="1:39" x14ac:dyDescent="0.3">
      <c r="A198" s="17" t="s">
        <v>3453</v>
      </c>
      <c r="B198" s="17">
        <v>2025</v>
      </c>
      <c r="C198" s="17" t="s">
        <v>2871</v>
      </c>
      <c r="D198" s="17"/>
      <c r="E198" s="17" t="s">
        <v>2790</v>
      </c>
      <c r="F198" s="17" t="s">
        <v>3454</v>
      </c>
      <c r="G198" s="19">
        <v>10</v>
      </c>
      <c r="H198" s="19">
        <v>10</v>
      </c>
      <c r="I198" s="20">
        <v>46014</v>
      </c>
      <c r="J198" s="20">
        <v>46014</v>
      </c>
      <c r="K198" s="17"/>
      <c r="L198" s="17" t="s">
        <v>46</v>
      </c>
      <c r="M198" s="17" t="s">
        <v>2790</v>
      </c>
      <c r="N198" s="17" t="s">
        <v>3455</v>
      </c>
      <c r="O198" s="17">
        <v>65</v>
      </c>
      <c r="P198" s="17"/>
      <c r="Q198" s="17"/>
      <c r="R198" s="17"/>
      <c r="S198" s="17"/>
      <c r="T198" s="17" t="s">
        <v>3456</v>
      </c>
      <c r="U198" s="17" t="s">
        <v>3457</v>
      </c>
      <c r="V198" s="17" t="s">
        <v>3458</v>
      </c>
      <c r="W198" s="17" t="s">
        <v>3459</v>
      </c>
      <c r="X198" s="17" t="s">
        <v>321</v>
      </c>
      <c r="Y198" s="17" t="s">
        <v>3460</v>
      </c>
      <c r="Z198" s="17" t="s">
        <v>3461</v>
      </c>
      <c r="AA198" s="21"/>
      <c r="AB198" s="17"/>
      <c r="AC198" s="17"/>
      <c r="AD198" s="21"/>
      <c r="AE198" s="17">
        <v>900000</v>
      </c>
      <c r="AF198" s="17">
        <v>900000</v>
      </c>
      <c r="AG198" s="17">
        <v>0</v>
      </c>
      <c r="AH198" s="17">
        <v>0</v>
      </c>
      <c r="AI198" s="21"/>
      <c r="AJ198" s="17">
        <v>0</v>
      </c>
      <c r="AK198" s="20" t="s">
        <v>56</v>
      </c>
      <c r="AL198" s="17">
        <v>0</v>
      </c>
      <c r="AM198" s="17"/>
    </row>
    <row r="199" spans="1:39" x14ac:dyDescent="0.3">
      <c r="A199" s="17" t="s">
        <v>453</v>
      </c>
      <c r="B199" s="17">
        <v>2025</v>
      </c>
      <c r="C199" s="17" t="s">
        <v>2871</v>
      </c>
      <c r="D199" s="17"/>
      <c r="E199" s="17" t="s">
        <v>241</v>
      </c>
      <c r="F199" s="17" t="s">
        <v>3462</v>
      </c>
      <c r="G199" s="19">
        <v>1</v>
      </c>
      <c r="H199" s="19">
        <v>1</v>
      </c>
      <c r="I199" s="20">
        <v>45930</v>
      </c>
      <c r="J199" s="20">
        <v>45930</v>
      </c>
      <c r="K199" s="17"/>
      <c r="L199" s="17" t="s">
        <v>181</v>
      </c>
      <c r="M199" s="17" t="s">
        <v>241</v>
      </c>
      <c r="N199" s="17" t="s">
        <v>456</v>
      </c>
      <c r="O199" s="17">
        <v>60</v>
      </c>
      <c r="P199" s="17">
        <v>1248148819</v>
      </c>
      <c r="Q199" s="17">
        <v>12481488190</v>
      </c>
      <c r="R199" s="17" t="s">
        <v>457</v>
      </c>
      <c r="S199" s="17"/>
      <c r="T199" s="17" t="s">
        <v>458</v>
      </c>
      <c r="U199" s="17" t="s">
        <v>459</v>
      </c>
      <c r="V199" s="17" t="s">
        <v>3463</v>
      </c>
      <c r="W199" s="17" t="s">
        <v>460</v>
      </c>
      <c r="X199" s="17" t="s">
        <v>461</v>
      </c>
      <c r="Y199" s="17" t="s">
        <v>462</v>
      </c>
      <c r="Z199" s="17" t="s">
        <v>3464</v>
      </c>
      <c r="AA199" s="21">
        <v>45959</v>
      </c>
      <c r="AB199" s="17" t="s">
        <v>181</v>
      </c>
      <c r="AC199" s="17" t="s">
        <v>463</v>
      </c>
      <c r="AD199" s="21">
        <v>45974</v>
      </c>
      <c r="AE199" s="17">
        <v>700000</v>
      </c>
      <c r="AF199" s="17">
        <v>700000</v>
      </c>
      <c r="AG199" s="17">
        <v>0</v>
      </c>
      <c r="AH199" s="17">
        <v>700000</v>
      </c>
      <c r="AI199" s="21">
        <v>45980</v>
      </c>
      <c r="AJ199" s="17">
        <v>700000</v>
      </c>
      <c r="AK199" s="20" t="s">
        <v>56</v>
      </c>
      <c r="AL199" s="17">
        <v>0</v>
      </c>
      <c r="AM199" s="17"/>
    </row>
    <row r="200" spans="1:39" x14ac:dyDescent="0.3">
      <c r="A200" s="17" t="s">
        <v>464</v>
      </c>
      <c r="B200" s="17">
        <v>2025</v>
      </c>
      <c r="C200" s="17" t="s">
        <v>2871</v>
      </c>
      <c r="D200" s="17"/>
      <c r="E200" s="17" t="s">
        <v>241</v>
      </c>
      <c r="F200" s="17" t="s">
        <v>3465</v>
      </c>
      <c r="G200" s="19">
        <v>2</v>
      </c>
      <c r="H200" s="19">
        <v>2</v>
      </c>
      <c r="I200" s="20">
        <v>45930</v>
      </c>
      <c r="J200" s="20">
        <v>45930</v>
      </c>
      <c r="K200" s="17"/>
      <c r="L200" s="17" t="s">
        <v>46</v>
      </c>
      <c r="M200" s="17" t="s">
        <v>241</v>
      </c>
      <c r="N200" s="17" t="s">
        <v>467</v>
      </c>
      <c r="O200" s="17">
        <v>18</v>
      </c>
      <c r="P200" s="17">
        <v>1192061600</v>
      </c>
      <c r="Q200" s="17">
        <v>11920616000</v>
      </c>
      <c r="R200" s="17" t="s">
        <v>468</v>
      </c>
      <c r="S200" s="17"/>
      <c r="T200" s="17" t="s">
        <v>469</v>
      </c>
      <c r="U200" s="17" t="s">
        <v>470</v>
      </c>
      <c r="V200" s="17" t="s">
        <v>3466</v>
      </c>
      <c r="W200" s="17" t="s">
        <v>471</v>
      </c>
      <c r="X200" s="17" t="s">
        <v>461</v>
      </c>
      <c r="Y200" s="17" t="s">
        <v>472</v>
      </c>
      <c r="Z200" s="17" t="s">
        <v>473</v>
      </c>
      <c r="AA200" s="21">
        <v>45959</v>
      </c>
      <c r="AB200" s="17" t="s">
        <v>181</v>
      </c>
      <c r="AC200" s="17" t="s">
        <v>473</v>
      </c>
      <c r="AD200" s="21">
        <v>45974</v>
      </c>
      <c r="AE200" s="17">
        <v>700000</v>
      </c>
      <c r="AF200" s="17">
        <v>300000</v>
      </c>
      <c r="AG200" s="17">
        <v>400000</v>
      </c>
      <c r="AH200" s="17">
        <v>400000</v>
      </c>
      <c r="AI200" s="21"/>
      <c r="AJ200" s="17"/>
      <c r="AK200" s="20">
        <v>45975</v>
      </c>
      <c r="AL200" s="17">
        <v>400000</v>
      </c>
      <c r="AM200" s="17"/>
    </row>
    <row r="201" spans="1:39" x14ac:dyDescent="0.3">
      <c r="A201" s="17" t="s">
        <v>237</v>
      </c>
      <c r="B201" s="17">
        <v>2025</v>
      </c>
      <c r="C201" s="17" t="s">
        <v>2871</v>
      </c>
      <c r="D201" s="17"/>
      <c r="E201" s="17" t="s">
        <v>241</v>
      </c>
      <c r="F201" s="17" t="s">
        <v>3467</v>
      </c>
      <c r="G201" s="19">
        <v>3</v>
      </c>
      <c r="H201" s="19">
        <v>3</v>
      </c>
      <c r="I201" s="20">
        <v>45930</v>
      </c>
      <c r="J201" s="20">
        <v>45930</v>
      </c>
      <c r="K201" s="17"/>
      <c r="L201" s="17" t="s">
        <v>218</v>
      </c>
      <c r="M201" s="17" t="s">
        <v>241</v>
      </c>
      <c r="N201" s="17" t="s">
        <v>242</v>
      </c>
      <c r="O201" s="17">
        <v>18</v>
      </c>
      <c r="P201" s="17">
        <v>7328701183</v>
      </c>
      <c r="Q201" s="17">
        <v>73287011830</v>
      </c>
      <c r="R201" s="17" t="s">
        <v>243</v>
      </c>
      <c r="S201" s="17"/>
      <c r="T201" s="17" t="s">
        <v>244</v>
      </c>
      <c r="U201" s="17" t="s">
        <v>245</v>
      </c>
      <c r="V201" s="17" t="s">
        <v>3468</v>
      </c>
      <c r="W201" s="17" t="s">
        <v>246</v>
      </c>
      <c r="X201" s="17"/>
      <c r="Y201" s="17" t="s">
        <v>247</v>
      </c>
      <c r="Z201" s="17" t="s">
        <v>248</v>
      </c>
      <c r="AA201" s="21">
        <v>45959</v>
      </c>
      <c r="AB201" s="17" t="s">
        <v>218</v>
      </c>
      <c r="AC201" s="17" t="s">
        <v>248</v>
      </c>
      <c r="AD201" s="21">
        <v>45957</v>
      </c>
      <c r="AE201" s="17">
        <v>900000</v>
      </c>
      <c r="AF201" s="17">
        <v>500000</v>
      </c>
      <c r="AG201" s="17">
        <v>400000</v>
      </c>
      <c r="AH201" s="17">
        <v>400000</v>
      </c>
      <c r="AI201" s="21"/>
      <c r="AJ201" s="17"/>
      <c r="AK201" s="20">
        <v>45975</v>
      </c>
      <c r="AL201" s="17">
        <v>400000</v>
      </c>
      <c r="AM201" s="17"/>
    </row>
    <row r="202" spans="1:39" x14ac:dyDescent="0.3">
      <c r="A202" s="17" t="s">
        <v>249</v>
      </c>
      <c r="B202" s="17">
        <v>2025</v>
      </c>
      <c r="C202" s="17" t="s">
        <v>2871</v>
      </c>
      <c r="D202" s="17"/>
      <c r="E202" s="17" t="s">
        <v>241</v>
      </c>
      <c r="F202" s="17" t="s">
        <v>3469</v>
      </c>
      <c r="G202" s="19">
        <v>4</v>
      </c>
      <c r="H202" s="19">
        <v>4</v>
      </c>
      <c r="I202" s="20">
        <v>45930</v>
      </c>
      <c r="J202" s="20">
        <v>45930</v>
      </c>
      <c r="K202" s="17"/>
      <c r="L202" s="17" t="s">
        <v>61</v>
      </c>
      <c r="M202" s="17" t="s">
        <v>241</v>
      </c>
      <c r="N202" s="17" t="s">
        <v>251</v>
      </c>
      <c r="O202" s="17">
        <v>5</v>
      </c>
      <c r="P202" s="17">
        <v>1310866049</v>
      </c>
      <c r="Q202" s="17">
        <v>13108660490</v>
      </c>
      <c r="R202" s="17" t="s">
        <v>252</v>
      </c>
      <c r="S202" s="17"/>
      <c r="T202" s="17" t="s">
        <v>253</v>
      </c>
      <c r="U202" s="17" t="s">
        <v>254</v>
      </c>
      <c r="V202" s="17" t="s">
        <v>3470</v>
      </c>
      <c r="W202" s="17" t="s">
        <v>255</v>
      </c>
      <c r="X202" s="17" t="s">
        <v>123</v>
      </c>
      <c r="Y202" s="17" t="s">
        <v>256</v>
      </c>
      <c r="Z202" s="17" t="s">
        <v>257</v>
      </c>
      <c r="AA202" s="21">
        <v>45955</v>
      </c>
      <c r="AB202" s="17" t="s">
        <v>61</v>
      </c>
      <c r="AC202" s="17" t="s">
        <v>257</v>
      </c>
      <c r="AD202" s="21">
        <v>45925</v>
      </c>
      <c r="AE202" s="17">
        <v>800000</v>
      </c>
      <c r="AF202" s="17">
        <v>400000</v>
      </c>
      <c r="AG202" s="17">
        <v>400000</v>
      </c>
      <c r="AH202" s="17">
        <v>800000</v>
      </c>
      <c r="AI202" s="21">
        <v>45925</v>
      </c>
      <c r="AJ202" s="17">
        <v>400000</v>
      </c>
      <c r="AK202" s="20">
        <v>45975</v>
      </c>
      <c r="AL202" s="17">
        <v>400000</v>
      </c>
      <c r="AM202" s="17"/>
    </row>
    <row r="203" spans="1:39" x14ac:dyDescent="0.3">
      <c r="A203" s="17" t="s">
        <v>258</v>
      </c>
      <c r="B203" s="17">
        <v>2025</v>
      </c>
      <c r="C203" s="17" t="s">
        <v>2871</v>
      </c>
      <c r="D203" s="17"/>
      <c r="E203" s="17" t="s">
        <v>241</v>
      </c>
      <c r="F203" s="17" t="s">
        <v>3471</v>
      </c>
      <c r="G203" s="19">
        <v>5</v>
      </c>
      <c r="H203" s="19">
        <v>5</v>
      </c>
      <c r="I203" s="20">
        <v>45930</v>
      </c>
      <c r="J203" s="20">
        <v>45930</v>
      </c>
      <c r="K203" s="17"/>
      <c r="L203" s="17" t="s">
        <v>97</v>
      </c>
      <c r="M203" s="17" t="s">
        <v>241</v>
      </c>
      <c r="N203" s="17" t="s">
        <v>261</v>
      </c>
      <c r="O203" s="17">
        <v>19</v>
      </c>
      <c r="P203" s="17">
        <v>1408166823</v>
      </c>
      <c r="Q203" s="17">
        <v>14081668230</v>
      </c>
      <c r="R203" s="17" t="s">
        <v>252</v>
      </c>
      <c r="S203" s="17"/>
      <c r="T203" s="17" t="s">
        <v>253</v>
      </c>
      <c r="U203" s="17" t="s">
        <v>254</v>
      </c>
      <c r="V203" s="17" t="s">
        <v>3470</v>
      </c>
      <c r="W203" s="17" t="s">
        <v>255</v>
      </c>
      <c r="X203" s="17" t="s">
        <v>123</v>
      </c>
      <c r="Y203" s="17" t="s">
        <v>256</v>
      </c>
      <c r="Z203" s="17" t="s">
        <v>257</v>
      </c>
      <c r="AA203" s="21">
        <v>45955</v>
      </c>
      <c r="AB203" s="17" t="s">
        <v>61</v>
      </c>
      <c r="AC203" s="17" t="s">
        <v>257</v>
      </c>
      <c r="AD203" s="21">
        <v>45925</v>
      </c>
      <c r="AE203" s="17">
        <v>900000</v>
      </c>
      <c r="AF203" s="17">
        <v>500000</v>
      </c>
      <c r="AG203" s="17">
        <v>400000</v>
      </c>
      <c r="AH203" s="17">
        <v>900000</v>
      </c>
      <c r="AI203" s="21">
        <v>45925</v>
      </c>
      <c r="AJ203" s="17">
        <v>500000</v>
      </c>
      <c r="AK203" s="20">
        <v>45975</v>
      </c>
      <c r="AL203" s="17">
        <v>400000</v>
      </c>
      <c r="AM203" s="17"/>
    </row>
    <row r="204" spans="1:39" x14ac:dyDescent="0.3">
      <c r="A204" s="17" t="s">
        <v>3472</v>
      </c>
      <c r="B204" s="17">
        <v>2025</v>
      </c>
      <c r="C204" s="17" t="s">
        <v>2871</v>
      </c>
      <c r="D204" s="17"/>
      <c r="E204" s="17" t="s">
        <v>241</v>
      </c>
      <c r="F204" s="17" t="s">
        <v>3473</v>
      </c>
      <c r="G204" s="19">
        <v>6</v>
      </c>
      <c r="H204" s="19">
        <v>6</v>
      </c>
      <c r="I204" s="20">
        <v>45931</v>
      </c>
      <c r="J204" s="20">
        <v>45931</v>
      </c>
      <c r="K204" s="17"/>
      <c r="L204" s="17" t="s">
        <v>218</v>
      </c>
      <c r="M204" s="17" t="s">
        <v>241</v>
      </c>
      <c r="N204" s="17" t="s">
        <v>3474</v>
      </c>
      <c r="O204" s="17">
        <v>6</v>
      </c>
      <c r="P204" s="17">
        <v>4388103502</v>
      </c>
      <c r="Q204" s="17">
        <v>43881035020</v>
      </c>
      <c r="R204" s="17" t="s">
        <v>3475</v>
      </c>
      <c r="S204" s="17"/>
      <c r="T204" s="17" t="s">
        <v>3476</v>
      </c>
      <c r="U204" s="17" t="s">
        <v>254</v>
      </c>
      <c r="V204" s="17" t="s">
        <v>3470</v>
      </c>
      <c r="W204" s="17" t="s">
        <v>255</v>
      </c>
      <c r="X204" s="17" t="s">
        <v>123</v>
      </c>
      <c r="Y204" s="17" t="s">
        <v>256</v>
      </c>
      <c r="Z204" s="17" t="s">
        <v>257</v>
      </c>
      <c r="AA204" s="21">
        <v>45954</v>
      </c>
      <c r="AB204" s="17" t="s">
        <v>218</v>
      </c>
      <c r="AC204" s="17" t="s">
        <v>257</v>
      </c>
      <c r="AD204" s="21">
        <v>45925</v>
      </c>
      <c r="AE204" s="17">
        <v>600000</v>
      </c>
      <c r="AF204" s="17">
        <v>200000</v>
      </c>
      <c r="AG204" s="17">
        <v>400000</v>
      </c>
      <c r="AH204" s="17">
        <v>600000</v>
      </c>
      <c r="AI204" s="21">
        <v>45925</v>
      </c>
      <c r="AJ204" s="17">
        <v>200000</v>
      </c>
      <c r="AK204" s="20">
        <v>45975</v>
      </c>
      <c r="AL204" s="17">
        <v>400000</v>
      </c>
      <c r="AM204" s="17"/>
    </row>
    <row r="205" spans="1:39" x14ac:dyDescent="0.3">
      <c r="A205" s="17" t="s">
        <v>445</v>
      </c>
      <c r="B205" s="17">
        <v>2025</v>
      </c>
      <c r="C205" s="17" t="s">
        <v>2871</v>
      </c>
      <c r="D205" s="17"/>
      <c r="E205" s="17" t="s">
        <v>241</v>
      </c>
      <c r="F205" s="17" t="s">
        <v>3477</v>
      </c>
      <c r="G205" s="19">
        <v>7</v>
      </c>
      <c r="H205" s="19">
        <v>6</v>
      </c>
      <c r="I205" s="20">
        <v>45931</v>
      </c>
      <c r="J205" s="20">
        <v>45931</v>
      </c>
      <c r="K205" s="17"/>
      <c r="L205" s="17" t="s">
        <v>46</v>
      </c>
      <c r="M205" s="17" t="s">
        <v>241</v>
      </c>
      <c r="N205" s="17" t="s">
        <v>448</v>
      </c>
      <c r="O205" s="17">
        <v>2</v>
      </c>
      <c r="P205" s="17">
        <v>1258628830</v>
      </c>
      <c r="Q205" s="17">
        <v>12586288300</v>
      </c>
      <c r="R205" s="17" t="s">
        <v>449</v>
      </c>
      <c r="S205" s="17"/>
      <c r="T205" s="17" t="s">
        <v>450</v>
      </c>
      <c r="U205" s="17" t="s">
        <v>451</v>
      </c>
      <c r="V205" s="17" t="s">
        <v>3478</v>
      </c>
      <c r="W205" s="17" t="s">
        <v>449</v>
      </c>
      <c r="X205" s="17" t="s">
        <v>78</v>
      </c>
      <c r="Y205" s="17"/>
      <c r="Z205" s="17"/>
      <c r="AA205" s="21">
        <v>45945</v>
      </c>
      <c r="AB205" s="17" t="s">
        <v>46</v>
      </c>
      <c r="AC205" s="17"/>
      <c r="AD205" s="21" t="s">
        <v>69</v>
      </c>
      <c r="AE205" s="17">
        <v>339430</v>
      </c>
      <c r="AF205" s="17">
        <v>0</v>
      </c>
      <c r="AG205" s="17">
        <v>339430</v>
      </c>
      <c r="AH205" s="17">
        <v>339430</v>
      </c>
      <c r="AI205" s="21"/>
      <c r="AJ205" s="17"/>
      <c r="AK205" s="20">
        <v>45953</v>
      </c>
      <c r="AL205" s="17">
        <v>339430</v>
      </c>
      <c r="AM205" s="17"/>
    </row>
    <row r="206" spans="1:39" x14ac:dyDescent="0.3">
      <c r="A206" s="17" t="s">
        <v>642</v>
      </c>
      <c r="B206" s="17">
        <v>2025</v>
      </c>
      <c r="C206" s="17" t="s">
        <v>2871</v>
      </c>
      <c r="D206" s="17"/>
      <c r="E206" s="17" t="s">
        <v>241</v>
      </c>
      <c r="F206" s="17" t="s">
        <v>3479</v>
      </c>
      <c r="G206" s="19">
        <v>8</v>
      </c>
      <c r="H206" s="19">
        <v>7</v>
      </c>
      <c r="I206" s="20">
        <v>45944</v>
      </c>
      <c r="J206" s="20">
        <v>45944</v>
      </c>
      <c r="K206" s="17"/>
      <c r="L206" s="17" t="s">
        <v>46</v>
      </c>
      <c r="M206" s="17" t="s">
        <v>241</v>
      </c>
      <c r="N206" s="17" t="s">
        <v>645</v>
      </c>
      <c r="O206" s="17">
        <v>55</v>
      </c>
      <c r="P206" s="17">
        <v>1248694467</v>
      </c>
      <c r="Q206" s="17">
        <v>12486944670</v>
      </c>
      <c r="R206" s="17" t="s">
        <v>646</v>
      </c>
      <c r="S206" s="17"/>
      <c r="T206" s="17" t="s">
        <v>647</v>
      </c>
      <c r="U206" s="17" t="s">
        <v>648</v>
      </c>
      <c r="V206" s="17" t="s">
        <v>3480</v>
      </c>
      <c r="W206" s="17" t="s">
        <v>649</v>
      </c>
      <c r="X206" s="17" t="s">
        <v>178</v>
      </c>
      <c r="Y206" s="17" t="s">
        <v>650</v>
      </c>
      <c r="Z206" s="17" t="s">
        <v>651</v>
      </c>
      <c r="AA206" s="21">
        <v>45957</v>
      </c>
      <c r="AB206" s="17" t="s">
        <v>46</v>
      </c>
      <c r="AC206" s="17" t="s">
        <v>651</v>
      </c>
      <c r="AD206" s="21">
        <v>45957</v>
      </c>
      <c r="AE206" s="17">
        <v>1200000</v>
      </c>
      <c r="AF206" s="17">
        <v>1200000</v>
      </c>
      <c r="AG206" s="17">
        <v>0</v>
      </c>
      <c r="AH206" s="17">
        <v>1200000</v>
      </c>
      <c r="AI206" s="21">
        <v>45957</v>
      </c>
      <c r="AJ206" s="17">
        <v>1200000</v>
      </c>
      <c r="AK206" s="20" t="s">
        <v>56</v>
      </c>
      <c r="AL206" s="17">
        <v>0</v>
      </c>
      <c r="AM206" s="17"/>
    </row>
    <row r="207" spans="1:39" x14ac:dyDescent="0.3">
      <c r="A207" s="17" t="s">
        <v>3481</v>
      </c>
      <c r="B207" s="17">
        <v>2025</v>
      </c>
      <c r="C207" s="17" t="s">
        <v>2871</v>
      </c>
      <c r="D207" s="17"/>
      <c r="E207" s="17" t="s">
        <v>241</v>
      </c>
      <c r="F207" s="17" t="s">
        <v>3482</v>
      </c>
      <c r="G207" s="19">
        <v>9</v>
      </c>
      <c r="H207" s="19">
        <v>8</v>
      </c>
      <c r="I207" s="20">
        <v>45954</v>
      </c>
      <c r="J207" s="20">
        <v>45954</v>
      </c>
      <c r="K207" s="17"/>
      <c r="L207" s="17" t="s">
        <v>46</v>
      </c>
      <c r="M207" s="17" t="s">
        <v>241</v>
      </c>
      <c r="N207" s="17" t="s">
        <v>3483</v>
      </c>
      <c r="O207" s="17">
        <v>27</v>
      </c>
      <c r="P207" s="17">
        <v>3098601894</v>
      </c>
      <c r="Q207" s="17">
        <v>30986018940</v>
      </c>
      <c r="R207" s="17" t="s">
        <v>3484</v>
      </c>
      <c r="S207" s="17"/>
      <c r="T207" s="17" t="s">
        <v>3485</v>
      </c>
      <c r="U207" s="17" t="s">
        <v>3486</v>
      </c>
      <c r="V207" s="17" t="s">
        <v>3487</v>
      </c>
      <c r="W207" s="17" t="s">
        <v>3488</v>
      </c>
      <c r="X207" s="17" t="s">
        <v>123</v>
      </c>
      <c r="Y207" s="17" t="s">
        <v>3489</v>
      </c>
      <c r="Z207" s="17" t="s">
        <v>3490</v>
      </c>
      <c r="AA207" s="21">
        <v>45959</v>
      </c>
      <c r="AB207" s="17" t="s">
        <v>46</v>
      </c>
      <c r="AC207" s="17"/>
      <c r="AD207" s="21" t="s">
        <v>69</v>
      </c>
      <c r="AE207" s="17">
        <v>458090</v>
      </c>
      <c r="AF207" s="17">
        <v>0</v>
      </c>
      <c r="AG207" s="17">
        <v>458090</v>
      </c>
      <c r="AH207" s="17">
        <v>458090</v>
      </c>
      <c r="AI207" s="21"/>
      <c r="AJ207" s="17"/>
      <c r="AK207" s="20">
        <v>45975</v>
      </c>
      <c r="AL207" s="17">
        <v>458090</v>
      </c>
      <c r="AM207" s="17"/>
    </row>
    <row r="208" spans="1:39" x14ac:dyDescent="0.3">
      <c r="A208" s="17" t="s">
        <v>806</v>
      </c>
      <c r="B208" s="17">
        <v>2025</v>
      </c>
      <c r="C208" s="17" t="s">
        <v>2871</v>
      </c>
      <c r="D208" s="17"/>
      <c r="E208" s="17" t="s">
        <v>241</v>
      </c>
      <c r="F208" s="17" t="s">
        <v>3491</v>
      </c>
      <c r="G208" s="19">
        <v>10</v>
      </c>
      <c r="H208" s="19">
        <v>9</v>
      </c>
      <c r="I208" s="20">
        <v>45965</v>
      </c>
      <c r="J208" s="20">
        <v>45965</v>
      </c>
      <c r="K208" s="17"/>
      <c r="L208" s="17" t="s">
        <v>218</v>
      </c>
      <c r="M208" s="17" t="s">
        <v>241</v>
      </c>
      <c r="N208" s="17" t="s">
        <v>809</v>
      </c>
      <c r="O208" s="17">
        <v>51</v>
      </c>
      <c r="P208" s="17">
        <v>1238122214</v>
      </c>
      <c r="Q208" s="17">
        <v>12381222140</v>
      </c>
      <c r="R208" s="17" t="s">
        <v>810</v>
      </c>
      <c r="S208" s="17"/>
      <c r="T208" s="17" t="s">
        <v>811</v>
      </c>
      <c r="U208" s="17" t="s">
        <v>812</v>
      </c>
      <c r="V208" s="17"/>
      <c r="W208" s="17" t="s">
        <v>813</v>
      </c>
      <c r="X208" s="17" t="s">
        <v>168</v>
      </c>
      <c r="Y208" s="17" t="s">
        <v>814</v>
      </c>
      <c r="Z208" s="17" t="s">
        <v>815</v>
      </c>
      <c r="AA208" s="21"/>
      <c r="AB208" s="17"/>
      <c r="AC208" s="17" t="s">
        <v>815</v>
      </c>
      <c r="AD208" s="21">
        <v>45995</v>
      </c>
      <c r="AE208" s="17">
        <v>1200000</v>
      </c>
      <c r="AF208" s="17">
        <v>1200000</v>
      </c>
      <c r="AG208" s="17">
        <v>0</v>
      </c>
      <c r="AH208" s="17">
        <v>1200000</v>
      </c>
      <c r="AI208" s="21">
        <v>46022</v>
      </c>
      <c r="AJ208" s="17">
        <v>1200000</v>
      </c>
      <c r="AK208" s="20" t="s">
        <v>56</v>
      </c>
      <c r="AL208" s="17">
        <v>0</v>
      </c>
      <c r="AM208" s="17"/>
    </row>
    <row r="209" spans="1:39" x14ac:dyDescent="0.3">
      <c r="A209" s="17" t="s">
        <v>1308</v>
      </c>
      <c r="B209" s="17">
        <v>2025</v>
      </c>
      <c r="C209" s="17" t="s">
        <v>2871</v>
      </c>
      <c r="D209" s="17"/>
      <c r="E209" s="17" t="s">
        <v>241</v>
      </c>
      <c r="F209" s="17" t="s">
        <v>3492</v>
      </c>
      <c r="G209" s="19">
        <v>11</v>
      </c>
      <c r="H209" s="19">
        <v>10</v>
      </c>
      <c r="I209" s="20">
        <v>46000</v>
      </c>
      <c r="J209" s="20">
        <v>46000</v>
      </c>
      <c r="K209" s="17"/>
      <c r="L209" s="17" t="s">
        <v>798</v>
      </c>
      <c r="M209" s="17" t="s">
        <v>241</v>
      </c>
      <c r="N209" s="17" t="s">
        <v>1313</v>
      </c>
      <c r="O209" s="17">
        <v>297</v>
      </c>
      <c r="P209" s="17">
        <v>2298105769</v>
      </c>
      <c r="Q209" s="17">
        <v>22981057690</v>
      </c>
      <c r="R209" s="17" t="s">
        <v>3493</v>
      </c>
      <c r="S209" s="17"/>
      <c r="T209" s="17" t="s">
        <v>1315</v>
      </c>
      <c r="U209" s="17" t="s">
        <v>1316</v>
      </c>
      <c r="V209" s="17" t="s">
        <v>3494</v>
      </c>
      <c r="W209" s="17" t="s">
        <v>3495</v>
      </c>
      <c r="X209" s="17"/>
      <c r="Y209" s="17" t="s">
        <v>3496</v>
      </c>
      <c r="Z209" s="17" t="s">
        <v>3497</v>
      </c>
      <c r="AA209" s="21">
        <v>46021</v>
      </c>
      <c r="AB209" s="17" t="s">
        <v>61</v>
      </c>
      <c r="AC209" s="17" t="s">
        <v>3497</v>
      </c>
      <c r="AD209" s="21">
        <v>46010</v>
      </c>
      <c r="AE209" s="17">
        <v>3850000</v>
      </c>
      <c r="AF209" s="17">
        <v>3850000</v>
      </c>
      <c r="AG209" s="17">
        <v>0</v>
      </c>
      <c r="AH209" s="17">
        <v>0</v>
      </c>
      <c r="AI209" s="21"/>
      <c r="AJ209" s="17"/>
      <c r="AK209" s="20" t="s">
        <v>56</v>
      </c>
      <c r="AL209" s="17">
        <v>0</v>
      </c>
      <c r="AM209" s="17"/>
    </row>
    <row r="210" spans="1:39" x14ac:dyDescent="0.3">
      <c r="A210" s="17" t="s">
        <v>1125</v>
      </c>
      <c r="B210" s="17">
        <v>2025</v>
      </c>
      <c r="C210" s="17" t="s">
        <v>2871</v>
      </c>
      <c r="D210" s="17"/>
      <c r="E210" s="17" t="s">
        <v>241</v>
      </c>
      <c r="F210" s="17" t="s">
        <v>3498</v>
      </c>
      <c r="G210" s="19">
        <v>12</v>
      </c>
      <c r="H210" s="19">
        <v>11</v>
      </c>
      <c r="I210" s="20">
        <v>46002</v>
      </c>
      <c r="J210" s="20">
        <v>46002</v>
      </c>
      <c r="K210" s="17"/>
      <c r="L210" s="17" t="s">
        <v>46</v>
      </c>
      <c r="M210" s="17" t="s">
        <v>241</v>
      </c>
      <c r="N210" s="17" t="s">
        <v>1128</v>
      </c>
      <c r="O210" s="17">
        <v>54</v>
      </c>
      <c r="P210" s="17">
        <v>1268647636</v>
      </c>
      <c r="Q210" s="17">
        <v>12686476360</v>
      </c>
      <c r="R210" s="17" t="s">
        <v>1129</v>
      </c>
      <c r="S210" s="17"/>
      <c r="T210" s="17" t="s">
        <v>1130</v>
      </c>
      <c r="U210" s="17" t="s">
        <v>1131</v>
      </c>
      <c r="V210" s="17" t="s">
        <v>3499</v>
      </c>
      <c r="W210" s="17" t="s">
        <v>1132</v>
      </c>
      <c r="X210" s="17" t="s">
        <v>178</v>
      </c>
      <c r="Y210" s="17" t="s">
        <v>1133</v>
      </c>
      <c r="Z210" s="17" t="s">
        <v>1134</v>
      </c>
      <c r="AA210" s="21">
        <v>46028</v>
      </c>
      <c r="AB210" s="17" t="s">
        <v>46</v>
      </c>
      <c r="AC210" s="17" t="s">
        <v>1135</v>
      </c>
      <c r="AD210" s="21">
        <v>46028</v>
      </c>
      <c r="AE210" s="17">
        <v>800000</v>
      </c>
      <c r="AF210" s="17">
        <v>800000</v>
      </c>
      <c r="AG210" s="17">
        <v>0</v>
      </c>
      <c r="AH210" s="17">
        <v>800000</v>
      </c>
      <c r="AI210" s="21">
        <v>46029</v>
      </c>
      <c r="AJ210" s="17">
        <v>800000</v>
      </c>
      <c r="AK210" s="20" t="s">
        <v>56</v>
      </c>
      <c r="AL210" s="17">
        <v>0</v>
      </c>
      <c r="AM210" s="17"/>
    </row>
    <row r="211" spans="1:39" x14ac:dyDescent="0.3">
      <c r="A211" s="17" t="s">
        <v>1115</v>
      </c>
      <c r="B211" s="17">
        <v>2025</v>
      </c>
      <c r="C211" s="17" t="s">
        <v>2871</v>
      </c>
      <c r="D211" s="17"/>
      <c r="E211" s="17" t="s">
        <v>241</v>
      </c>
      <c r="F211" s="17" t="s">
        <v>3500</v>
      </c>
      <c r="G211" s="19">
        <v>13</v>
      </c>
      <c r="H211" s="19">
        <v>13</v>
      </c>
      <c r="I211" s="20">
        <v>46003</v>
      </c>
      <c r="J211" s="20">
        <v>46003</v>
      </c>
      <c r="K211" s="17"/>
      <c r="L211" s="17" t="s">
        <v>61</v>
      </c>
      <c r="M211" s="17" t="s">
        <v>241</v>
      </c>
      <c r="N211" s="17" t="s">
        <v>1118</v>
      </c>
      <c r="O211" s="17">
        <v>75</v>
      </c>
      <c r="P211" s="17">
        <v>1248720754</v>
      </c>
      <c r="Q211" s="17">
        <v>12487207540</v>
      </c>
      <c r="R211" s="17" t="s">
        <v>1119</v>
      </c>
      <c r="S211" s="17"/>
      <c r="T211" s="17" t="s">
        <v>1120</v>
      </c>
      <c r="U211" s="17" t="s">
        <v>1121</v>
      </c>
      <c r="V211" s="17" t="s">
        <v>3501</v>
      </c>
      <c r="W211" s="17" t="s">
        <v>1122</v>
      </c>
      <c r="X211" s="17" t="s">
        <v>178</v>
      </c>
      <c r="Y211" s="17" t="s">
        <v>3502</v>
      </c>
      <c r="Z211" s="17" t="s">
        <v>1123</v>
      </c>
      <c r="AA211" s="21">
        <v>46021</v>
      </c>
      <c r="AB211" s="17" t="s">
        <v>61</v>
      </c>
      <c r="AC211" s="17" t="s">
        <v>1124</v>
      </c>
      <c r="AD211" s="21">
        <v>46020</v>
      </c>
      <c r="AE211" s="17">
        <v>1000000</v>
      </c>
      <c r="AF211" s="17">
        <v>1000000</v>
      </c>
      <c r="AG211" s="17">
        <v>0</v>
      </c>
      <c r="AH211" s="17">
        <v>1000000</v>
      </c>
      <c r="AI211" s="21">
        <v>46020</v>
      </c>
      <c r="AJ211" s="17">
        <v>1000000</v>
      </c>
      <c r="AK211" s="20" t="s">
        <v>56</v>
      </c>
      <c r="AL211" s="17">
        <v>0</v>
      </c>
      <c r="AM211" s="17"/>
    </row>
    <row r="212" spans="1:39" x14ac:dyDescent="0.3">
      <c r="A212" s="17" t="s">
        <v>783</v>
      </c>
      <c r="B212" s="17">
        <v>2025</v>
      </c>
      <c r="C212" s="17" t="s">
        <v>2871</v>
      </c>
      <c r="D212" s="17"/>
      <c r="E212" s="17" t="s">
        <v>241</v>
      </c>
      <c r="F212" s="17" t="s">
        <v>3503</v>
      </c>
      <c r="G212" s="19">
        <v>14</v>
      </c>
      <c r="H212" s="19">
        <v>13</v>
      </c>
      <c r="I212" s="20">
        <v>46008</v>
      </c>
      <c r="J212" s="20">
        <v>46008</v>
      </c>
      <c r="K212" s="17"/>
      <c r="L212" s="17" t="s">
        <v>73</v>
      </c>
      <c r="M212" s="17" t="s">
        <v>241</v>
      </c>
      <c r="N212" s="17" t="s">
        <v>787</v>
      </c>
      <c r="O212" s="17">
        <v>60</v>
      </c>
      <c r="P212" s="17">
        <v>1298663881</v>
      </c>
      <c r="Q212" s="17">
        <v>12986638810</v>
      </c>
      <c r="R212" s="17" t="s">
        <v>788</v>
      </c>
      <c r="S212" s="17"/>
      <c r="T212" s="17" t="s">
        <v>789</v>
      </c>
      <c r="U212" s="17" t="s">
        <v>790</v>
      </c>
      <c r="V212" s="17"/>
      <c r="W212" s="17" t="s">
        <v>3504</v>
      </c>
      <c r="X212" s="17" t="s">
        <v>123</v>
      </c>
      <c r="Y212" s="17" t="s">
        <v>3505</v>
      </c>
      <c r="Z212" s="17" t="s">
        <v>3506</v>
      </c>
      <c r="AA212" s="21"/>
      <c r="AB212" s="17"/>
      <c r="AC212" s="17"/>
      <c r="AD212" s="21"/>
      <c r="AE212" s="17">
        <v>2500000</v>
      </c>
      <c r="AF212" s="17">
        <v>2500000</v>
      </c>
      <c r="AG212" s="17">
        <v>0</v>
      </c>
      <c r="AH212" s="17">
        <v>0</v>
      </c>
      <c r="AI212" s="21"/>
      <c r="AJ212" s="17">
        <v>0</v>
      </c>
      <c r="AK212" s="17" t="s">
        <v>56</v>
      </c>
      <c r="AL212" s="17">
        <v>0</v>
      </c>
      <c r="AM212" s="17"/>
    </row>
  </sheetData>
  <autoFilter ref="A2:AM212" xr:uid="{00000000-0001-0000-0000-000000000000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3F8E-2659-4A05-B096-32E584A42A43}">
  <dimension ref="A1:A33"/>
  <sheetViews>
    <sheetView workbookViewId="0">
      <selection activeCell="C290" sqref="C290"/>
    </sheetView>
  </sheetViews>
  <sheetFormatPr defaultRowHeight="17.25" x14ac:dyDescent="0.3"/>
  <cols>
    <col min="1" max="1" width="90.875" style="3" customWidth="1"/>
    <col min="2" max="16384" width="9" style="3"/>
  </cols>
  <sheetData>
    <row r="1" spans="1:1" x14ac:dyDescent="0.3">
      <c r="A1" s="3" t="s">
        <v>3507</v>
      </c>
    </row>
    <row r="2" spans="1:1" x14ac:dyDescent="0.3">
      <c r="A2" s="3" t="s">
        <v>3508</v>
      </c>
    </row>
    <row r="3" spans="1:1" x14ac:dyDescent="0.3">
      <c r="A3" s="3" t="s">
        <v>3509</v>
      </c>
    </row>
    <row r="4" spans="1:1" x14ac:dyDescent="0.3">
      <c r="A4" s="3" t="s">
        <v>3508</v>
      </c>
    </row>
    <row r="5" spans="1:1" x14ac:dyDescent="0.3">
      <c r="A5" s="3" t="s">
        <v>3510</v>
      </c>
    </row>
    <row r="6" spans="1:1" x14ac:dyDescent="0.3">
      <c r="A6" s="3" t="s">
        <v>3511</v>
      </c>
    </row>
    <row r="7" spans="1:1" x14ac:dyDescent="0.3">
      <c r="A7" s="3" t="s">
        <v>3512</v>
      </c>
    </row>
    <row r="8" spans="1:1" x14ac:dyDescent="0.3">
      <c r="A8" s="3" t="s">
        <v>3513</v>
      </c>
    </row>
    <row r="9" spans="1:1" x14ac:dyDescent="0.3">
      <c r="A9" s="3" t="s">
        <v>3514</v>
      </c>
    </row>
    <row r="10" spans="1:1" x14ac:dyDescent="0.3">
      <c r="A10" s="3" t="s">
        <v>3508</v>
      </c>
    </row>
    <row r="11" spans="1:1" x14ac:dyDescent="0.3">
      <c r="A11" s="3" t="s">
        <v>3515</v>
      </c>
    </row>
    <row r="12" spans="1:1" x14ac:dyDescent="0.3">
      <c r="A12" s="3" t="s">
        <v>3516</v>
      </c>
    </row>
    <row r="13" spans="1:1" x14ac:dyDescent="0.3">
      <c r="A13" s="3" t="s">
        <v>3517</v>
      </c>
    </row>
    <row r="14" spans="1:1" x14ac:dyDescent="0.3">
      <c r="A14" s="3" t="s">
        <v>3518</v>
      </c>
    </row>
    <row r="15" spans="1:1" x14ac:dyDescent="0.3">
      <c r="A15" s="3" t="s">
        <v>3508</v>
      </c>
    </row>
    <row r="16" spans="1:1" x14ac:dyDescent="0.3">
      <c r="A16" s="3" t="s">
        <v>3519</v>
      </c>
    </row>
    <row r="17" spans="1:1" x14ac:dyDescent="0.3">
      <c r="A17" s="3" t="s">
        <v>3520</v>
      </c>
    </row>
    <row r="18" spans="1:1" x14ac:dyDescent="0.3">
      <c r="A18" s="3" t="s">
        <v>3508</v>
      </c>
    </row>
    <row r="19" spans="1:1" x14ac:dyDescent="0.3">
      <c r="A19" s="3" t="s">
        <v>3521</v>
      </c>
    </row>
    <row r="20" spans="1:1" x14ac:dyDescent="0.3">
      <c r="A20" s="3" t="s">
        <v>3522</v>
      </c>
    </row>
    <row r="21" spans="1:1" x14ac:dyDescent="0.3">
      <c r="A21" s="3" t="s">
        <v>3508</v>
      </c>
    </row>
    <row r="22" spans="1:1" x14ac:dyDescent="0.3">
      <c r="A22" s="3" t="s">
        <v>3523</v>
      </c>
    </row>
    <row r="23" spans="1:1" x14ac:dyDescent="0.3">
      <c r="A23" s="3" t="s">
        <v>3524</v>
      </c>
    </row>
    <row r="24" spans="1:1" x14ac:dyDescent="0.3">
      <c r="A24" s="3" t="s">
        <v>3508</v>
      </c>
    </row>
    <row r="25" spans="1:1" x14ac:dyDescent="0.3">
      <c r="A25" s="3" t="s">
        <v>3525</v>
      </c>
    </row>
    <row r="26" spans="1:1" x14ac:dyDescent="0.3">
      <c r="A26" s="3" t="s">
        <v>3526</v>
      </c>
    </row>
    <row r="27" spans="1:1" x14ac:dyDescent="0.3">
      <c r="A27" s="3" t="s">
        <v>3527</v>
      </c>
    </row>
    <row r="28" spans="1:1" x14ac:dyDescent="0.3">
      <c r="A28" s="3" t="s">
        <v>3508</v>
      </c>
    </row>
    <row r="29" spans="1:1" x14ac:dyDescent="0.3">
      <c r="A29" s="3" t="s">
        <v>3528</v>
      </c>
    </row>
    <row r="30" spans="1:1" x14ac:dyDescent="0.3">
      <c r="A30" s="3" t="s">
        <v>3529</v>
      </c>
    </row>
    <row r="31" spans="1:1" x14ac:dyDescent="0.3">
      <c r="A31" s="3" t="s">
        <v>3530</v>
      </c>
    </row>
    <row r="32" spans="1:1" x14ac:dyDescent="0.3">
      <c r="A32" s="3" t="s">
        <v>3531</v>
      </c>
    </row>
    <row r="33" spans="1:1" x14ac:dyDescent="0.3">
      <c r="A33" s="3" t="s">
        <v>3532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547D-3C96-40C9-BFF4-8E0CC22963D1}">
  <dimension ref="A1:AM218"/>
  <sheetViews>
    <sheetView zoomScale="85" zoomScaleNormal="85" workbookViewId="0">
      <pane ySplit="2" topLeftCell="A75" activePane="bottomLeft" state="frozen"/>
      <selection pane="bottomLeft" activeCell="C7" sqref="C7"/>
    </sheetView>
  </sheetViews>
  <sheetFormatPr defaultRowHeight="17.25" x14ac:dyDescent="0.3"/>
  <cols>
    <col min="1" max="3" width="12.125" style="3" customWidth="1"/>
    <col min="4" max="4" width="37.875" style="3" bestFit="1" customWidth="1"/>
    <col min="5" max="5" width="7" style="3" customWidth="1"/>
    <col min="6" max="6" width="14.375" style="3" customWidth="1"/>
    <col min="7" max="7" width="9.75" style="12" bestFit="1" customWidth="1"/>
    <col min="8" max="8" width="18.625" style="12" bestFit="1" customWidth="1"/>
    <col min="9" max="10" width="14.375" style="3" customWidth="1"/>
    <col min="11" max="11" width="12.125" style="3" customWidth="1"/>
    <col min="12" max="12" width="17.75" style="3" customWidth="1"/>
    <col min="13" max="13" width="16.75" style="3" customWidth="1"/>
    <col min="14" max="14" width="29" style="3" customWidth="1"/>
    <col min="15" max="15" width="12.125" style="3" customWidth="1"/>
    <col min="16" max="18" width="17.75" style="3" customWidth="1"/>
    <col min="19" max="19" width="14.375" style="3" customWidth="1"/>
    <col min="20" max="20" width="88.625" style="3" customWidth="1"/>
    <col min="21" max="23" width="17.75" style="3" customWidth="1"/>
    <col min="24" max="24" width="14.375" style="3" customWidth="1"/>
    <col min="25" max="25" width="17.75" style="3" customWidth="1"/>
    <col min="26" max="26" width="29" style="3" customWidth="1"/>
    <col min="27" max="27" width="14.375" style="3" customWidth="1"/>
    <col min="28" max="28" width="17.75" style="3" customWidth="1"/>
    <col min="29" max="29" width="29" style="3" customWidth="1"/>
    <col min="30" max="34" width="17.75" style="3" customWidth="1"/>
    <col min="35" max="35" width="14.375" style="3" customWidth="1"/>
    <col min="36" max="36" width="17.75" style="3" customWidth="1"/>
    <col min="37" max="37" width="14.375" style="3" customWidth="1"/>
    <col min="38" max="38" width="17.75" style="3" customWidth="1"/>
    <col min="39" max="39" width="34.625" style="3" customWidth="1"/>
    <col min="40" max="16384" width="9" style="3"/>
  </cols>
  <sheetData>
    <row r="1" spans="1:39" x14ac:dyDescent="0.3">
      <c r="AD1" s="3">
        <v>1</v>
      </c>
      <c r="AF1" s="3">
        <v>3</v>
      </c>
      <c r="AG1" s="3">
        <v>4</v>
      </c>
      <c r="AI1" s="3">
        <v>7</v>
      </c>
      <c r="AJ1" s="3">
        <v>8</v>
      </c>
      <c r="AK1" s="3">
        <v>9</v>
      </c>
      <c r="AL1" s="3">
        <v>10</v>
      </c>
      <c r="AM1" s="3">
        <v>11</v>
      </c>
    </row>
    <row r="2" spans="1:39" x14ac:dyDescent="0.3">
      <c r="A2" s="26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7" t="s">
        <v>6</v>
      </c>
      <c r="H2" s="27" t="s">
        <v>7</v>
      </c>
      <c r="I2" s="26" t="s">
        <v>8</v>
      </c>
      <c r="J2" s="26" t="s">
        <v>9</v>
      </c>
      <c r="K2" s="26" t="s">
        <v>10</v>
      </c>
      <c r="L2" s="26" t="s">
        <v>11</v>
      </c>
      <c r="M2" s="26" t="s">
        <v>12</v>
      </c>
      <c r="N2" s="26" t="s">
        <v>13</v>
      </c>
      <c r="O2" s="26" t="s">
        <v>14</v>
      </c>
      <c r="P2" s="26" t="s">
        <v>15</v>
      </c>
      <c r="Q2" s="26" t="s">
        <v>16</v>
      </c>
      <c r="R2" s="26" t="s">
        <v>17</v>
      </c>
      <c r="S2" s="36" t="s">
        <v>18</v>
      </c>
      <c r="T2" s="26" t="s">
        <v>19</v>
      </c>
      <c r="U2" s="26" t="s">
        <v>20</v>
      </c>
      <c r="V2" s="26" t="s">
        <v>21</v>
      </c>
      <c r="W2" s="26" t="s">
        <v>22</v>
      </c>
      <c r="X2" s="26" t="s">
        <v>23</v>
      </c>
      <c r="Y2" s="26" t="s">
        <v>24</v>
      </c>
      <c r="Z2" s="26" t="s">
        <v>25</v>
      </c>
      <c r="AA2" s="26" t="s">
        <v>26</v>
      </c>
      <c r="AB2" s="26" t="s">
        <v>27</v>
      </c>
      <c r="AC2" s="26" t="s">
        <v>28</v>
      </c>
      <c r="AD2" s="26" t="s">
        <v>29</v>
      </c>
      <c r="AE2" s="26" t="s">
        <v>30</v>
      </c>
      <c r="AF2" s="26" t="s">
        <v>31</v>
      </c>
      <c r="AG2" s="26" t="s">
        <v>32</v>
      </c>
      <c r="AH2" s="26" t="s">
        <v>33</v>
      </c>
      <c r="AI2" s="26" t="s">
        <v>34</v>
      </c>
      <c r="AJ2" s="26" t="s">
        <v>35</v>
      </c>
      <c r="AK2" s="26" t="s">
        <v>36</v>
      </c>
      <c r="AL2" s="26" t="s">
        <v>37</v>
      </c>
      <c r="AM2" s="26" t="s">
        <v>38</v>
      </c>
    </row>
    <row r="3" spans="1:39" x14ac:dyDescent="0.3">
      <c r="A3" s="28" t="s">
        <v>3540</v>
      </c>
      <c r="B3" s="3">
        <v>2025</v>
      </c>
      <c r="C3" s="3" t="s">
        <v>3535</v>
      </c>
      <c r="D3" s="3" t="s">
        <v>2953</v>
      </c>
      <c r="E3" s="3" t="s">
        <v>3541</v>
      </c>
      <c r="F3" s="38" t="s">
        <v>3822</v>
      </c>
      <c r="G3" s="12">
        <v>1</v>
      </c>
      <c r="H3" s="12" t="s">
        <v>44</v>
      </c>
      <c r="I3" s="29">
        <v>45854</v>
      </c>
      <c r="J3" s="29">
        <v>45854</v>
      </c>
      <c r="K3" s="3" t="s">
        <v>45</v>
      </c>
      <c r="L3" s="3" t="s">
        <v>181</v>
      </c>
      <c r="M3" s="3" t="s">
        <v>42</v>
      </c>
      <c r="N3" s="3" t="s">
        <v>3542</v>
      </c>
      <c r="O3" s="3">
        <v>10</v>
      </c>
      <c r="P3" s="3">
        <v>5148186597</v>
      </c>
      <c r="Q3" s="3">
        <v>51481865976</v>
      </c>
      <c r="R3" s="3" t="s">
        <v>3543</v>
      </c>
      <c r="S3" s="3" t="s">
        <v>3818</v>
      </c>
      <c r="T3" s="3" t="s">
        <v>3544</v>
      </c>
      <c r="W3" s="3" t="s">
        <v>3545</v>
      </c>
      <c r="X3" s="3" t="s">
        <v>638</v>
      </c>
      <c r="Y3" s="3" t="s">
        <v>3546</v>
      </c>
      <c r="Z3" s="3" t="s">
        <v>3547</v>
      </c>
      <c r="AA3" s="39">
        <v>45866</v>
      </c>
      <c r="AB3" s="3" t="s">
        <v>181</v>
      </c>
      <c r="AC3" s="3" t="s">
        <v>3548</v>
      </c>
      <c r="AD3" s="29">
        <v>45869</v>
      </c>
      <c r="AE3" s="3">
        <v>800000</v>
      </c>
      <c r="AF3" s="3">
        <v>800000</v>
      </c>
      <c r="AG3" s="3">
        <v>0</v>
      </c>
      <c r="AH3" s="3">
        <v>800000</v>
      </c>
      <c r="AI3" s="29">
        <v>45869</v>
      </c>
      <c r="AJ3" s="3">
        <v>800000</v>
      </c>
      <c r="AK3" s="29" t="s">
        <v>56</v>
      </c>
      <c r="AL3" s="3">
        <v>0</v>
      </c>
    </row>
    <row r="4" spans="1:39" x14ac:dyDescent="0.3">
      <c r="A4" s="28" t="s">
        <v>3549</v>
      </c>
      <c r="B4" s="3">
        <v>2025</v>
      </c>
      <c r="C4" s="3" t="s">
        <v>3535</v>
      </c>
      <c r="D4" s="3" t="s">
        <v>985</v>
      </c>
      <c r="E4" s="3" t="s">
        <v>3541</v>
      </c>
      <c r="F4" s="38" t="s">
        <v>3823</v>
      </c>
      <c r="G4" s="12">
        <v>2</v>
      </c>
      <c r="H4" s="12" t="s">
        <v>60</v>
      </c>
      <c r="I4" s="29">
        <v>45855</v>
      </c>
      <c r="J4" s="29">
        <v>45855</v>
      </c>
      <c r="K4" s="3" t="s">
        <v>45</v>
      </c>
      <c r="L4" s="3" t="s">
        <v>61</v>
      </c>
      <c r="M4" s="3" t="s">
        <v>241</v>
      </c>
      <c r="N4" s="3" t="s">
        <v>3550</v>
      </c>
      <c r="O4" s="3">
        <v>30</v>
      </c>
      <c r="P4" s="3">
        <v>1358638733</v>
      </c>
      <c r="Q4" s="3">
        <v>13586387330</v>
      </c>
      <c r="R4" s="3" t="s">
        <v>3551</v>
      </c>
      <c r="S4" s="3" t="s">
        <v>3817</v>
      </c>
      <c r="T4" s="3" t="s">
        <v>3552</v>
      </c>
      <c r="U4" s="3" t="s">
        <v>3553</v>
      </c>
      <c r="V4" s="3" t="s">
        <v>3554</v>
      </c>
      <c r="W4" s="3" t="s">
        <v>3555</v>
      </c>
      <c r="X4" s="3" t="s">
        <v>491</v>
      </c>
      <c r="Y4" s="3" t="s">
        <v>3556</v>
      </c>
      <c r="Z4" s="3" t="s">
        <v>3557</v>
      </c>
      <c r="AA4" s="39">
        <v>45874</v>
      </c>
      <c r="AB4" s="3" t="s">
        <v>61</v>
      </c>
      <c r="AC4" s="3" t="s">
        <v>3557</v>
      </c>
      <c r="AD4" s="29">
        <v>45880</v>
      </c>
      <c r="AE4" s="3">
        <v>1400000</v>
      </c>
      <c r="AF4" s="3">
        <v>1000000</v>
      </c>
      <c r="AG4" s="3">
        <v>400000</v>
      </c>
      <c r="AH4" s="3">
        <v>1400000</v>
      </c>
      <c r="AI4" s="29">
        <v>45880</v>
      </c>
      <c r="AJ4" s="3">
        <v>1000000</v>
      </c>
      <c r="AK4" s="29">
        <v>45890</v>
      </c>
      <c r="AL4" s="3">
        <v>400000</v>
      </c>
    </row>
    <row r="5" spans="1:39" x14ac:dyDescent="0.3">
      <c r="A5" s="28" t="s">
        <v>3558</v>
      </c>
      <c r="B5" s="3">
        <v>2025</v>
      </c>
      <c r="C5" s="3" t="s">
        <v>3535</v>
      </c>
      <c r="E5" s="3" t="s">
        <v>3541</v>
      </c>
      <c r="F5" s="38" t="s">
        <v>3824</v>
      </c>
      <c r="G5" s="12">
        <v>3</v>
      </c>
      <c r="H5" s="12" t="s">
        <v>83</v>
      </c>
      <c r="I5" s="29">
        <v>45856</v>
      </c>
      <c r="J5" s="29">
        <v>45856</v>
      </c>
      <c r="K5" s="3" t="s">
        <v>45</v>
      </c>
      <c r="L5" s="3" t="s">
        <v>61</v>
      </c>
      <c r="M5" s="3" t="s">
        <v>42</v>
      </c>
      <c r="N5" s="3" t="s">
        <v>3559</v>
      </c>
      <c r="O5" s="3">
        <v>7</v>
      </c>
      <c r="P5" s="3">
        <v>8158200034</v>
      </c>
      <c r="Q5" s="3" t="s">
        <v>3560</v>
      </c>
      <c r="R5" s="3" t="s">
        <v>3561</v>
      </c>
      <c r="S5" s="3" t="s">
        <v>3818</v>
      </c>
      <c r="T5" s="3" t="s">
        <v>3562</v>
      </c>
      <c r="U5" s="3" t="s">
        <v>3563</v>
      </c>
      <c r="V5" s="3" t="s">
        <v>3564</v>
      </c>
      <c r="W5" s="3" t="s">
        <v>3565</v>
      </c>
      <c r="X5" s="3" t="s">
        <v>3566</v>
      </c>
      <c r="Y5" s="3" t="s">
        <v>3567</v>
      </c>
      <c r="Z5" s="3" t="s">
        <v>3568</v>
      </c>
      <c r="AA5" s="39">
        <v>45862</v>
      </c>
      <c r="AB5" s="3" t="s">
        <v>61</v>
      </c>
      <c r="AC5" s="3" t="s">
        <v>3568</v>
      </c>
      <c r="AD5" s="29">
        <v>45862</v>
      </c>
      <c r="AE5" s="3">
        <v>700000</v>
      </c>
      <c r="AF5" s="3">
        <v>700000</v>
      </c>
      <c r="AG5" s="3">
        <v>0</v>
      </c>
      <c r="AH5" s="3">
        <v>700000</v>
      </c>
      <c r="AI5" s="29">
        <v>45862</v>
      </c>
      <c r="AJ5" s="3">
        <v>700000</v>
      </c>
      <c r="AK5" s="29" t="s">
        <v>56</v>
      </c>
      <c r="AL5" s="3">
        <v>0</v>
      </c>
    </row>
    <row r="6" spans="1:39" x14ac:dyDescent="0.3">
      <c r="A6" s="28" t="s">
        <v>3569</v>
      </c>
      <c r="B6" s="3">
        <v>2025</v>
      </c>
      <c r="C6" s="3" t="s">
        <v>3535</v>
      </c>
      <c r="E6" s="3" t="s">
        <v>3541</v>
      </c>
      <c r="F6" s="38" t="s">
        <v>3825</v>
      </c>
      <c r="G6" s="12">
        <v>4</v>
      </c>
      <c r="H6" s="12" t="s">
        <v>83</v>
      </c>
      <c r="I6" s="29">
        <v>45867</v>
      </c>
      <c r="J6" s="29">
        <v>45867</v>
      </c>
      <c r="K6" s="3" t="s">
        <v>45</v>
      </c>
      <c r="L6" s="3" t="s">
        <v>181</v>
      </c>
      <c r="M6" s="3" t="s">
        <v>42</v>
      </c>
      <c r="N6" s="3" t="s">
        <v>3570</v>
      </c>
      <c r="O6" s="3">
        <v>2</v>
      </c>
      <c r="P6" s="3">
        <v>3122393828</v>
      </c>
      <c r="Q6" s="3" t="s">
        <v>3571</v>
      </c>
      <c r="R6" s="3" t="s">
        <v>3572</v>
      </c>
      <c r="S6" s="3" t="s">
        <v>3817</v>
      </c>
      <c r="T6" s="3" t="s">
        <v>3573</v>
      </c>
      <c r="U6" s="3" t="s">
        <v>3574</v>
      </c>
      <c r="V6" s="3" t="s">
        <v>3575</v>
      </c>
      <c r="W6" s="3" t="s">
        <v>3572</v>
      </c>
      <c r="X6" s="3" t="s">
        <v>78</v>
      </c>
      <c r="Y6" s="3" t="s">
        <v>3576</v>
      </c>
      <c r="Z6" s="3" t="s">
        <v>3577</v>
      </c>
      <c r="AA6" s="39">
        <v>45890</v>
      </c>
      <c r="AB6" s="3" t="s">
        <v>181</v>
      </c>
      <c r="AC6" s="3" t="s">
        <v>3577</v>
      </c>
      <c r="AD6" s="29" t="s">
        <v>69</v>
      </c>
      <c r="AE6" s="3">
        <v>400000</v>
      </c>
      <c r="AF6" s="3">
        <v>0</v>
      </c>
      <c r="AG6" s="3">
        <v>400000</v>
      </c>
      <c r="AH6" s="3">
        <v>400000</v>
      </c>
      <c r="AI6" s="29" t="s">
        <v>69</v>
      </c>
      <c r="AJ6" s="3">
        <v>0</v>
      </c>
      <c r="AK6" s="29">
        <v>45912</v>
      </c>
      <c r="AL6" s="3">
        <v>400000</v>
      </c>
    </row>
    <row r="7" spans="1:39" x14ac:dyDescent="0.3">
      <c r="A7" s="28" t="s">
        <v>302</v>
      </c>
      <c r="B7" s="3">
        <v>2025</v>
      </c>
      <c r="C7" s="3" t="s">
        <v>3535</v>
      </c>
      <c r="E7" s="3" t="s">
        <v>3541</v>
      </c>
      <c r="F7" s="38" t="s">
        <v>3826</v>
      </c>
      <c r="G7" s="12">
        <v>5</v>
      </c>
      <c r="H7" s="12" t="s">
        <v>96</v>
      </c>
      <c r="I7" s="29">
        <v>45867</v>
      </c>
      <c r="J7" s="29">
        <v>45867</v>
      </c>
      <c r="K7" s="3" t="s">
        <v>45</v>
      </c>
      <c r="L7" s="3" t="s">
        <v>61</v>
      </c>
      <c r="M7" s="3" t="s">
        <v>42</v>
      </c>
      <c r="N7" s="3" t="s">
        <v>305</v>
      </c>
      <c r="O7" s="3">
        <v>17</v>
      </c>
      <c r="P7" s="3">
        <v>3128664352</v>
      </c>
      <c r="Q7" s="3">
        <v>31286643520</v>
      </c>
      <c r="R7" s="3" t="s">
        <v>306</v>
      </c>
      <c r="S7" s="3" t="s">
        <v>3818</v>
      </c>
      <c r="T7" s="3" t="s">
        <v>307</v>
      </c>
      <c r="U7" s="3" t="s">
        <v>308</v>
      </c>
      <c r="V7" s="3" t="s">
        <v>3578</v>
      </c>
      <c r="W7" s="3" t="s">
        <v>309</v>
      </c>
      <c r="Y7" s="3" t="s">
        <v>310</v>
      </c>
      <c r="Z7" s="3" t="s">
        <v>3579</v>
      </c>
      <c r="AA7" s="39">
        <v>45877</v>
      </c>
      <c r="AB7" s="3" t="s">
        <v>61</v>
      </c>
      <c r="AC7" s="3" t="s">
        <v>312</v>
      </c>
      <c r="AD7" s="29">
        <v>45877</v>
      </c>
      <c r="AE7" s="3">
        <v>550000</v>
      </c>
      <c r="AF7" s="3">
        <v>550000</v>
      </c>
      <c r="AG7" s="3">
        <v>0</v>
      </c>
      <c r="AH7" s="3">
        <v>550000</v>
      </c>
      <c r="AI7" s="29">
        <v>45877</v>
      </c>
      <c r="AJ7" s="3">
        <v>550000</v>
      </c>
      <c r="AK7" s="29" t="s">
        <v>56</v>
      </c>
      <c r="AL7" s="3">
        <v>0</v>
      </c>
    </row>
    <row r="8" spans="1:39" x14ac:dyDescent="0.3">
      <c r="A8" s="28" t="s">
        <v>3580</v>
      </c>
      <c r="B8" s="3">
        <v>2025</v>
      </c>
      <c r="C8" s="3" t="s">
        <v>3535</v>
      </c>
      <c r="E8" s="3" t="s">
        <v>3541</v>
      </c>
      <c r="F8" s="38" t="s">
        <v>3827</v>
      </c>
      <c r="G8" s="12">
        <v>6</v>
      </c>
      <c r="H8" s="12" t="s">
        <v>96</v>
      </c>
      <c r="I8" s="29">
        <v>45868</v>
      </c>
      <c r="J8" s="29">
        <v>45868</v>
      </c>
      <c r="K8" s="3" t="s">
        <v>45</v>
      </c>
      <c r="L8" s="3" t="s">
        <v>181</v>
      </c>
      <c r="M8" s="3" t="s">
        <v>42</v>
      </c>
      <c r="N8" s="3" t="s">
        <v>3581</v>
      </c>
      <c r="O8" s="3">
        <v>2</v>
      </c>
      <c r="P8" s="3">
        <v>5869300879</v>
      </c>
      <c r="Q8" s="3" t="s">
        <v>3582</v>
      </c>
      <c r="R8" s="3" t="s">
        <v>3583</v>
      </c>
      <c r="S8" s="3" t="s">
        <v>3817</v>
      </c>
      <c r="T8" s="3" t="s">
        <v>3584</v>
      </c>
      <c r="U8" s="3" t="s">
        <v>3585</v>
      </c>
      <c r="V8" s="3" t="s">
        <v>3586</v>
      </c>
      <c r="W8" s="3" t="s">
        <v>3583</v>
      </c>
      <c r="X8" s="3" t="s">
        <v>3587</v>
      </c>
      <c r="Y8" s="3" t="s">
        <v>3588</v>
      </c>
      <c r="Z8" s="3" t="s">
        <v>3589</v>
      </c>
      <c r="AA8" s="39">
        <v>45890</v>
      </c>
      <c r="AB8" s="3" t="s">
        <v>181</v>
      </c>
      <c r="AC8" s="3" t="s">
        <v>3589</v>
      </c>
      <c r="AD8" s="29" t="s">
        <v>69</v>
      </c>
      <c r="AE8" s="3">
        <v>400000</v>
      </c>
      <c r="AF8" s="3">
        <v>0</v>
      </c>
      <c r="AG8" s="3">
        <v>400000</v>
      </c>
      <c r="AH8" s="3">
        <v>400000</v>
      </c>
      <c r="AI8" s="29" t="s">
        <v>69</v>
      </c>
      <c r="AJ8" s="3">
        <v>0</v>
      </c>
      <c r="AK8" s="29">
        <v>45912</v>
      </c>
      <c r="AL8" s="3">
        <v>400000</v>
      </c>
    </row>
    <row r="9" spans="1:39" x14ac:dyDescent="0.3">
      <c r="A9" s="28" t="s">
        <v>3590</v>
      </c>
      <c r="B9" s="3">
        <v>2025</v>
      </c>
      <c r="C9" s="3" t="s">
        <v>3535</v>
      </c>
      <c r="D9" s="3" t="s">
        <v>985</v>
      </c>
      <c r="E9" s="3" t="s">
        <v>3541</v>
      </c>
      <c r="F9" s="38" t="s">
        <v>3828</v>
      </c>
      <c r="G9" s="12">
        <v>7</v>
      </c>
      <c r="H9" s="12" t="s">
        <v>106</v>
      </c>
      <c r="I9" s="29">
        <v>45869</v>
      </c>
      <c r="J9" s="29">
        <v>45869</v>
      </c>
      <c r="K9" s="3" t="s">
        <v>45</v>
      </c>
      <c r="L9" s="3" t="s">
        <v>46</v>
      </c>
      <c r="M9" s="3" t="s">
        <v>231</v>
      </c>
      <c r="N9" s="3" t="s">
        <v>3591</v>
      </c>
      <c r="O9" s="3">
        <v>48</v>
      </c>
      <c r="P9" s="3">
        <v>1268157430</v>
      </c>
      <c r="Q9" s="3">
        <v>12681574300</v>
      </c>
      <c r="R9" s="3" t="s">
        <v>3592</v>
      </c>
      <c r="S9" s="3" t="s">
        <v>3817</v>
      </c>
      <c r="T9" s="3" t="s">
        <v>3593</v>
      </c>
      <c r="U9" s="3" t="s">
        <v>3594</v>
      </c>
      <c r="V9" s="3" t="s">
        <v>3595</v>
      </c>
      <c r="W9" s="3" t="s">
        <v>3596</v>
      </c>
      <c r="X9" s="3" t="s">
        <v>66</v>
      </c>
      <c r="Y9" s="3" t="s">
        <v>3597</v>
      </c>
      <c r="Z9" s="3" t="s">
        <v>3598</v>
      </c>
      <c r="AA9" s="39">
        <v>45889</v>
      </c>
      <c r="AB9" s="3" t="s">
        <v>46</v>
      </c>
      <c r="AC9" s="3" t="s">
        <v>3599</v>
      </c>
      <c r="AD9" s="29">
        <v>45894</v>
      </c>
      <c r="AE9" s="3">
        <v>800000</v>
      </c>
      <c r="AF9" s="3">
        <v>400000</v>
      </c>
      <c r="AG9" s="3">
        <v>400000</v>
      </c>
      <c r="AH9" s="3">
        <v>800000</v>
      </c>
      <c r="AI9" s="29">
        <v>45894</v>
      </c>
      <c r="AJ9" s="3">
        <v>400000</v>
      </c>
      <c r="AK9" s="29">
        <v>45923</v>
      </c>
      <c r="AL9" s="3">
        <v>400000</v>
      </c>
    </row>
    <row r="10" spans="1:39" x14ac:dyDescent="0.3">
      <c r="A10" s="28" t="s">
        <v>3600</v>
      </c>
      <c r="B10" s="3">
        <v>2025</v>
      </c>
      <c r="C10" s="3" t="s">
        <v>3535</v>
      </c>
      <c r="D10" s="3" t="s">
        <v>2953</v>
      </c>
      <c r="E10" s="3" t="s">
        <v>3541</v>
      </c>
      <c r="F10" s="38" t="s">
        <v>3829</v>
      </c>
      <c r="G10" s="12">
        <v>8</v>
      </c>
      <c r="H10" s="12" t="s">
        <v>117</v>
      </c>
      <c r="I10" s="29">
        <v>45869</v>
      </c>
      <c r="J10" s="29">
        <v>45869</v>
      </c>
      <c r="K10" s="3" t="s">
        <v>45</v>
      </c>
      <c r="L10" s="3" t="s">
        <v>218</v>
      </c>
      <c r="M10" s="3" t="s">
        <v>42</v>
      </c>
      <c r="N10" s="3" t="s">
        <v>3601</v>
      </c>
      <c r="O10" s="3">
        <v>7</v>
      </c>
      <c r="P10" s="3">
        <v>3348600815</v>
      </c>
      <c r="Q10" s="3">
        <v>11481588536</v>
      </c>
      <c r="R10" s="3" t="s">
        <v>3602</v>
      </c>
      <c r="S10" s="3" t="s">
        <v>3818</v>
      </c>
      <c r="T10" s="3" t="s">
        <v>3603</v>
      </c>
      <c r="U10" s="3" t="s">
        <v>3604</v>
      </c>
      <c r="V10" s="3" t="s">
        <v>3605</v>
      </c>
      <c r="W10" s="3" t="s">
        <v>3606</v>
      </c>
      <c r="X10" s="3" t="s">
        <v>713</v>
      </c>
      <c r="Y10" s="3" t="s">
        <v>3607</v>
      </c>
      <c r="Z10" s="3" t="s">
        <v>3608</v>
      </c>
      <c r="AA10" s="39">
        <v>45890</v>
      </c>
      <c r="AB10" s="3" t="s">
        <v>218</v>
      </c>
      <c r="AC10" s="3" t="s">
        <v>3609</v>
      </c>
      <c r="AD10" s="29">
        <v>45894</v>
      </c>
      <c r="AE10" s="3">
        <v>700000</v>
      </c>
      <c r="AF10" s="3">
        <v>700000</v>
      </c>
      <c r="AG10" s="3">
        <v>0</v>
      </c>
      <c r="AH10" s="3">
        <v>700000</v>
      </c>
      <c r="AI10" s="29">
        <v>45894</v>
      </c>
      <c r="AJ10" s="3">
        <v>700000</v>
      </c>
      <c r="AK10" s="29" t="s">
        <v>56</v>
      </c>
      <c r="AL10" s="3">
        <v>0</v>
      </c>
    </row>
    <row r="11" spans="1:39" x14ac:dyDescent="0.3">
      <c r="A11" s="28" t="s">
        <v>544</v>
      </c>
      <c r="B11" s="3">
        <v>2025</v>
      </c>
      <c r="C11" s="3" t="s">
        <v>3535</v>
      </c>
      <c r="D11" s="3" t="s">
        <v>2901</v>
      </c>
      <c r="E11" s="3" t="s">
        <v>3541</v>
      </c>
      <c r="F11" s="38" t="s">
        <v>3830</v>
      </c>
      <c r="G11" s="12">
        <v>9</v>
      </c>
      <c r="H11" s="12" t="s">
        <v>128</v>
      </c>
      <c r="I11" s="29">
        <v>45888</v>
      </c>
      <c r="J11" s="29">
        <v>45888</v>
      </c>
      <c r="K11" s="3" t="s">
        <v>45</v>
      </c>
      <c r="L11" s="3" t="s">
        <v>61</v>
      </c>
      <c r="M11" s="3" t="s">
        <v>42</v>
      </c>
      <c r="N11" s="3" t="s">
        <v>547</v>
      </c>
      <c r="O11" s="3">
        <v>29</v>
      </c>
      <c r="P11" s="3">
        <v>3128137637</v>
      </c>
      <c r="Q11" s="3" t="s">
        <v>3610</v>
      </c>
      <c r="R11" s="3" t="s">
        <v>548</v>
      </c>
      <c r="S11" s="3" t="s">
        <v>3817</v>
      </c>
      <c r="T11" s="3" t="s">
        <v>549</v>
      </c>
      <c r="U11" s="3" t="s">
        <v>550</v>
      </c>
      <c r="V11" s="3" t="s">
        <v>3611</v>
      </c>
      <c r="W11" s="3" t="s">
        <v>551</v>
      </c>
      <c r="X11" s="3" t="s">
        <v>123</v>
      </c>
      <c r="Y11" s="3" t="s">
        <v>552</v>
      </c>
      <c r="Z11" s="3" t="s">
        <v>553</v>
      </c>
      <c r="AA11" s="39">
        <v>45912</v>
      </c>
      <c r="AB11" s="3" t="s">
        <v>61</v>
      </c>
      <c r="AC11" s="3" t="s">
        <v>553</v>
      </c>
      <c r="AD11" s="29">
        <v>45894</v>
      </c>
      <c r="AE11" s="3">
        <v>900000</v>
      </c>
      <c r="AF11" s="3">
        <v>500000</v>
      </c>
      <c r="AG11" s="3">
        <v>400000</v>
      </c>
      <c r="AH11" s="3">
        <v>900000</v>
      </c>
      <c r="AI11" s="29">
        <v>45894</v>
      </c>
      <c r="AJ11" s="3">
        <v>500000</v>
      </c>
      <c r="AK11" s="29">
        <v>45944</v>
      </c>
      <c r="AL11" s="3">
        <v>400000</v>
      </c>
    </row>
    <row r="12" spans="1:39" x14ac:dyDescent="0.3">
      <c r="A12" s="28" t="s">
        <v>361</v>
      </c>
      <c r="B12" s="3">
        <v>2025</v>
      </c>
      <c r="C12" s="3" t="s">
        <v>3535</v>
      </c>
      <c r="D12" s="3" t="s">
        <v>71</v>
      </c>
      <c r="E12" s="3" t="s">
        <v>3541</v>
      </c>
      <c r="F12" s="38" t="s">
        <v>3831</v>
      </c>
      <c r="G12" s="12">
        <v>10</v>
      </c>
      <c r="H12" s="12" t="s">
        <v>128</v>
      </c>
      <c r="I12" s="29">
        <v>45890</v>
      </c>
      <c r="J12" s="29">
        <v>45890</v>
      </c>
      <c r="K12" s="3" t="s">
        <v>45</v>
      </c>
      <c r="L12" s="3" t="s">
        <v>61</v>
      </c>
      <c r="M12" s="3" t="s">
        <v>42</v>
      </c>
      <c r="N12" s="3" t="s">
        <v>363</v>
      </c>
      <c r="O12" s="3">
        <v>4</v>
      </c>
      <c r="P12" s="3">
        <v>2661900602</v>
      </c>
      <c r="Q12" s="3" t="s">
        <v>3612</v>
      </c>
      <c r="R12" s="3" t="s">
        <v>364</v>
      </c>
      <c r="S12" s="3" t="s">
        <v>3817</v>
      </c>
      <c r="T12" s="3" t="s">
        <v>365</v>
      </c>
      <c r="U12" s="3" t="s">
        <v>366</v>
      </c>
      <c r="V12" s="3" t="s">
        <v>3613</v>
      </c>
      <c r="W12" s="3" t="s">
        <v>364</v>
      </c>
      <c r="X12" s="3" t="s">
        <v>78</v>
      </c>
      <c r="Y12" s="3" t="s">
        <v>367</v>
      </c>
      <c r="Z12" s="3" t="s">
        <v>368</v>
      </c>
      <c r="AA12" s="39">
        <v>45919</v>
      </c>
      <c r="AB12" s="3" t="s">
        <v>61</v>
      </c>
      <c r="AC12" s="3" t="s">
        <v>369</v>
      </c>
      <c r="AD12" s="29">
        <v>45894</v>
      </c>
      <c r="AE12" s="3">
        <v>650000</v>
      </c>
      <c r="AF12" s="3">
        <v>250000</v>
      </c>
      <c r="AG12" s="3">
        <v>400000</v>
      </c>
      <c r="AH12" s="3">
        <v>650000</v>
      </c>
      <c r="AI12" s="29">
        <v>45894</v>
      </c>
      <c r="AJ12" s="3">
        <v>250000</v>
      </c>
      <c r="AK12" s="29">
        <v>45944</v>
      </c>
      <c r="AL12" s="3">
        <v>400000</v>
      </c>
    </row>
    <row r="13" spans="1:39" x14ac:dyDescent="0.3">
      <c r="A13" s="28" t="s">
        <v>93</v>
      </c>
      <c r="B13" s="3">
        <v>2025</v>
      </c>
      <c r="C13" s="3" t="s">
        <v>3535</v>
      </c>
      <c r="D13" s="3" t="s">
        <v>2872</v>
      </c>
      <c r="E13" s="3" t="s">
        <v>3541</v>
      </c>
      <c r="F13" s="38" t="s">
        <v>3832</v>
      </c>
      <c r="G13" s="12">
        <v>11</v>
      </c>
      <c r="H13" s="12" t="s">
        <v>139</v>
      </c>
      <c r="I13" s="29">
        <v>45891</v>
      </c>
      <c r="J13" s="29">
        <v>45891</v>
      </c>
      <c r="K13" s="3" t="s">
        <v>45</v>
      </c>
      <c r="L13" s="3" t="s">
        <v>61</v>
      </c>
      <c r="M13" s="3" t="s">
        <v>42</v>
      </c>
      <c r="N13" s="3" t="s">
        <v>98</v>
      </c>
      <c r="O13" s="3">
        <v>11</v>
      </c>
      <c r="P13" s="3">
        <v>6912101853</v>
      </c>
      <c r="Q13" s="3" t="s">
        <v>3614</v>
      </c>
      <c r="R13" s="3" t="s">
        <v>99</v>
      </c>
      <c r="S13" s="3" t="s">
        <v>3817</v>
      </c>
      <c r="T13" s="3" t="s">
        <v>100</v>
      </c>
      <c r="U13" s="3" t="s">
        <v>101</v>
      </c>
      <c r="V13" s="3" t="s">
        <v>3615</v>
      </c>
      <c r="W13" s="3" t="s">
        <v>99</v>
      </c>
      <c r="X13" s="3" t="s">
        <v>78</v>
      </c>
      <c r="Y13" s="3" t="s">
        <v>102</v>
      </c>
      <c r="Z13" s="3" t="s">
        <v>103</v>
      </c>
      <c r="AA13" s="39">
        <v>45919</v>
      </c>
      <c r="AB13" s="3" t="s">
        <v>61</v>
      </c>
      <c r="AC13" s="3" t="s">
        <v>103</v>
      </c>
      <c r="AD13" s="29">
        <v>45894</v>
      </c>
      <c r="AE13" s="3">
        <v>750000</v>
      </c>
      <c r="AF13" s="3">
        <v>350000</v>
      </c>
      <c r="AG13" s="3">
        <v>400000</v>
      </c>
      <c r="AH13" s="3">
        <v>750000</v>
      </c>
      <c r="AI13" s="29">
        <v>45894</v>
      </c>
      <c r="AJ13" s="3">
        <v>350000</v>
      </c>
      <c r="AK13" s="29">
        <v>45944</v>
      </c>
      <c r="AL13" s="3">
        <v>400000</v>
      </c>
    </row>
    <row r="14" spans="1:39" x14ac:dyDescent="0.3">
      <c r="A14" s="28" t="s">
        <v>104</v>
      </c>
      <c r="B14" s="3">
        <v>2025</v>
      </c>
      <c r="C14" s="3" t="s">
        <v>3535</v>
      </c>
      <c r="D14" s="3" t="s">
        <v>2872</v>
      </c>
      <c r="E14" s="3" t="s">
        <v>3541</v>
      </c>
      <c r="F14" s="38" t="s">
        <v>3833</v>
      </c>
      <c r="G14" s="12">
        <v>12</v>
      </c>
      <c r="H14" s="12" t="s">
        <v>148</v>
      </c>
      <c r="I14" s="29">
        <v>45891</v>
      </c>
      <c r="J14" s="29">
        <v>45891</v>
      </c>
      <c r="K14" s="3" t="s">
        <v>45</v>
      </c>
      <c r="L14" s="3" t="s">
        <v>97</v>
      </c>
      <c r="M14" s="3" t="s">
        <v>42</v>
      </c>
      <c r="N14" s="3" t="s">
        <v>107</v>
      </c>
      <c r="O14" s="3">
        <v>27</v>
      </c>
      <c r="P14" s="3">
        <v>4488600924</v>
      </c>
      <c r="Q14" s="3" t="s">
        <v>3616</v>
      </c>
      <c r="R14" s="3" t="s">
        <v>108</v>
      </c>
      <c r="S14" s="3" t="s">
        <v>3817</v>
      </c>
      <c r="T14" s="3" t="s">
        <v>109</v>
      </c>
      <c r="U14" s="3" t="s">
        <v>110</v>
      </c>
      <c r="V14" s="3" t="s">
        <v>3617</v>
      </c>
      <c r="W14" s="3" t="s">
        <v>111</v>
      </c>
      <c r="X14" s="3" t="s">
        <v>112</v>
      </c>
      <c r="Y14" s="3" t="s">
        <v>113</v>
      </c>
      <c r="Z14" s="3" t="s">
        <v>114</v>
      </c>
      <c r="AA14" s="39">
        <v>45919</v>
      </c>
      <c r="AB14" s="3" t="s">
        <v>61</v>
      </c>
      <c r="AC14" s="3" t="s">
        <v>114</v>
      </c>
      <c r="AD14" s="29">
        <v>45894</v>
      </c>
      <c r="AE14" s="3">
        <v>850000</v>
      </c>
      <c r="AF14" s="3">
        <v>450000</v>
      </c>
      <c r="AG14" s="3">
        <v>400000</v>
      </c>
      <c r="AH14" s="3">
        <v>850000</v>
      </c>
      <c r="AI14" s="29">
        <v>45894</v>
      </c>
      <c r="AJ14" s="3">
        <v>450000</v>
      </c>
      <c r="AK14" s="29">
        <v>45944</v>
      </c>
      <c r="AL14" s="3">
        <v>400000</v>
      </c>
    </row>
    <row r="15" spans="1:39" x14ac:dyDescent="0.3">
      <c r="A15" s="28" t="s">
        <v>115</v>
      </c>
      <c r="B15" s="3">
        <v>2025</v>
      </c>
      <c r="C15" s="3" t="s">
        <v>3535</v>
      </c>
      <c r="D15" s="3" t="s">
        <v>2872</v>
      </c>
      <c r="E15" s="3" t="s">
        <v>3541</v>
      </c>
      <c r="F15" s="38" t="s">
        <v>3834</v>
      </c>
      <c r="G15" s="12">
        <v>13</v>
      </c>
      <c r="H15" s="12" t="s">
        <v>158</v>
      </c>
      <c r="I15" s="29">
        <v>45891</v>
      </c>
      <c r="J15" s="29">
        <v>45891</v>
      </c>
      <c r="K15" s="3" t="s">
        <v>45</v>
      </c>
      <c r="L15" s="3" t="s">
        <v>181</v>
      </c>
      <c r="M15" s="3" t="s">
        <v>42</v>
      </c>
      <c r="N15" s="3" t="s">
        <v>118</v>
      </c>
      <c r="O15" s="3">
        <v>14</v>
      </c>
      <c r="P15" s="3">
        <v>1798700118</v>
      </c>
      <c r="Q15" s="3" t="s">
        <v>3618</v>
      </c>
      <c r="R15" s="3" t="s">
        <v>119</v>
      </c>
      <c r="S15" s="3" t="s">
        <v>3817</v>
      </c>
      <c r="T15" s="3" t="s">
        <v>120</v>
      </c>
      <c r="U15" s="3" t="s">
        <v>121</v>
      </c>
      <c r="V15" s="3" t="s">
        <v>3619</v>
      </c>
      <c r="W15" s="3" t="s">
        <v>122</v>
      </c>
      <c r="X15" s="3" t="s">
        <v>123</v>
      </c>
      <c r="Y15" s="3" t="s">
        <v>124</v>
      </c>
      <c r="Z15" s="3" t="s">
        <v>125</v>
      </c>
      <c r="AA15" s="39">
        <v>45919</v>
      </c>
      <c r="AB15" s="3" t="s">
        <v>61</v>
      </c>
      <c r="AC15" s="3" t="s">
        <v>125</v>
      </c>
      <c r="AD15" s="29">
        <v>45894</v>
      </c>
      <c r="AE15" s="3">
        <v>750000</v>
      </c>
      <c r="AF15" s="3">
        <v>350000</v>
      </c>
      <c r="AG15" s="3">
        <v>400000</v>
      </c>
      <c r="AH15" s="3">
        <v>750000</v>
      </c>
      <c r="AI15" s="29">
        <v>45894</v>
      </c>
      <c r="AJ15" s="3">
        <v>350000</v>
      </c>
      <c r="AK15" s="29">
        <v>45944</v>
      </c>
      <c r="AL15" s="3">
        <v>400000</v>
      </c>
    </row>
    <row r="16" spans="1:39" x14ac:dyDescent="0.3">
      <c r="A16" s="28" t="s">
        <v>3620</v>
      </c>
      <c r="B16" s="3">
        <v>2025</v>
      </c>
      <c r="C16" s="3" t="s">
        <v>3535</v>
      </c>
      <c r="D16" s="3" t="s">
        <v>2901</v>
      </c>
      <c r="E16" s="3" t="s">
        <v>3541</v>
      </c>
      <c r="F16" s="38" t="s">
        <v>3835</v>
      </c>
      <c r="G16" s="12">
        <v>14</v>
      </c>
      <c r="H16" s="12" t="s">
        <v>162</v>
      </c>
      <c r="I16" s="29">
        <v>45895</v>
      </c>
      <c r="J16" s="29">
        <v>45895</v>
      </c>
      <c r="K16" s="3" t="s">
        <v>45</v>
      </c>
      <c r="L16" s="3" t="s">
        <v>46</v>
      </c>
      <c r="M16" s="3" t="s">
        <v>3621</v>
      </c>
      <c r="N16" s="3" t="s">
        <v>3622</v>
      </c>
      <c r="O16" s="3">
        <v>23</v>
      </c>
      <c r="P16" s="3">
        <v>1408113291</v>
      </c>
      <c r="Q16" s="3">
        <v>14081132910</v>
      </c>
      <c r="R16" s="3" t="s">
        <v>3623</v>
      </c>
      <c r="S16" s="3" t="s">
        <v>3817</v>
      </c>
      <c r="T16" s="3" t="s">
        <v>3624</v>
      </c>
      <c r="U16" s="3" t="s">
        <v>3625</v>
      </c>
      <c r="V16" s="3" t="s">
        <v>3626</v>
      </c>
      <c r="W16" s="3" t="s">
        <v>3627</v>
      </c>
      <c r="X16" s="3" t="s">
        <v>123</v>
      </c>
      <c r="Y16" s="3" t="s">
        <v>3628</v>
      </c>
      <c r="Z16" s="3" t="s">
        <v>3629</v>
      </c>
      <c r="AA16" s="39">
        <v>45924</v>
      </c>
      <c r="AB16" s="3" t="s">
        <v>46</v>
      </c>
      <c r="AC16" s="3" t="s">
        <v>3629</v>
      </c>
      <c r="AD16" s="29">
        <v>45929</v>
      </c>
      <c r="AE16" s="3">
        <v>700000</v>
      </c>
      <c r="AF16" s="3">
        <v>300000</v>
      </c>
      <c r="AG16" s="3">
        <v>400000</v>
      </c>
      <c r="AH16" s="3">
        <v>700000</v>
      </c>
      <c r="AI16" s="29">
        <v>45929</v>
      </c>
      <c r="AJ16" s="3">
        <v>300000</v>
      </c>
      <c r="AK16" s="29">
        <v>45952</v>
      </c>
      <c r="AL16" s="3">
        <v>400000</v>
      </c>
    </row>
    <row r="17" spans="1:38" x14ac:dyDescent="0.3">
      <c r="A17" s="28" t="s">
        <v>3630</v>
      </c>
      <c r="B17" s="3">
        <v>2025</v>
      </c>
      <c r="C17" s="3" t="s">
        <v>3535</v>
      </c>
      <c r="D17" s="3" t="s">
        <v>71</v>
      </c>
      <c r="E17" s="3" t="s">
        <v>3541</v>
      </c>
      <c r="F17" s="38" t="s">
        <v>3836</v>
      </c>
      <c r="G17" s="12">
        <v>15</v>
      </c>
      <c r="H17" s="12" t="s">
        <v>186</v>
      </c>
      <c r="I17" s="29">
        <v>45895</v>
      </c>
      <c r="J17" s="29">
        <v>45895</v>
      </c>
      <c r="K17" s="3" t="s">
        <v>45</v>
      </c>
      <c r="L17" s="3" t="s">
        <v>73</v>
      </c>
      <c r="M17" s="3" t="s">
        <v>3621</v>
      </c>
      <c r="N17" s="3" t="s">
        <v>3631</v>
      </c>
      <c r="O17" s="3">
        <v>16</v>
      </c>
      <c r="P17" s="3">
        <v>1340746934</v>
      </c>
      <c r="Q17" s="3">
        <v>13407469340</v>
      </c>
      <c r="R17" s="3" t="s">
        <v>3632</v>
      </c>
      <c r="S17" s="3" t="s">
        <v>3817</v>
      </c>
      <c r="T17" s="3" t="s">
        <v>3633</v>
      </c>
      <c r="U17" s="3" t="s">
        <v>3625</v>
      </c>
      <c r="V17" s="3" t="s">
        <v>3626</v>
      </c>
      <c r="W17" s="3" t="s">
        <v>3627</v>
      </c>
      <c r="X17" s="3" t="s">
        <v>123</v>
      </c>
      <c r="Y17" s="3" t="s">
        <v>3628</v>
      </c>
      <c r="Z17" s="3" t="s">
        <v>3629</v>
      </c>
      <c r="AA17" s="39">
        <v>45924</v>
      </c>
      <c r="AB17" s="3" t="s">
        <v>46</v>
      </c>
      <c r="AC17" s="3" t="s">
        <v>3629</v>
      </c>
      <c r="AD17" s="29">
        <v>45929</v>
      </c>
      <c r="AE17" s="3">
        <v>700000</v>
      </c>
      <c r="AF17" s="3">
        <v>300000</v>
      </c>
      <c r="AG17" s="3">
        <v>400000</v>
      </c>
      <c r="AH17" s="3">
        <v>700000</v>
      </c>
      <c r="AI17" s="29">
        <v>45929</v>
      </c>
      <c r="AJ17" s="3">
        <v>300000</v>
      </c>
      <c r="AK17" s="29">
        <v>45952</v>
      </c>
      <c r="AL17" s="3">
        <v>400000</v>
      </c>
    </row>
    <row r="18" spans="1:38" x14ac:dyDescent="0.3">
      <c r="A18" s="28" t="s">
        <v>313</v>
      </c>
      <c r="B18" s="3">
        <v>2025</v>
      </c>
      <c r="C18" s="3" t="s">
        <v>3535</v>
      </c>
      <c r="E18" s="3" t="s">
        <v>3541</v>
      </c>
      <c r="F18" s="38" t="s">
        <v>3837</v>
      </c>
      <c r="G18" s="12">
        <v>16</v>
      </c>
      <c r="H18" s="12" t="s">
        <v>186</v>
      </c>
      <c r="I18" s="29">
        <v>45895</v>
      </c>
      <c r="J18" s="29">
        <v>45895</v>
      </c>
      <c r="K18" s="3" t="s">
        <v>45</v>
      </c>
      <c r="L18" s="3" t="s">
        <v>181</v>
      </c>
      <c r="M18" s="3" t="s">
        <v>42</v>
      </c>
      <c r="N18" s="3" t="s">
        <v>316</v>
      </c>
      <c r="O18" s="3">
        <v>3</v>
      </c>
      <c r="P18" s="3">
        <v>8348702116</v>
      </c>
      <c r="Q18" s="3" t="s">
        <v>3634</v>
      </c>
      <c r="R18" s="3" t="s">
        <v>317</v>
      </c>
      <c r="S18" s="3" t="s">
        <v>3817</v>
      </c>
      <c r="T18" s="3" t="s">
        <v>318</v>
      </c>
      <c r="U18" s="3" t="s">
        <v>319</v>
      </c>
      <c r="V18" s="3" t="s">
        <v>3635</v>
      </c>
      <c r="W18" s="3" t="s">
        <v>320</v>
      </c>
      <c r="X18" s="3" t="s">
        <v>321</v>
      </c>
      <c r="Y18" s="3" t="s">
        <v>322</v>
      </c>
      <c r="Z18" s="3" t="s">
        <v>323</v>
      </c>
      <c r="AA18" s="39">
        <v>45924</v>
      </c>
      <c r="AB18" s="3" t="s">
        <v>218</v>
      </c>
      <c r="AC18" s="3" t="s">
        <v>324</v>
      </c>
      <c r="AD18" s="29">
        <v>45926</v>
      </c>
      <c r="AE18" s="3">
        <v>1000000</v>
      </c>
      <c r="AF18" s="3">
        <v>600000</v>
      </c>
      <c r="AG18" s="3">
        <v>400000</v>
      </c>
      <c r="AH18" s="3">
        <v>1000000</v>
      </c>
      <c r="AI18" s="29">
        <v>45926</v>
      </c>
      <c r="AJ18" s="3">
        <v>600000</v>
      </c>
      <c r="AK18" s="29">
        <v>45944</v>
      </c>
      <c r="AL18" s="3">
        <v>400000</v>
      </c>
    </row>
    <row r="19" spans="1:38" x14ac:dyDescent="0.3">
      <c r="A19" s="28" t="s">
        <v>325</v>
      </c>
      <c r="B19" s="3">
        <v>2025</v>
      </c>
      <c r="C19" s="3" t="s">
        <v>3535</v>
      </c>
      <c r="D19" s="3" t="s">
        <v>71</v>
      </c>
      <c r="E19" s="3" t="s">
        <v>3541</v>
      </c>
      <c r="F19" s="38" t="s">
        <v>3838</v>
      </c>
      <c r="G19" s="12">
        <v>17</v>
      </c>
      <c r="H19" s="12" t="s">
        <v>193</v>
      </c>
      <c r="I19" s="29">
        <v>45895</v>
      </c>
      <c r="J19" s="29">
        <v>45895</v>
      </c>
      <c r="K19" s="3" t="s">
        <v>45</v>
      </c>
      <c r="L19" s="3" t="s">
        <v>218</v>
      </c>
      <c r="M19" s="3" t="s">
        <v>42</v>
      </c>
      <c r="N19" s="3" t="s">
        <v>328</v>
      </c>
      <c r="O19" s="3">
        <v>57</v>
      </c>
      <c r="P19" s="3">
        <v>7941400586</v>
      </c>
      <c r="Q19" s="3" t="s">
        <v>3636</v>
      </c>
      <c r="R19" s="3" t="s">
        <v>317</v>
      </c>
      <c r="S19" s="3" t="s">
        <v>3818</v>
      </c>
      <c r="T19" s="3" t="s">
        <v>329</v>
      </c>
      <c r="U19" s="3" t="s">
        <v>319</v>
      </c>
      <c r="V19" s="3" t="s">
        <v>3637</v>
      </c>
      <c r="W19" s="3" t="s">
        <v>320</v>
      </c>
      <c r="X19" s="3" t="s">
        <v>321</v>
      </c>
      <c r="Y19" s="3" t="s">
        <v>322</v>
      </c>
      <c r="Z19" s="3" t="s">
        <v>323</v>
      </c>
      <c r="AA19" s="39">
        <v>45924</v>
      </c>
      <c r="AB19" s="3" t="s">
        <v>218</v>
      </c>
      <c r="AC19" s="3" t="s">
        <v>330</v>
      </c>
      <c r="AD19" s="29">
        <v>45926</v>
      </c>
      <c r="AE19" s="3">
        <v>500000</v>
      </c>
      <c r="AF19" s="3">
        <v>500000</v>
      </c>
      <c r="AG19" s="3">
        <v>0</v>
      </c>
      <c r="AH19" s="3">
        <v>500000</v>
      </c>
      <c r="AI19" s="29">
        <v>45926</v>
      </c>
      <c r="AJ19" s="3">
        <v>500000</v>
      </c>
      <c r="AK19" s="29" t="s">
        <v>56</v>
      </c>
      <c r="AL19" s="3">
        <v>0</v>
      </c>
    </row>
    <row r="20" spans="1:38" x14ac:dyDescent="0.3">
      <c r="A20" s="28" t="s">
        <v>370</v>
      </c>
      <c r="B20" s="3">
        <v>2025</v>
      </c>
      <c r="C20" s="3" t="s">
        <v>3535</v>
      </c>
      <c r="D20" s="3" t="s">
        <v>71</v>
      </c>
      <c r="E20" s="3" t="s">
        <v>3541</v>
      </c>
      <c r="F20" s="38" t="s">
        <v>3839</v>
      </c>
      <c r="G20" s="12">
        <v>18</v>
      </c>
      <c r="H20" s="12" t="s">
        <v>205</v>
      </c>
      <c r="I20" s="29">
        <v>45895</v>
      </c>
      <c r="J20" s="29">
        <v>45895</v>
      </c>
      <c r="K20" s="3" t="s">
        <v>45</v>
      </c>
      <c r="L20" s="3" t="s">
        <v>61</v>
      </c>
      <c r="M20" s="3" t="s">
        <v>42</v>
      </c>
      <c r="N20" s="3" t="s">
        <v>373</v>
      </c>
      <c r="O20" s="3">
        <v>8</v>
      </c>
      <c r="P20" s="3">
        <v>2918100624</v>
      </c>
      <c r="Q20" s="3">
        <v>29181006240</v>
      </c>
      <c r="R20" s="3" t="s">
        <v>374</v>
      </c>
      <c r="S20" s="3" t="s">
        <v>3817</v>
      </c>
      <c r="T20" s="3" t="s">
        <v>375</v>
      </c>
      <c r="U20" s="3" t="s">
        <v>376</v>
      </c>
      <c r="V20" s="3" t="s">
        <v>3638</v>
      </c>
      <c r="W20" s="3" t="s">
        <v>377</v>
      </c>
      <c r="X20" s="3" t="s">
        <v>134</v>
      </c>
      <c r="Y20" s="3" t="s">
        <v>378</v>
      </c>
      <c r="Z20" s="3" t="s">
        <v>379</v>
      </c>
      <c r="AA20" s="39">
        <v>45919</v>
      </c>
      <c r="AB20" s="3" t="s">
        <v>61</v>
      </c>
      <c r="AC20" s="3" t="s">
        <v>379</v>
      </c>
      <c r="AD20" s="29">
        <v>45945</v>
      </c>
      <c r="AE20" s="3">
        <v>1050000</v>
      </c>
      <c r="AF20" s="3">
        <v>650000</v>
      </c>
      <c r="AG20" s="3">
        <v>400000</v>
      </c>
      <c r="AH20" s="3">
        <v>1050000</v>
      </c>
      <c r="AI20" s="29">
        <v>45945</v>
      </c>
      <c r="AJ20" s="3">
        <v>650000</v>
      </c>
      <c r="AK20" s="29">
        <v>45944</v>
      </c>
      <c r="AL20" s="3">
        <v>400000</v>
      </c>
    </row>
    <row r="21" spans="1:38" x14ac:dyDescent="0.3">
      <c r="A21" s="28" t="s">
        <v>3639</v>
      </c>
      <c r="B21" s="3">
        <v>2025</v>
      </c>
      <c r="C21" s="3" t="s">
        <v>3535</v>
      </c>
      <c r="E21" s="3" t="s">
        <v>3541</v>
      </c>
      <c r="F21" s="38" t="s">
        <v>3840</v>
      </c>
      <c r="G21" s="12">
        <v>19</v>
      </c>
      <c r="H21" s="12" t="s">
        <v>205</v>
      </c>
      <c r="I21" s="29">
        <v>45909</v>
      </c>
      <c r="J21" s="29">
        <v>45909</v>
      </c>
      <c r="K21" s="3" t="s">
        <v>45</v>
      </c>
      <c r="L21" s="3" t="s">
        <v>46</v>
      </c>
      <c r="M21" s="3" t="s">
        <v>42</v>
      </c>
      <c r="N21" s="3" t="s">
        <v>3640</v>
      </c>
      <c r="O21" s="3">
        <v>3</v>
      </c>
      <c r="P21" s="3">
        <v>3123271675</v>
      </c>
      <c r="Q21" s="3" t="s">
        <v>3641</v>
      </c>
      <c r="R21" s="3" t="s">
        <v>3642</v>
      </c>
      <c r="S21" s="3" t="s">
        <v>3817</v>
      </c>
      <c r="T21" s="3" t="s">
        <v>3643</v>
      </c>
      <c r="U21" s="3" t="s">
        <v>3644</v>
      </c>
      <c r="V21" s="3" t="s">
        <v>3645</v>
      </c>
      <c r="W21" s="3" t="s">
        <v>3642</v>
      </c>
      <c r="X21" s="3" t="s">
        <v>78</v>
      </c>
      <c r="Y21" s="3" t="s">
        <v>3646</v>
      </c>
      <c r="Z21" s="3" t="s">
        <v>3647</v>
      </c>
      <c r="AA21" s="39">
        <v>45931</v>
      </c>
      <c r="AB21" s="3" t="s">
        <v>46</v>
      </c>
      <c r="AC21" s="3" t="s">
        <v>3647</v>
      </c>
      <c r="AD21" s="29" t="s">
        <v>69</v>
      </c>
      <c r="AE21" s="3">
        <v>339430</v>
      </c>
      <c r="AF21" s="3">
        <v>0</v>
      </c>
      <c r="AG21" s="3">
        <v>339430</v>
      </c>
      <c r="AH21" s="3">
        <v>339430</v>
      </c>
      <c r="AI21" s="29" t="s">
        <v>69</v>
      </c>
      <c r="AJ21" s="3">
        <v>0</v>
      </c>
      <c r="AK21" s="29">
        <v>45973</v>
      </c>
      <c r="AL21" s="3">
        <v>339430</v>
      </c>
    </row>
    <row r="22" spans="1:38" x14ac:dyDescent="0.3">
      <c r="A22" s="28" t="s">
        <v>380</v>
      </c>
      <c r="B22" s="3">
        <v>2025</v>
      </c>
      <c r="C22" s="3" t="s">
        <v>3535</v>
      </c>
      <c r="D22" s="3" t="s">
        <v>71</v>
      </c>
      <c r="E22" s="3" t="s">
        <v>3541</v>
      </c>
      <c r="F22" s="38" t="s">
        <v>3841</v>
      </c>
      <c r="G22" s="12">
        <v>20</v>
      </c>
      <c r="H22" s="12" t="s">
        <v>217</v>
      </c>
      <c r="I22" s="29">
        <v>45909</v>
      </c>
      <c r="J22" s="29">
        <v>45909</v>
      </c>
      <c r="K22" s="3" t="s">
        <v>45</v>
      </c>
      <c r="L22" s="3" t="s">
        <v>181</v>
      </c>
      <c r="M22" s="3" t="s">
        <v>42</v>
      </c>
      <c r="N22" s="3" t="s">
        <v>383</v>
      </c>
      <c r="O22" s="3">
        <v>10</v>
      </c>
      <c r="P22" s="3">
        <v>3128218355</v>
      </c>
      <c r="Q22" s="3" t="s">
        <v>3648</v>
      </c>
      <c r="R22" s="3" t="s">
        <v>384</v>
      </c>
      <c r="S22" s="3" t="s">
        <v>3817</v>
      </c>
      <c r="T22" s="3" t="s">
        <v>385</v>
      </c>
      <c r="U22" s="3" t="s">
        <v>386</v>
      </c>
      <c r="V22" s="3" t="s">
        <v>3649</v>
      </c>
      <c r="W22" s="3" t="s">
        <v>387</v>
      </c>
      <c r="X22" s="3" t="s">
        <v>388</v>
      </c>
      <c r="Y22" s="3" t="s">
        <v>389</v>
      </c>
      <c r="Z22" s="3" t="s">
        <v>390</v>
      </c>
      <c r="AA22" s="39">
        <v>45931</v>
      </c>
      <c r="AB22" s="3" t="s">
        <v>181</v>
      </c>
      <c r="AC22" s="3" t="s">
        <v>3650</v>
      </c>
      <c r="AD22" s="29">
        <v>45974</v>
      </c>
      <c r="AE22" s="3">
        <v>700000</v>
      </c>
      <c r="AF22" s="3">
        <v>300000</v>
      </c>
      <c r="AG22" s="3">
        <v>400000</v>
      </c>
      <c r="AH22" s="3">
        <v>700000</v>
      </c>
      <c r="AI22" s="29">
        <v>45974</v>
      </c>
      <c r="AJ22" s="3">
        <v>300000</v>
      </c>
      <c r="AK22" s="29">
        <v>45973</v>
      </c>
      <c r="AL22" s="3">
        <v>400000</v>
      </c>
    </row>
    <row r="23" spans="1:38" x14ac:dyDescent="0.3">
      <c r="A23" s="28" t="s">
        <v>474</v>
      </c>
      <c r="B23" s="3">
        <v>2025</v>
      </c>
      <c r="C23" s="3" t="s">
        <v>3535</v>
      </c>
      <c r="D23" s="3" t="s">
        <v>2872</v>
      </c>
      <c r="E23" s="3" t="s">
        <v>3541</v>
      </c>
      <c r="F23" s="38" t="s">
        <v>3842</v>
      </c>
      <c r="G23" s="12">
        <v>21</v>
      </c>
      <c r="H23" s="12" t="s">
        <v>230</v>
      </c>
      <c r="I23" s="29">
        <v>45912</v>
      </c>
      <c r="J23" s="29">
        <v>45912</v>
      </c>
      <c r="K23" s="3" t="s">
        <v>45</v>
      </c>
      <c r="L23" s="3" t="s">
        <v>61</v>
      </c>
      <c r="M23" s="3" t="s">
        <v>42</v>
      </c>
      <c r="N23" s="3" t="s">
        <v>477</v>
      </c>
      <c r="O23" s="3">
        <v>100</v>
      </c>
      <c r="P23" s="3">
        <v>3128168805</v>
      </c>
      <c r="Q23" s="3" t="s">
        <v>3651</v>
      </c>
      <c r="R23" s="3" t="s">
        <v>478</v>
      </c>
      <c r="S23" s="3" t="s">
        <v>3818</v>
      </c>
      <c r="T23" s="3" t="s">
        <v>479</v>
      </c>
      <c r="U23" s="3" t="s">
        <v>480</v>
      </c>
      <c r="V23" s="3" t="s">
        <v>3652</v>
      </c>
      <c r="W23" s="3" t="s">
        <v>481</v>
      </c>
      <c r="Y23" s="3" t="s">
        <v>482</v>
      </c>
      <c r="Z23" s="3" t="s">
        <v>483</v>
      </c>
      <c r="AA23" s="39">
        <v>45931</v>
      </c>
      <c r="AB23" s="3" t="s">
        <v>61</v>
      </c>
      <c r="AC23" s="3" t="s">
        <v>483</v>
      </c>
      <c r="AD23" s="29">
        <v>45912</v>
      </c>
      <c r="AE23" s="3">
        <v>2350000</v>
      </c>
      <c r="AF23" s="3">
        <v>2350000</v>
      </c>
      <c r="AG23" s="3">
        <v>0</v>
      </c>
      <c r="AH23" s="3">
        <v>2350000</v>
      </c>
      <c r="AI23" s="29">
        <v>45912</v>
      </c>
      <c r="AJ23" s="3">
        <v>2350000</v>
      </c>
      <c r="AK23" s="29" t="s">
        <v>56</v>
      </c>
      <c r="AL23" s="3">
        <v>0</v>
      </c>
    </row>
    <row r="24" spans="1:38" x14ac:dyDescent="0.3">
      <c r="A24" s="28" t="s">
        <v>227</v>
      </c>
      <c r="B24" s="3">
        <v>2025</v>
      </c>
      <c r="C24" s="3" t="s">
        <v>3535</v>
      </c>
      <c r="D24" s="3" t="s">
        <v>71</v>
      </c>
      <c r="E24" s="3" t="s">
        <v>3541</v>
      </c>
      <c r="F24" s="38" t="s">
        <v>3843</v>
      </c>
      <c r="G24" s="12">
        <v>22</v>
      </c>
      <c r="H24" s="12" t="s">
        <v>240</v>
      </c>
      <c r="I24" s="29">
        <v>45912</v>
      </c>
      <c r="J24" s="29">
        <v>45912</v>
      </c>
      <c r="K24" s="3" t="s">
        <v>45</v>
      </c>
      <c r="L24" s="3" t="s">
        <v>46</v>
      </c>
      <c r="M24" s="3" t="s">
        <v>231</v>
      </c>
      <c r="N24" s="3" t="s">
        <v>232</v>
      </c>
      <c r="O24" s="3">
        <v>16</v>
      </c>
      <c r="P24" s="3">
        <v>1268639422</v>
      </c>
      <c r="Q24" s="3">
        <v>12686394220</v>
      </c>
      <c r="R24" s="3" t="s">
        <v>3653</v>
      </c>
      <c r="S24" s="3" t="s">
        <v>3817</v>
      </c>
      <c r="T24" s="3" t="s">
        <v>233</v>
      </c>
      <c r="U24" s="3" t="s">
        <v>209</v>
      </c>
      <c r="V24" s="3" t="s">
        <v>3654</v>
      </c>
      <c r="W24" s="3" t="s">
        <v>234</v>
      </c>
      <c r="X24" s="3" t="s">
        <v>123</v>
      </c>
      <c r="Y24" s="3" t="s">
        <v>235</v>
      </c>
      <c r="Z24" s="3" t="s">
        <v>236</v>
      </c>
      <c r="AA24" s="39">
        <v>45925</v>
      </c>
      <c r="AB24" s="3" t="s">
        <v>46</v>
      </c>
      <c r="AC24" s="3" t="s">
        <v>236</v>
      </c>
      <c r="AD24" s="29">
        <v>45930</v>
      </c>
      <c r="AE24" s="3">
        <v>700000</v>
      </c>
      <c r="AF24" s="3">
        <v>300000</v>
      </c>
      <c r="AG24" s="3">
        <v>400000</v>
      </c>
      <c r="AH24" s="3">
        <v>700000</v>
      </c>
      <c r="AI24" s="29">
        <v>45930</v>
      </c>
      <c r="AJ24" s="3">
        <v>300000</v>
      </c>
      <c r="AK24" s="29">
        <v>45951</v>
      </c>
      <c r="AL24" s="3">
        <v>400000</v>
      </c>
    </row>
    <row r="25" spans="1:38" x14ac:dyDescent="0.3">
      <c r="A25" s="28" t="s">
        <v>431</v>
      </c>
      <c r="B25" s="3">
        <v>2025</v>
      </c>
      <c r="C25" s="3" t="s">
        <v>3535</v>
      </c>
      <c r="D25" s="3" t="s">
        <v>71</v>
      </c>
      <c r="E25" s="3" t="s">
        <v>3541</v>
      </c>
      <c r="F25" s="38" t="s">
        <v>3844</v>
      </c>
      <c r="G25" s="12">
        <v>23</v>
      </c>
      <c r="H25" s="12" t="s">
        <v>260</v>
      </c>
      <c r="I25" s="29">
        <v>45915</v>
      </c>
      <c r="J25" s="29">
        <v>45917</v>
      </c>
      <c r="K25" s="3" t="s">
        <v>45</v>
      </c>
      <c r="L25" s="3" t="s">
        <v>3655</v>
      </c>
      <c r="M25" s="3" t="s">
        <v>436</v>
      </c>
      <c r="N25" s="3" t="s">
        <v>437</v>
      </c>
      <c r="O25" s="3">
        <v>1512</v>
      </c>
      <c r="P25" s="3">
        <v>1248301818</v>
      </c>
      <c r="Q25" s="3" t="s">
        <v>3656</v>
      </c>
      <c r="R25" s="3" t="s">
        <v>3657</v>
      </c>
      <c r="S25" s="3" t="s">
        <v>3818</v>
      </c>
      <c r="T25" s="3" t="s">
        <v>439</v>
      </c>
      <c r="U25" s="3" t="s">
        <v>440</v>
      </c>
      <c r="V25" s="3" t="s">
        <v>3658</v>
      </c>
      <c r="W25" s="3" t="s">
        <v>441</v>
      </c>
      <c r="X25" s="3" t="s">
        <v>442</v>
      </c>
      <c r="Y25" s="3" t="s">
        <v>443</v>
      </c>
      <c r="Z25" s="3" t="s">
        <v>444</v>
      </c>
      <c r="AA25" s="39">
        <v>45946</v>
      </c>
      <c r="AB25" s="3" t="s">
        <v>46</v>
      </c>
      <c r="AC25" s="3" t="s">
        <v>444</v>
      </c>
      <c r="AD25" s="29">
        <v>46015</v>
      </c>
      <c r="AE25" s="3">
        <v>15500000</v>
      </c>
      <c r="AF25" s="3">
        <v>15500000</v>
      </c>
      <c r="AG25" s="3">
        <v>0</v>
      </c>
      <c r="AH25" s="3">
        <v>15500000</v>
      </c>
      <c r="AI25" s="29">
        <v>46015</v>
      </c>
      <c r="AJ25" s="3">
        <v>15500000</v>
      </c>
      <c r="AK25" s="29" t="s">
        <v>56</v>
      </c>
      <c r="AL25" s="3">
        <v>0</v>
      </c>
    </row>
    <row r="26" spans="1:38" x14ac:dyDescent="0.3">
      <c r="A26" s="28" t="s">
        <v>3659</v>
      </c>
      <c r="B26" s="3">
        <v>2025</v>
      </c>
      <c r="C26" s="3" t="s">
        <v>3535</v>
      </c>
      <c r="D26" s="3" t="s">
        <v>2872</v>
      </c>
      <c r="E26" s="3" t="s">
        <v>3541</v>
      </c>
      <c r="F26" s="38" t="s">
        <v>3845</v>
      </c>
      <c r="G26" s="12">
        <v>24</v>
      </c>
      <c r="H26" s="12" t="s">
        <v>273</v>
      </c>
      <c r="I26" s="29">
        <v>45916</v>
      </c>
      <c r="J26" s="29">
        <v>45916</v>
      </c>
      <c r="K26" s="3" t="s">
        <v>45</v>
      </c>
      <c r="L26" s="3" t="s">
        <v>218</v>
      </c>
      <c r="M26" s="3" t="s">
        <v>241</v>
      </c>
      <c r="N26" s="3" t="s">
        <v>3660</v>
      </c>
      <c r="O26" s="3">
        <v>48</v>
      </c>
      <c r="P26" s="3">
        <v>2148678417</v>
      </c>
      <c r="Q26" s="3">
        <v>21486784176</v>
      </c>
      <c r="R26" s="3" t="s">
        <v>710</v>
      </c>
      <c r="S26" s="3" t="s">
        <v>3818</v>
      </c>
      <c r="T26" s="3" t="s">
        <v>3661</v>
      </c>
      <c r="W26" s="3" t="s">
        <v>3662</v>
      </c>
      <c r="X26" s="3" t="s">
        <v>134</v>
      </c>
      <c r="Y26" s="3" t="s">
        <v>3663</v>
      </c>
      <c r="Z26" s="3" t="s">
        <v>715</v>
      </c>
      <c r="AA26" s="39">
        <v>45944</v>
      </c>
      <c r="AB26" s="3" t="s">
        <v>218</v>
      </c>
      <c r="AC26" s="3" t="s">
        <v>715</v>
      </c>
      <c r="AD26" s="29">
        <v>45951</v>
      </c>
      <c r="AE26" s="3">
        <v>1000000</v>
      </c>
      <c r="AF26" s="3">
        <v>1000000</v>
      </c>
      <c r="AG26" s="3">
        <v>0</v>
      </c>
      <c r="AH26" s="3">
        <v>1000000</v>
      </c>
      <c r="AI26" s="29">
        <v>45951</v>
      </c>
      <c r="AJ26" s="3">
        <v>1000000</v>
      </c>
      <c r="AK26" s="29" t="s">
        <v>56</v>
      </c>
      <c r="AL26" s="3">
        <v>0</v>
      </c>
    </row>
    <row r="27" spans="1:38" x14ac:dyDescent="0.3">
      <c r="A27" s="28" t="s">
        <v>3664</v>
      </c>
      <c r="B27" s="3">
        <v>2025</v>
      </c>
      <c r="C27" s="3" t="s">
        <v>3535</v>
      </c>
      <c r="D27" s="3" t="s">
        <v>3428</v>
      </c>
      <c r="E27" s="3" t="s">
        <v>3541</v>
      </c>
      <c r="F27" s="38" t="s">
        <v>3846</v>
      </c>
      <c r="G27" s="12">
        <v>25</v>
      </c>
      <c r="H27" s="12" t="s">
        <v>285</v>
      </c>
      <c r="I27" s="29">
        <v>45917</v>
      </c>
      <c r="J27" s="29">
        <v>45917</v>
      </c>
      <c r="K27" s="3" t="s">
        <v>45</v>
      </c>
      <c r="L27" s="3" t="s">
        <v>61</v>
      </c>
      <c r="M27" s="3" t="s">
        <v>42</v>
      </c>
      <c r="N27" s="3" t="s">
        <v>3665</v>
      </c>
      <c r="O27" s="3">
        <v>16</v>
      </c>
      <c r="P27" s="3">
        <v>2968400028</v>
      </c>
      <c r="Q27" s="3">
        <v>92438631521</v>
      </c>
      <c r="R27" s="3" t="s">
        <v>3666</v>
      </c>
      <c r="S27" s="3" t="s">
        <v>3817</v>
      </c>
      <c r="T27" s="3" t="s">
        <v>3667</v>
      </c>
      <c r="W27" s="3" t="s">
        <v>3668</v>
      </c>
      <c r="X27" s="3" t="s">
        <v>52</v>
      </c>
      <c r="Y27" s="3" t="s">
        <v>3669</v>
      </c>
      <c r="Z27" s="3" t="s">
        <v>3670</v>
      </c>
      <c r="AA27" s="39">
        <v>45943</v>
      </c>
      <c r="AB27" s="3" t="s">
        <v>61</v>
      </c>
      <c r="AC27" s="3" t="s">
        <v>3671</v>
      </c>
      <c r="AD27" s="29">
        <v>45945</v>
      </c>
      <c r="AE27" s="3">
        <v>1300000</v>
      </c>
      <c r="AF27" s="3">
        <v>300000</v>
      </c>
      <c r="AG27" s="3">
        <v>1000000</v>
      </c>
      <c r="AH27" s="3">
        <v>1300000</v>
      </c>
      <c r="AI27" s="29">
        <v>45945</v>
      </c>
      <c r="AJ27" s="3">
        <v>300000</v>
      </c>
      <c r="AK27" s="29">
        <v>45973</v>
      </c>
      <c r="AL27" s="3">
        <v>1000000</v>
      </c>
    </row>
    <row r="28" spans="1:38" x14ac:dyDescent="0.3">
      <c r="A28" s="28" t="s">
        <v>202</v>
      </c>
      <c r="B28" s="3">
        <v>2025</v>
      </c>
      <c r="C28" s="3" t="s">
        <v>3535</v>
      </c>
      <c r="D28" s="3" t="s">
        <v>2878</v>
      </c>
      <c r="E28" s="3" t="s">
        <v>3541</v>
      </c>
      <c r="F28" s="38" t="s">
        <v>3847</v>
      </c>
      <c r="G28" s="12">
        <v>26</v>
      </c>
      <c r="H28" s="12" t="s">
        <v>304</v>
      </c>
      <c r="I28" s="29">
        <v>45917</v>
      </c>
      <c r="J28" s="29">
        <v>45917</v>
      </c>
      <c r="K28" s="3" t="s">
        <v>45</v>
      </c>
      <c r="L28" s="3" t="s">
        <v>181</v>
      </c>
      <c r="M28" s="3" t="s">
        <v>42</v>
      </c>
      <c r="N28" s="3" t="s">
        <v>206</v>
      </c>
      <c r="O28" s="3">
        <v>23</v>
      </c>
      <c r="P28" s="3">
        <v>1268639422</v>
      </c>
      <c r="Q28" s="3">
        <v>92231854931</v>
      </c>
      <c r="R28" s="3" t="s">
        <v>3653</v>
      </c>
      <c r="S28" s="3" t="s">
        <v>3817</v>
      </c>
      <c r="T28" s="3" t="s">
        <v>208</v>
      </c>
      <c r="U28" s="3" t="s">
        <v>209</v>
      </c>
      <c r="V28" s="3" t="s">
        <v>3654</v>
      </c>
      <c r="W28" s="3" t="s">
        <v>3672</v>
      </c>
      <c r="X28" s="3" t="s">
        <v>211</v>
      </c>
      <c r="Y28" s="3" t="s">
        <v>3673</v>
      </c>
      <c r="Z28" s="3" t="s">
        <v>213</v>
      </c>
      <c r="AA28" s="39">
        <v>45946</v>
      </c>
      <c r="AB28" s="3" t="s">
        <v>181</v>
      </c>
      <c r="AC28" s="3" t="s">
        <v>214</v>
      </c>
      <c r="AD28" s="29">
        <v>45930</v>
      </c>
      <c r="AE28" s="3">
        <v>466470</v>
      </c>
      <c r="AF28" s="3">
        <v>100000</v>
      </c>
      <c r="AG28" s="3">
        <v>366470</v>
      </c>
      <c r="AH28" s="3">
        <v>366470</v>
      </c>
      <c r="AI28" s="29">
        <v>45930</v>
      </c>
      <c r="AJ28" s="3">
        <v>0</v>
      </c>
      <c r="AK28" s="29">
        <v>45973</v>
      </c>
      <c r="AL28" s="3">
        <v>366470</v>
      </c>
    </row>
    <row r="29" spans="1:38" x14ac:dyDescent="0.3">
      <c r="A29" s="28" t="s">
        <v>146</v>
      </c>
      <c r="B29" s="3">
        <v>2025</v>
      </c>
      <c r="C29" s="3" t="s">
        <v>3535</v>
      </c>
      <c r="D29" s="3" t="s">
        <v>2872</v>
      </c>
      <c r="E29" s="3" t="s">
        <v>3541</v>
      </c>
      <c r="F29" s="38" t="s">
        <v>3848</v>
      </c>
      <c r="G29" s="12">
        <v>27</v>
      </c>
      <c r="H29" s="12" t="s">
        <v>327</v>
      </c>
      <c r="I29" s="29">
        <v>45918</v>
      </c>
      <c r="J29" s="29">
        <v>45918</v>
      </c>
      <c r="K29" s="3" t="s">
        <v>3814</v>
      </c>
      <c r="L29" s="3" t="s">
        <v>61</v>
      </c>
      <c r="M29" s="3" t="s">
        <v>84</v>
      </c>
      <c r="N29" s="3" t="s">
        <v>149</v>
      </c>
      <c r="O29" s="3">
        <v>34</v>
      </c>
      <c r="P29" s="3">
        <v>1058129640</v>
      </c>
      <c r="Q29" s="3" t="s">
        <v>3674</v>
      </c>
      <c r="R29" s="3" t="s">
        <v>743</v>
      </c>
      <c r="S29" s="3" t="s">
        <v>3819</v>
      </c>
      <c r="T29" s="3" t="s">
        <v>151</v>
      </c>
      <c r="U29" s="3" t="s">
        <v>152</v>
      </c>
      <c r="V29" s="3" t="s">
        <v>3675</v>
      </c>
      <c r="W29" s="3" t="s">
        <v>153</v>
      </c>
      <c r="X29" s="3" t="s">
        <v>89</v>
      </c>
      <c r="Y29" s="3" t="s">
        <v>154</v>
      </c>
      <c r="Z29" s="3" t="s">
        <v>155</v>
      </c>
      <c r="AA29" s="39">
        <v>45945</v>
      </c>
      <c r="AB29" s="3" t="s">
        <v>61</v>
      </c>
      <c r="AC29" s="3" t="s">
        <v>155</v>
      </c>
      <c r="AD29" s="29">
        <v>45953</v>
      </c>
      <c r="AE29" s="3">
        <v>1700000</v>
      </c>
      <c r="AF29" s="3">
        <v>1700000</v>
      </c>
      <c r="AG29" s="3">
        <v>0</v>
      </c>
      <c r="AH29" s="3">
        <v>1700000</v>
      </c>
      <c r="AI29" s="29">
        <v>45953</v>
      </c>
      <c r="AJ29" s="3">
        <v>1700000</v>
      </c>
      <c r="AK29" s="29" t="s">
        <v>56</v>
      </c>
      <c r="AL29" s="3">
        <v>0</v>
      </c>
    </row>
    <row r="30" spans="1:38" x14ac:dyDescent="0.3">
      <c r="A30" s="28" t="s">
        <v>156</v>
      </c>
      <c r="B30" s="3">
        <v>2025</v>
      </c>
      <c r="C30" s="3" t="s">
        <v>3535</v>
      </c>
      <c r="D30" s="3" t="s">
        <v>2872</v>
      </c>
      <c r="E30" s="3" t="s">
        <v>3541</v>
      </c>
      <c r="F30" s="38" t="s">
        <v>3849</v>
      </c>
      <c r="G30" s="12">
        <v>28</v>
      </c>
      <c r="H30" s="12" t="s">
        <v>333</v>
      </c>
      <c r="I30" s="29">
        <v>45918</v>
      </c>
      <c r="J30" s="29">
        <v>45918</v>
      </c>
      <c r="K30" s="3" t="s">
        <v>3814</v>
      </c>
      <c r="L30" s="3" t="s">
        <v>218</v>
      </c>
      <c r="M30" s="3" t="s">
        <v>84</v>
      </c>
      <c r="N30" s="3" t="s">
        <v>159</v>
      </c>
      <c r="O30" s="3">
        <v>6</v>
      </c>
      <c r="P30" s="3">
        <v>1058129640</v>
      </c>
      <c r="Q30" s="3" t="s">
        <v>3674</v>
      </c>
      <c r="R30" s="3" t="s">
        <v>743</v>
      </c>
      <c r="S30" s="3" t="s">
        <v>3819</v>
      </c>
      <c r="T30" s="3" t="s">
        <v>151</v>
      </c>
      <c r="U30" s="3" t="s">
        <v>152</v>
      </c>
      <c r="V30" s="3" t="s">
        <v>3675</v>
      </c>
      <c r="W30" s="3" t="s">
        <v>153</v>
      </c>
      <c r="X30" s="3" t="s">
        <v>89</v>
      </c>
      <c r="Y30" s="3" t="s">
        <v>154</v>
      </c>
      <c r="Z30" s="3" t="s">
        <v>155</v>
      </c>
      <c r="AA30" s="39">
        <v>45945</v>
      </c>
      <c r="AB30" s="3" t="s">
        <v>218</v>
      </c>
      <c r="AC30" s="3" t="s">
        <v>155</v>
      </c>
      <c r="AD30" s="29">
        <v>45953</v>
      </c>
      <c r="AE30" s="3">
        <v>900000</v>
      </c>
      <c r="AF30" s="3">
        <v>900000</v>
      </c>
      <c r="AG30" s="3">
        <v>0</v>
      </c>
      <c r="AH30" s="3">
        <v>900000</v>
      </c>
      <c r="AI30" s="29">
        <v>45953</v>
      </c>
      <c r="AJ30" s="3">
        <v>900000</v>
      </c>
      <c r="AK30" s="29" t="s">
        <v>56</v>
      </c>
      <c r="AL30" s="3">
        <v>0</v>
      </c>
    </row>
    <row r="31" spans="1:38" x14ac:dyDescent="0.3">
      <c r="A31" s="28" t="s">
        <v>739</v>
      </c>
      <c r="B31" s="3">
        <v>2025</v>
      </c>
      <c r="C31" s="3" t="s">
        <v>3535</v>
      </c>
      <c r="D31" s="3" t="s">
        <v>2872</v>
      </c>
      <c r="E31" s="3" t="s">
        <v>3541</v>
      </c>
      <c r="F31" s="38" t="s">
        <v>3850</v>
      </c>
      <c r="G31" s="12">
        <v>29</v>
      </c>
      <c r="H31" s="12" t="s">
        <v>344</v>
      </c>
      <c r="I31" s="29">
        <v>45919</v>
      </c>
      <c r="J31" s="29">
        <v>45919</v>
      </c>
      <c r="K31" s="3" t="s">
        <v>3814</v>
      </c>
      <c r="L31" s="3" t="s">
        <v>61</v>
      </c>
      <c r="M31" s="3" t="s">
        <v>84</v>
      </c>
      <c r="N31" s="3" t="s">
        <v>742</v>
      </c>
      <c r="O31" s="3">
        <v>6</v>
      </c>
      <c r="P31" s="3">
        <v>1058129640</v>
      </c>
      <c r="Q31" s="3">
        <v>10581296406</v>
      </c>
      <c r="R31" s="3" t="s">
        <v>743</v>
      </c>
      <c r="S31" s="3" t="s">
        <v>3819</v>
      </c>
      <c r="T31" s="3" t="s">
        <v>744</v>
      </c>
      <c r="U31" s="3" t="s">
        <v>152</v>
      </c>
      <c r="V31" s="3" t="s">
        <v>3675</v>
      </c>
      <c r="W31" s="3" t="s">
        <v>153</v>
      </c>
      <c r="X31" s="3" t="s">
        <v>89</v>
      </c>
      <c r="Y31" s="3" t="s">
        <v>154</v>
      </c>
      <c r="Z31" s="3" t="s">
        <v>155</v>
      </c>
      <c r="AA31" s="39">
        <v>45945</v>
      </c>
      <c r="AB31" s="3" t="s">
        <v>61</v>
      </c>
      <c r="AC31" s="3" t="s">
        <v>155</v>
      </c>
      <c r="AD31" s="29">
        <v>45953</v>
      </c>
      <c r="AE31" s="3">
        <v>900000</v>
      </c>
      <c r="AF31" s="3">
        <v>900000</v>
      </c>
      <c r="AG31" s="3">
        <v>0</v>
      </c>
      <c r="AH31" s="3">
        <v>900000</v>
      </c>
      <c r="AI31" s="29">
        <v>45953</v>
      </c>
      <c r="AJ31" s="3">
        <v>900000</v>
      </c>
      <c r="AK31" s="29" t="s">
        <v>56</v>
      </c>
      <c r="AL31" s="3">
        <v>0</v>
      </c>
    </row>
    <row r="32" spans="1:38" x14ac:dyDescent="0.3">
      <c r="A32" s="28" t="s">
        <v>391</v>
      </c>
      <c r="B32" s="3">
        <v>2025</v>
      </c>
      <c r="C32" s="3" t="s">
        <v>3535</v>
      </c>
      <c r="D32" s="3" t="s">
        <v>71</v>
      </c>
      <c r="E32" s="3" t="s">
        <v>3541</v>
      </c>
      <c r="F32" s="38" t="s">
        <v>3851</v>
      </c>
      <c r="G32" s="12">
        <v>30</v>
      </c>
      <c r="H32" s="12" t="s">
        <v>353</v>
      </c>
      <c r="I32" s="29">
        <v>45922</v>
      </c>
      <c r="J32" s="29">
        <v>45922</v>
      </c>
      <c r="K32" s="3" t="s">
        <v>45</v>
      </c>
      <c r="L32" s="3" t="s">
        <v>97</v>
      </c>
      <c r="M32" s="3" t="s">
        <v>42</v>
      </c>
      <c r="N32" s="3" t="s">
        <v>394</v>
      </c>
      <c r="O32" s="3">
        <v>31</v>
      </c>
      <c r="P32" s="3">
        <v>1498101813</v>
      </c>
      <c r="Q32" s="3" t="s">
        <v>3676</v>
      </c>
      <c r="R32" s="3" t="s">
        <v>395</v>
      </c>
      <c r="S32" s="3" t="s">
        <v>3817</v>
      </c>
      <c r="T32" s="3" t="s">
        <v>396</v>
      </c>
      <c r="U32" s="3" t="s">
        <v>397</v>
      </c>
      <c r="V32" s="3" t="s">
        <v>3677</v>
      </c>
      <c r="W32" s="3" t="s">
        <v>398</v>
      </c>
      <c r="X32" s="3" t="s">
        <v>134</v>
      </c>
      <c r="Y32" s="3" t="s">
        <v>399</v>
      </c>
      <c r="Z32" s="3" t="s">
        <v>3678</v>
      </c>
      <c r="AA32" s="39">
        <v>45951</v>
      </c>
      <c r="AB32" s="3" t="s">
        <v>181</v>
      </c>
      <c r="AC32" s="3" t="s">
        <v>3678</v>
      </c>
      <c r="AD32" s="29">
        <v>45974</v>
      </c>
      <c r="AE32" s="3">
        <v>1650000</v>
      </c>
      <c r="AF32" s="3">
        <v>1250000</v>
      </c>
      <c r="AG32" s="3">
        <v>400000</v>
      </c>
      <c r="AH32" s="3">
        <v>1650000</v>
      </c>
      <c r="AI32" s="29">
        <v>45974</v>
      </c>
      <c r="AJ32" s="3">
        <v>1250000</v>
      </c>
      <c r="AK32" s="29">
        <v>45973</v>
      </c>
      <c r="AL32" s="3">
        <v>400000</v>
      </c>
    </row>
    <row r="33" spans="1:38" x14ac:dyDescent="0.3">
      <c r="A33" s="28" t="s">
        <v>402</v>
      </c>
      <c r="B33" s="3">
        <v>2025</v>
      </c>
      <c r="C33" s="3" t="s">
        <v>3535</v>
      </c>
      <c r="D33" s="3" t="s">
        <v>71</v>
      </c>
      <c r="E33" s="3" t="s">
        <v>3541</v>
      </c>
      <c r="F33" s="38" t="s">
        <v>3852</v>
      </c>
      <c r="G33" s="12">
        <v>31</v>
      </c>
      <c r="H33" s="12" t="s">
        <v>372</v>
      </c>
      <c r="I33" s="29">
        <v>45922</v>
      </c>
      <c r="J33" s="29">
        <v>45922</v>
      </c>
      <c r="K33" s="3" t="s">
        <v>45</v>
      </c>
      <c r="L33" s="3" t="s">
        <v>181</v>
      </c>
      <c r="M33" s="3" t="s">
        <v>42</v>
      </c>
      <c r="N33" s="3" t="s">
        <v>405</v>
      </c>
      <c r="O33" s="3">
        <v>15</v>
      </c>
      <c r="P33" s="3">
        <v>3128629753</v>
      </c>
      <c r="Q33" s="3">
        <v>31286297530</v>
      </c>
      <c r="R33" s="3" t="s">
        <v>395</v>
      </c>
      <c r="S33" s="3" t="s">
        <v>3817</v>
      </c>
      <c r="T33" s="3" t="s">
        <v>406</v>
      </c>
      <c r="U33" s="3" t="s">
        <v>397</v>
      </c>
      <c r="V33" s="3" t="s">
        <v>3677</v>
      </c>
      <c r="W33" s="3" t="s">
        <v>398</v>
      </c>
      <c r="X33" s="3" t="s">
        <v>134</v>
      </c>
      <c r="Y33" s="3" t="s">
        <v>399</v>
      </c>
      <c r="Z33" s="3" t="s">
        <v>3678</v>
      </c>
      <c r="AA33" s="39">
        <v>45951</v>
      </c>
      <c r="AB33" s="3" t="s">
        <v>181</v>
      </c>
      <c r="AC33" s="3" t="s">
        <v>3678</v>
      </c>
      <c r="AD33" s="29">
        <v>45974</v>
      </c>
      <c r="AE33" s="3">
        <v>1000000</v>
      </c>
      <c r="AF33" s="3">
        <v>600000</v>
      </c>
      <c r="AG33" s="3">
        <v>400000</v>
      </c>
      <c r="AH33" s="3">
        <v>400000</v>
      </c>
      <c r="AI33" s="29">
        <v>45974</v>
      </c>
      <c r="AJ33" s="3">
        <v>0</v>
      </c>
      <c r="AK33" s="29">
        <v>45973</v>
      </c>
      <c r="AL33" s="3">
        <v>400000</v>
      </c>
    </row>
    <row r="34" spans="1:38" x14ac:dyDescent="0.3">
      <c r="A34" s="28" t="s">
        <v>420</v>
      </c>
      <c r="B34" s="3">
        <v>2025</v>
      </c>
      <c r="C34" s="3" t="s">
        <v>3535</v>
      </c>
      <c r="D34" s="3" t="s">
        <v>71</v>
      </c>
      <c r="E34" s="3" t="s">
        <v>3541</v>
      </c>
      <c r="F34" s="38" t="s">
        <v>3853</v>
      </c>
      <c r="G34" s="12">
        <v>32</v>
      </c>
      <c r="H34" s="12" t="s">
        <v>382</v>
      </c>
      <c r="I34" s="29">
        <v>45922</v>
      </c>
      <c r="J34" s="29">
        <v>45922</v>
      </c>
      <c r="K34" s="3" t="s">
        <v>45</v>
      </c>
      <c r="L34" s="3" t="s">
        <v>46</v>
      </c>
      <c r="M34" s="3" t="s">
        <v>42</v>
      </c>
      <c r="N34" s="3" t="s">
        <v>424</v>
      </c>
      <c r="O34" s="3">
        <v>6</v>
      </c>
      <c r="P34" s="3">
        <v>4178133090</v>
      </c>
      <c r="Q34" s="3" t="s">
        <v>3679</v>
      </c>
      <c r="R34" s="3" t="s">
        <v>425</v>
      </c>
      <c r="S34" s="3" t="s">
        <v>3817</v>
      </c>
      <c r="T34" s="3" t="s">
        <v>426</v>
      </c>
      <c r="U34" s="3" t="s">
        <v>427</v>
      </c>
      <c r="V34" s="3" t="s">
        <v>3680</v>
      </c>
      <c r="W34" s="3" t="s">
        <v>428</v>
      </c>
      <c r="X34" s="3" t="s">
        <v>123</v>
      </c>
      <c r="Y34" s="3" t="s">
        <v>429</v>
      </c>
      <c r="Z34" s="3" t="s">
        <v>430</v>
      </c>
      <c r="AA34" s="39">
        <v>45951</v>
      </c>
      <c r="AB34" s="3" t="s">
        <v>46</v>
      </c>
      <c r="AC34" s="3" t="s">
        <v>430</v>
      </c>
      <c r="AD34" s="29">
        <v>45951</v>
      </c>
      <c r="AE34" s="3">
        <v>1000000</v>
      </c>
      <c r="AF34" s="3">
        <v>600000</v>
      </c>
      <c r="AG34" s="3">
        <v>400000</v>
      </c>
      <c r="AH34" s="3">
        <v>1000000</v>
      </c>
      <c r="AI34" s="29">
        <v>45951</v>
      </c>
      <c r="AJ34" s="3">
        <v>600000</v>
      </c>
      <c r="AK34" s="29">
        <v>45973</v>
      </c>
      <c r="AL34" s="3">
        <v>400000</v>
      </c>
    </row>
    <row r="35" spans="1:38" x14ac:dyDescent="0.3">
      <c r="A35" s="28" t="s">
        <v>716</v>
      </c>
      <c r="B35" s="3">
        <v>2025</v>
      </c>
      <c r="C35" s="3" t="s">
        <v>3535</v>
      </c>
      <c r="D35" s="3" t="s">
        <v>71</v>
      </c>
      <c r="E35" s="3" t="s">
        <v>3541</v>
      </c>
      <c r="F35" s="38" t="s">
        <v>3854</v>
      </c>
      <c r="G35" s="12">
        <v>33</v>
      </c>
      <c r="H35" s="12" t="s">
        <v>393</v>
      </c>
      <c r="I35" s="29">
        <v>45923</v>
      </c>
      <c r="J35" s="29">
        <v>45923</v>
      </c>
      <c r="K35" s="3" t="s">
        <v>45</v>
      </c>
      <c r="L35" s="3" t="s">
        <v>3681</v>
      </c>
      <c r="M35" s="3" t="s">
        <v>613</v>
      </c>
      <c r="N35" s="3" t="s">
        <v>720</v>
      </c>
      <c r="O35" s="3">
        <v>260</v>
      </c>
      <c r="P35" s="3">
        <v>1378210048</v>
      </c>
      <c r="Q35" s="3" t="s">
        <v>3682</v>
      </c>
      <c r="R35" s="3" t="s">
        <v>721</v>
      </c>
      <c r="S35" s="3" t="s">
        <v>3818</v>
      </c>
      <c r="T35" s="3" t="s">
        <v>722</v>
      </c>
      <c r="U35" s="3" t="s">
        <v>723</v>
      </c>
      <c r="V35" s="3" t="s">
        <v>3683</v>
      </c>
      <c r="W35" s="3" t="s">
        <v>724</v>
      </c>
      <c r="X35" s="3" t="s">
        <v>442</v>
      </c>
      <c r="Y35" s="3" t="s">
        <v>725</v>
      </c>
      <c r="Z35" s="3" t="s">
        <v>726</v>
      </c>
      <c r="AA35" s="39">
        <v>45952</v>
      </c>
      <c r="AB35" s="3" t="s">
        <v>73</v>
      </c>
      <c r="AC35" s="3">
        <v>0</v>
      </c>
      <c r="AD35" s="29">
        <v>45960</v>
      </c>
      <c r="AE35" s="3">
        <v>9700000</v>
      </c>
      <c r="AF35" s="3">
        <v>9700000</v>
      </c>
      <c r="AG35" s="3">
        <v>0</v>
      </c>
      <c r="AH35" s="3">
        <v>9700000</v>
      </c>
      <c r="AI35" s="29">
        <v>45960</v>
      </c>
      <c r="AJ35" s="3">
        <v>9700000</v>
      </c>
      <c r="AK35" s="29" t="s">
        <v>56</v>
      </c>
      <c r="AL35" s="3">
        <v>0</v>
      </c>
    </row>
    <row r="36" spans="1:38" x14ac:dyDescent="0.3">
      <c r="A36" s="28" t="s">
        <v>3684</v>
      </c>
      <c r="B36" s="3">
        <v>2025</v>
      </c>
      <c r="C36" s="3" t="s">
        <v>3535</v>
      </c>
      <c r="D36" s="3" t="s">
        <v>2953</v>
      </c>
      <c r="E36" s="3" t="s">
        <v>3541</v>
      </c>
      <c r="F36" s="38" t="s">
        <v>3855</v>
      </c>
      <c r="G36" s="12">
        <v>34</v>
      </c>
      <c r="H36" s="12" t="s">
        <v>393</v>
      </c>
      <c r="I36" s="29">
        <v>45923</v>
      </c>
      <c r="J36" s="29">
        <v>45923</v>
      </c>
      <c r="K36" s="3" t="s">
        <v>45</v>
      </c>
      <c r="L36" s="3" t="s">
        <v>61</v>
      </c>
      <c r="M36" s="3" t="s">
        <v>42</v>
      </c>
      <c r="N36" s="3" t="s">
        <v>3685</v>
      </c>
      <c r="O36" s="3">
        <v>4</v>
      </c>
      <c r="P36" s="3">
        <v>3128154505</v>
      </c>
      <c r="Q36" s="3">
        <v>31281545056</v>
      </c>
      <c r="R36" s="3" t="s">
        <v>3686</v>
      </c>
      <c r="S36" s="3" t="s">
        <v>3817</v>
      </c>
      <c r="T36" s="3" t="s">
        <v>3687</v>
      </c>
      <c r="W36" s="3" t="s">
        <v>3688</v>
      </c>
      <c r="Y36" s="3" t="s">
        <v>3689</v>
      </c>
      <c r="Z36" s="3" t="s">
        <v>3690</v>
      </c>
      <c r="AA36" s="39">
        <v>45951</v>
      </c>
      <c r="AB36" s="3" t="s">
        <v>61</v>
      </c>
      <c r="AC36" s="3" t="s">
        <v>3691</v>
      </c>
      <c r="AD36" s="29" t="s">
        <v>69</v>
      </c>
      <c r="AE36" s="3">
        <v>1000000</v>
      </c>
      <c r="AF36" s="3">
        <v>0</v>
      </c>
      <c r="AG36" s="3">
        <v>1000000</v>
      </c>
      <c r="AH36" s="3">
        <v>1000000</v>
      </c>
      <c r="AI36" s="29" t="s">
        <v>69</v>
      </c>
      <c r="AJ36" s="3">
        <v>0</v>
      </c>
      <c r="AK36" s="29">
        <v>45973</v>
      </c>
      <c r="AL36" s="3">
        <v>1000000</v>
      </c>
    </row>
    <row r="37" spans="1:38" x14ac:dyDescent="0.3">
      <c r="A37" s="28" t="s">
        <v>3692</v>
      </c>
      <c r="B37" s="3">
        <v>2025</v>
      </c>
      <c r="C37" s="3" t="s">
        <v>3535</v>
      </c>
      <c r="E37" s="3" t="s">
        <v>3541</v>
      </c>
      <c r="F37" s="38" t="s">
        <v>3856</v>
      </c>
      <c r="G37" s="12">
        <v>35</v>
      </c>
      <c r="H37" s="12" t="s">
        <v>404</v>
      </c>
      <c r="I37" s="29">
        <v>45925</v>
      </c>
      <c r="J37" s="29">
        <v>45925</v>
      </c>
      <c r="K37" s="3" t="s">
        <v>45</v>
      </c>
      <c r="L37" s="3" t="s">
        <v>181</v>
      </c>
      <c r="M37" s="3" t="s">
        <v>84</v>
      </c>
      <c r="N37" s="3" t="s">
        <v>3693</v>
      </c>
      <c r="O37" s="3">
        <v>10</v>
      </c>
      <c r="P37" s="3">
        <v>4588602308</v>
      </c>
      <c r="Q37" s="3" t="s">
        <v>3694</v>
      </c>
      <c r="R37" s="3" t="s">
        <v>3695</v>
      </c>
      <c r="S37" s="3" t="s">
        <v>3817</v>
      </c>
      <c r="T37" s="3" t="s">
        <v>3696</v>
      </c>
      <c r="U37" s="3" t="s">
        <v>3697</v>
      </c>
      <c r="V37" s="3" t="s">
        <v>3698</v>
      </c>
      <c r="W37" s="3" t="s">
        <v>3699</v>
      </c>
      <c r="Y37" s="3" t="s">
        <v>3700</v>
      </c>
      <c r="Z37" s="3" t="s">
        <v>3701</v>
      </c>
      <c r="AA37" s="39">
        <v>45951</v>
      </c>
      <c r="AB37" s="3" t="s">
        <v>181</v>
      </c>
      <c r="AC37" s="3" t="s">
        <v>3701</v>
      </c>
      <c r="AD37" s="29">
        <v>45974</v>
      </c>
      <c r="AE37" s="3">
        <v>700000</v>
      </c>
      <c r="AF37" s="3">
        <v>300000</v>
      </c>
      <c r="AG37" s="3">
        <v>400000</v>
      </c>
      <c r="AH37" s="3">
        <v>700000</v>
      </c>
      <c r="AI37" s="29">
        <v>45974</v>
      </c>
      <c r="AJ37" s="3">
        <v>300000</v>
      </c>
      <c r="AK37" s="29">
        <v>45973</v>
      </c>
      <c r="AL37" s="3">
        <v>400000</v>
      </c>
    </row>
    <row r="38" spans="1:38" x14ac:dyDescent="0.3">
      <c r="A38" s="28" t="s">
        <v>3702</v>
      </c>
      <c r="B38" s="3">
        <v>2025</v>
      </c>
      <c r="C38" s="3" t="s">
        <v>3535</v>
      </c>
      <c r="E38" s="3" t="s">
        <v>3541</v>
      </c>
      <c r="F38" s="38" t="s">
        <v>3857</v>
      </c>
      <c r="G38" s="12">
        <v>36</v>
      </c>
      <c r="H38" s="12" t="s">
        <v>410</v>
      </c>
      <c r="I38" s="29">
        <v>45925</v>
      </c>
      <c r="J38" s="29">
        <v>45925</v>
      </c>
      <c r="K38" s="3" t="s">
        <v>45</v>
      </c>
      <c r="L38" s="3" t="s">
        <v>46</v>
      </c>
      <c r="M38" s="3" t="s">
        <v>42</v>
      </c>
      <c r="N38" s="3" t="s">
        <v>3703</v>
      </c>
      <c r="O38" s="3">
        <v>30</v>
      </c>
      <c r="P38" s="3">
        <v>1078809580</v>
      </c>
      <c r="Q38" s="3" t="s">
        <v>3704</v>
      </c>
      <c r="R38" s="3" t="s">
        <v>3705</v>
      </c>
      <c r="S38" s="3" t="s">
        <v>3817</v>
      </c>
      <c r="T38" s="3" t="s">
        <v>3706</v>
      </c>
      <c r="U38" s="3" t="s">
        <v>3707</v>
      </c>
      <c r="V38" s="3" t="s">
        <v>3708</v>
      </c>
      <c r="W38" s="3" t="s">
        <v>3709</v>
      </c>
      <c r="X38" s="3" t="s">
        <v>1388</v>
      </c>
      <c r="Y38" s="3" t="s">
        <v>3710</v>
      </c>
      <c r="Z38" s="3" t="s">
        <v>3711</v>
      </c>
      <c r="AA38" s="39">
        <v>45954</v>
      </c>
      <c r="AB38" s="3" t="s">
        <v>46</v>
      </c>
      <c r="AC38" s="3" t="s">
        <v>3711</v>
      </c>
      <c r="AD38" s="29">
        <v>45954</v>
      </c>
      <c r="AE38" s="3">
        <v>600000</v>
      </c>
      <c r="AF38" s="3">
        <v>200000</v>
      </c>
      <c r="AG38" s="3">
        <v>400000</v>
      </c>
      <c r="AH38" s="3">
        <v>600000</v>
      </c>
      <c r="AI38" s="29">
        <v>45954</v>
      </c>
      <c r="AJ38" s="3">
        <v>200000</v>
      </c>
      <c r="AK38" s="29">
        <v>45973</v>
      </c>
      <c r="AL38" s="3">
        <v>400000</v>
      </c>
    </row>
    <row r="39" spans="1:38" x14ac:dyDescent="0.3">
      <c r="A39" s="28" t="s">
        <v>745</v>
      </c>
      <c r="B39" s="3">
        <v>2025</v>
      </c>
      <c r="C39" s="3" t="s">
        <v>3535</v>
      </c>
      <c r="D39" s="3" t="s">
        <v>71</v>
      </c>
      <c r="E39" s="3" t="s">
        <v>3541</v>
      </c>
      <c r="F39" s="38" t="s">
        <v>3858</v>
      </c>
      <c r="G39" s="12">
        <v>37</v>
      </c>
      <c r="H39" s="12" t="s">
        <v>423</v>
      </c>
      <c r="I39" s="29">
        <v>45926</v>
      </c>
      <c r="J39" s="29">
        <v>45926</v>
      </c>
      <c r="K39" s="3" t="s">
        <v>45</v>
      </c>
      <c r="L39" s="3" t="s">
        <v>3712</v>
      </c>
      <c r="M39" s="3" t="s">
        <v>436</v>
      </c>
      <c r="N39" s="3" t="s">
        <v>748</v>
      </c>
      <c r="O39" s="3">
        <v>317</v>
      </c>
      <c r="P39" s="3">
        <v>1248301711</v>
      </c>
      <c r="Q39" s="3" t="s">
        <v>3713</v>
      </c>
      <c r="R39" s="3" t="s">
        <v>749</v>
      </c>
      <c r="S39" s="3" t="s">
        <v>3818</v>
      </c>
      <c r="T39" s="3" t="s">
        <v>750</v>
      </c>
      <c r="U39" s="3" t="s">
        <v>751</v>
      </c>
      <c r="V39" s="3" t="s">
        <v>3714</v>
      </c>
      <c r="W39" s="3" t="s">
        <v>752</v>
      </c>
      <c r="X39" s="3" t="s">
        <v>442</v>
      </c>
      <c r="Y39" s="3" t="s">
        <v>753</v>
      </c>
      <c r="Z39" s="3" t="s">
        <v>754</v>
      </c>
      <c r="AA39" s="39">
        <v>45952</v>
      </c>
      <c r="AB39" s="3" t="s">
        <v>73</v>
      </c>
      <c r="AC39" s="3" t="s">
        <v>755</v>
      </c>
      <c r="AD39" s="29">
        <v>45980</v>
      </c>
      <c r="AE39" s="3">
        <v>4700000</v>
      </c>
      <c r="AF39" s="3">
        <v>4700000</v>
      </c>
      <c r="AG39" s="3">
        <v>0</v>
      </c>
      <c r="AH39" s="3">
        <v>4700000</v>
      </c>
      <c r="AI39" s="29">
        <v>45980</v>
      </c>
      <c r="AJ39" s="3">
        <v>4700000</v>
      </c>
      <c r="AK39" s="29" t="s">
        <v>56</v>
      </c>
      <c r="AL39" s="3">
        <v>0</v>
      </c>
    </row>
    <row r="40" spans="1:38" x14ac:dyDescent="0.3">
      <c r="A40" s="28" t="s">
        <v>3715</v>
      </c>
      <c r="B40" s="3">
        <v>2025</v>
      </c>
      <c r="C40" s="3" t="s">
        <v>3535</v>
      </c>
      <c r="D40" s="3" t="s">
        <v>3428</v>
      </c>
      <c r="E40" s="3" t="s">
        <v>3541</v>
      </c>
      <c r="F40" s="38" t="s">
        <v>3859</v>
      </c>
      <c r="G40" s="12">
        <v>38</v>
      </c>
      <c r="H40" s="12" t="s">
        <v>434</v>
      </c>
      <c r="I40" s="29">
        <v>45930</v>
      </c>
      <c r="J40" s="29">
        <v>45930</v>
      </c>
      <c r="K40" s="3" t="s">
        <v>45</v>
      </c>
      <c r="L40" s="3" t="s">
        <v>73</v>
      </c>
      <c r="M40" s="3" t="s">
        <v>42</v>
      </c>
      <c r="N40" s="3" t="s">
        <v>3716</v>
      </c>
      <c r="O40" s="3">
        <v>15</v>
      </c>
      <c r="P40" s="3">
        <v>5678701631</v>
      </c>
      <c r="Q40" s="3">
        <v>92540861161</v>
      </c>
      <c r="R40" s="3" t="s">
        <v>3717</v>
      </c>
      <c r="S40" s="3" t="s">
        <v>3817</v>
      </c>
      <c r="T40" s="3" t="s">
        <v>3718</v>
      </c>
      <c r="U40" s="3" t="s">
        <v>3719</v>
      </c>
      <c r="V40" s="3" t="s">
        <v>3720</v>
      </c>
      <c r="W40" s="3" t="s">
        <v>3721</v>
      </c>
      <c r="X40" s="3" t="s">
        <v>168</v>
      </c>
      <c r="Y40" s="3" t="s">
        <v>3722</v>
      </c>
      <c r="Z40" s="3" t="s">
        <v>3723</v>
      </c>
      <c r="AA40" s="39">
        <v>45954</v>
      </c>
      <c r="AB40" s="3" t="s">
        <v>73</v>
      </c>
      <c r="AC40" s="3">
        <v>0</v>
      </c>
      <c r="AD40" s="29">
        <v>45954</v>
      </c>
      <c r="AE40" s="3">
        <v>2300000</v>
      </c>
      <c r="AF40" s="3">
        <v>1300000</v>
      </c>
      <c r="AG40" s="3">
        <v>1000000</v>
      </c>
      <c r="AH40" s="3">
        <v>2300000</v>
      </c>
      <c r="AI40" s="29">
        <v>45954</v>
      </c>
      <c r="AJ40" s="3">
        <v>1300000</v>
      </c>
      <c r="AK40" s="29">
        <v>45973</v>
      </c>
      <c r="AL40" s="3">
        <v>1000000</v>
      </c>
    </row>
    <row r="41" spans="1:38" x14ac:dyDescent="0.3">
      <c r="A41" s="28" t="s">
        <v>897</v>
      </c>
      <c r="B41" s="3">
        <v>2025</v>
      </c>
      <c r="C41" s="3" t="s">
        <v>3535</v>
      </c>
      <c r="D41" s="3" t="s">
        <v>71</v>
      </c>
      <c r="E41" s="3" t="s">
        <v>3541</v>
      </c>
      <c r="F41" s="38" t="s">
        <v>3860</v>
      </c>
      <c r="G41" s="12">
        <v>39</v>
      </c>
      <c r="H41" s="12" t="s">
        <v>434</v>
      </c>
      <c r="I41" s="29">
        <v>45944</v>
      </c>
      <c r="J41" s="29">
        <v>45944</v>
      </c>
      <c r="K41" s="3" t="s">
        <v>45</v>
      </c>
      <c r="L41" s="3" t="s">
        <v>181</v>
      </c>
      <c r="M41" s="3" t="s">
        <v>42</v>
      </c>
      <c r="N41" s="3" t="s">
        <v>899</v>
      </c>
      <c r="O41" s="3">
        <v>2</v>
      </c>
      <c r="P41" s="3">
        <v>4170172413</v>
      </c>
      <c r="Q41" s="3" t="s">
        <v>3724</v>
      </c>
      <c r="R41" s="3" t="s">
        <v>903</v>
      </c>
      <c r="S41" s="3" t="s">
        <v>3817</v>
      </c>
      <c r="T41" s="3" t="s">
        <v>901</v>
      </c>
      <c r="U41" s="3" t="s">
        <v>902</v>
      </c>
      <c r="V41" s="3" t="s">
        <v>3725</v>
      </c>
      <c r="W41" s="3" t="s">
        <v>903</v>
      </c>
      <c r="X41" s="3" t="s">
        <v>78</v>
      </c>
      <c r="Y41" s="3" t="s">
        <v>904</v>
      </c>
      <c r="Z41" s="3" t="s">
        <v>905</v>
      </c>
      <c r="AA41" s="39">
        <v>45966</v>
      </c>
      <c r="AB41" s="3" t="s">
        <v>181</v>
      </c>
      <c r="AC41" s="3" t="s">
        <v>905</v>
      </c>
      <c r="AD41" s="29" t="s">
        <v>69</v>
      </c>
      <c r="AE41" s="3">
        <v>400000</v>
      </c>
      <c r="AF41" s="3">
        <v>0</v>
      </c>
      <c r="AG41" s="3">
        <v>400000</v>
      </c>
      <c r="AH41" s="3">
        <v>400000</v>
      </c>
      <c r="AI41" s="29" t="s">
        <v>69</v>
      </c>
      <c r="AJ41" s="3">
        <v>0</v>
      </c>
      <c r="AK41" s="29">
        <v>45986</v>
      </c>
      <c r="AL41" s="3">
        <v>400000</v>
      </c>
    </row>
    <row r="42" spans="1:38" x14ac:dyDescent="0.3">
      <c r="A42" s="28" t="s">
        <v>949</v>
      </c>
      <c r="B42" s="3">
        <v>2025</v>
      </c>
      <c r="C42" s="3" t="s">
        <v>3535</v>
      </c>
      <c r="D42" s="3" t="s">
        <v>71</v>
      </c>
      <c r="E42" s="3" t="s">
        <v>3541</v>
      </c>
      <c r="F42" s="38" t="s">
        <v>3861</v>
      </c>
      <c r="G42" s="12">
        <v>40</v>
      </c>
      <c r="H42" s="12" t="s">
        <v>455</v>
      </c>
      <c r="I42" s="29">
        <v>45944</v>
      </c>
      <c r="J42" s="29">
        <v>45944</v>
      </c>
      <c r="K42" s="3" t="s">
        <v>45</v>
      </c>
      <c r="L42" s="3" t="s">
        <v>218</v>
      </c>
      <c r="M42" s="3" t="s">
        <v>42</v>
      </c>
      <c r="N42" s="3" t="s">
        <v>952</v>
      </c>
      <c r="O42" s="3">
        <v>25</v>
      </c>
      <c r="P42" s="3">
        <v>5454000396</v>
      </c>
      <c r="Q42" s="3">
        <v>54540003960</v>
      </c>
      <c r="R42" s="3" t="s">
        <v>953</v>
      </c>
      <c r="S42" s="3" t="s">
        <v>3817</v>
      </c>
      <c r="T42" s="3" t="s">
        <v>954</v>
      </c>
      <c r="U42" s="3" t="s">
        <v>955</v>
      </c>
      <c r="V42" s="3" t="s">
        <v>3726</v>
      </c>
      <c r="W42" s="3" t="s">
        <v>956</v>
      </c>
      <c r="X42" s="3" t="s">
        <v>321</v>
      </c>
      <c r="Y42" s="3" t="s">
        <v>957</v>
      </c>
      <c r="Z42" s="3" t="s">
        <v>958</v>
      </c>
      <c r="AA42" s="39">
        <v>45973</v>
      </c>
      <c r="AB42" s="3" t="s">
        <v>218</v>
      </c>
      <c r="AC42" s="3" t="s">
        <v>958</v>
      </c>
      <c r="AD42" s="29">
        <v>45994</v>
      </c>
      <c r="AE42" s="3">
        <v>600000</v>
      </c>
      <c r="AF42" s="3">
        <v>200000</v>
      </c>
      <c r="AG42" s="3">
        <v>400000</v>
      </c>
      <c r="AH42" s="3">
        <v>600000</v>
      </c>
      <c r="AI42" s="29">
        <v>45994</v>
      </c>
      <c r="AJ42" s="3">
        <v>200000</v>
      </c>
      <c r="AK42" s="29">
        <v>45986</v>
      </c>
      <c r="AL42" s="3">
        <v>400000</v>
      </c>
    </row>
    <row r="43" spans="1:38" x14ac:dyDescent="0.3">
      <c r="A43" s="28" t="s">
        <v>609</v>
      </c>
      <c r="B43" s="3">
        <v>2025</v>
      </c>
      <c r="C43" s="3" t="s">
        <v>3535</v>
      </c>
      <c r="D43" s="3" t="s">
        <v>71</v>
      </c>
      <c r="E43" s="3" t="s">
        <v>3541</v>
      </c>
      <c r="F43" s="38" t="s">
        <v>3862</v>
      </c>
      <c r="G43" s="12">
        <v>41</v>
      </c>
      <c r="H43" s="12" t="s">
        <v>466</v>
      </c>
      <c r="I43" s="29">
        <v>45945</v>
      </c>
      <c r="J43" s="29">
        <v>45945</v>
      </c>
      <c r="K43" s="3" t="s">
        <v>45</v>
      </c>
      <c r="L43" s="3" t="s">
        <v>919</v>
      </c>
      <c r="M43" s="3" t="s">
        <v>613</v>
      </c>
      <c r="N43" s="3" t="s">
        <v>614</v>
      </c>
      <c r="O43" s="3">
        <v>580</v>
      </c>
      <c r="P43" s="3">
        <v>3108201751</v>
      </c>
      <c r="Q43" s="3" t="s">
        <v>3727</v>
      </c>
      <c r="R43" s="3" t="s">
        <v>615</v>
      </c>
      <c r="S43" s="3" t="s">
        <v>3818</v>
      </c>
      <c r="T43" s="3" t="s">
        <v>616</v>
      </c>
      <c r="U43" s="3" t="s">
        <v>617</v>
      </c>
      <c r="V43" s="3" t="s">
        <v>3728</v>
      </c>
      <c r="W43" s="3" t="s">
        <v>618</v>
      </c>
      <c r="X43" s="3" t="s">
        <v>442</v>
      </c>
      <c r="Y43" s="3" t="s">
        <v>619</v>
      </c>
      <c r="Z43" s="3" t="s">
        <v>620</v>
      </c>
      <c r="AA43" s="39">
        <v>45971</v>
      </c>
      <c r="AB43" s="3" t="s">
        <v>46</v>
      </c>
      <c r="AC43" s="3" t="s">
        <v>621</v>
      </c>
      <c r="AD43" s="29">
        <v>45972</v>
      </c>
      <c r="AE43" s="3">
        <v>1700000</v>
      </c>
      <c r="AF43" s="3">
        <v>1700000</v>
      </c>
      <c r="AG43" s="3">
        <v>0</v>
      </c>
      <c r="AH43" s="3">
        <v>1700000</v>
      </c>
      <c r="AI43" s="29">
        <v>45972</v>
      </c>
      <c r="AJ43" s="3">
        <v>1700000</v>
      </c>
      <c r="AK43" s="29" t="s">
        <v>56</v>
      </c>
      <c r="AL43" s="3">
        <v>0</v>
      </c>
    </row>
    <row r="44" spans="1:38" x14ac:dyDescent="0.3">
      <c r="A44" s="28" t="s">
        <v>959</v>
      </c>
      <c r="B44" s="3">
        <v>2025</v>
      </c>
      <c r="C44" s="3" t="s">
        <v>3535</v>
      </c>
      <c r="D44" s="3" t="s">
        <v>2901</v>
      </c>
      <c r="E44" s="3" t="s">
        <v>3541</v>
      </c>
      <c r="F44" s="38" t="s">
        <v>3863</v>
      </c>
      <c r="G44" s="12">
        <v>42</v>
      </c>
      <c r="H44" s="12" t="s">
        <v>476</v>
      </c>
      <c r="I44" s="29">
        <v>45946</v>
      </c>
      <c r="J44" s="29">
        <v>45946</v>
      </c>
      <c r="K44" s="3" t="s">
        <v>45</v>
      </c>
      <c r="L44" s="3" t="s">
        <v>798</v>
      </c>
      <c r="M44" s="3" t="s">
        <v>613</v>
      </c>
      <c r="N44" s="3" t="s">
        <v>963</v>
      </c>
      <c r="O44" s="3">
        <v>46</v>
      </c>
      <c r="P44" s="3">
        <v>3108129427</v>
      </c>
      <c r="Q44" s="3">
        <v>31081294270</v>
      </c>
      <c r="R44" s="3" t="s">
        <v>964</v>
      </c>
      <c r="S44" s="3" t="s">
        <v>3817</v>
      </c>
      <c r="T44" s="3" t="s">
        <v>965</v>
      </c>
      <c r="U44" s="3" t="s">
        <v>966</v>
      </c>
      <c r="V44" s="3" t="s">
        <v>3729</v>
      </c>
      <c r="W44" s="3" t="s">
        <v>967</v>
      </c>
      <c r="X44" s="3" t="s">
        <v>968</v>
      </c>
      <c r="Y44" s="3" t="s">
        <v>969</v>
      </c>
      <c r="Z44" s="3" t="s">
        <v>970</v>
      </c>
      <c r="AA44" s="39">
        <v>45973</v>
      </c>
      <c r="AB44" s="3" t="s">
        <v>61</v>
      </c>
      <c r="AC44" s="3" t="s">
        <v>971</v>
      </c>
      <c r="AD44" s="29">
        <v>45973</v>
      </c>
      <c r="AE44" s="3">
        <v>2700000</v>
      </c>
      <c r="AF44" s="3">
        <v>2300000</v>
      </c>
      <c r="AG44" s="3">
        <v>400000</v>
      </c>
      <c r="AH44" s="3">
        <v>2700000</v>
      </c>
      <c r="AI44" s="29">
        <v>45973</v>
      </c>
      <c r="AJ44" s="3">
        <v>2300000</v>
      </c>
      <c r="AK44" s="29">
        <v>46009</v>
      </c>
      <c r="AL44" s="3">
        <v>400000</v>
      </c>
    </row>
    <row r="45" spans="1:38" x14ac:dyDescent="0.3">
      <c r="A45" s="28" t="s">
        <v>662</v>
      </c>
      <c r="B45" s="3">
        <v>2025</v>
      </c>
      <c r="C45" s="3" t="s">
        <v>3535</v>
      </c>
      <c r="D45" s="3" t="s">
        <v>71</v>
      </c>
      <c r="E45" s="3" t="s">
        <v>3541</v>
      </c>
      <c r="F45" s="38" t="s">
        <v>3864</v>
      </c>
      <c r="G45" s="12">
        <v>43</v>
      </c>
      <c r="H45" s="12" t="s">
        <v>486</v>
      </c>
      <c r="I45" s="29">
        <v>45946</v>
      </c>
      <c r="J45" s="29">
        <v>45946</v>
      </c>
      <c r="K45" s="3" t="s">
        <v>45</v>
      </c>
      <c r="L45" s="3" t="s">
        <v>181</v>
      </c>
      <c r="M45" s="3" t="s">
        <v>42</v>
      </c>
      <c r="N45" s="3" t="s">
        <v>665</v>
      </c>
      <c r="O45" s="3">
        <v>13</v>
      </c>
      <c r="P45" s="3">
        <v>3122431299</v>
      </c>
      <c r="Q45" s="3" t="s">
        <v>3730</v>
      </c>
      <c r="R45" s="3" t="s">
        <v>666</v>
      </c>
      <c r="S45" s="3" t="s">
        <v>3817</v>
      </c>
      <c r="T45" s="3" t="s">
        <v>667</v>
      </c>
      <c r="U45" s="3" t="s">
        <v>668</v>
      </c>
      <c r="V45" s="3" t="s">
        <v>3731</v>
      </c>
      <c r="W45" s="3" t="s">
        <v>669</v>
      </c>
      <c r="X45" s="3" t="s">
        <v>321</v>
      </c>
      <c r="Y45" s="3" t="s">
        <v>670</v>
      </c>
      <c r="Z45" s="3" t="s">
        <v>671</v>
      </c>
      <c r="AA45" s="39">
        <v>45966</v>
      </c>
      <c r="AB45" s="3" t="s">
        <v>181</v>
      </c>
      <c r="AC45" s="3" t="s">
        <v>3732</v>
      </c>
      <c r="AD45" s="29">
        <v>45974</v>
      </c>
      <c r="AE45" s="3">
        <v>600000</v>
      </c>
      <c r="AF45" s="3">
        <v>200000</v>
      </c>
      <c r="AG45" s="3">
        <v>400000</v>
      </c>
      <c r="AH45" s="3">
        <v>600000</v>
      </c>
      <c r="AI45" s="29">
        <v>45974</v>
      </c>
      <c r="AJ45" s="3">
        <v>200000</v>
      </c>
      <c r="AK45" s="29">
        <v>45986</v>
      </c>
      <c r="AL45" s="3">
        <v>400000</v>
      </c>
    </row>
    <row r="46" spans="1:38" x14ac:dyDescent="0.3">
      <c r="A46" s="28" t="s">
        <v>3733</v>
      </c>
      <c r="B46" s="3">
        <v>2025</v>
      </c>
      <c r="C46" s="3" t="s">
        <v>3535</v>
      </c>
      <c r="D46" s="3" t="s">
        <v>2953</v>
      </c>
      <c r="E46" s="3" t="s">
        <v>3541</v>
      </c>
      <c r="F46" s="38" t="s">
        <v>3865</v>
      </c>
      <c r="G46" s="12">
        <v>44</v>
      </c>
      <c r="H46" s="12" t="s">
        <v>498</v>
      </c>
      <c r="I46" s="29">
        <v>45947</v>
      </c>
      <c r="J46" s="29">
        <v>45947</v>
      </c>
      <c r="K46" s="3" t="s">
        <v>45</v>
      </c>
      <c r="L46" s="3" t="s">
        <v>61</v>
      </c>
      <c r="M46" s="3" t="s">
        <v>42</v>
      </c>
      <c r="N46" s="3" t="s">
        <v>3734</v>
      </c>
      <c r="O46" s="3">
        <v>25</v>
      </c>
      <c r="P46" s="3">
        <v>2048171256</v>
      </c>
      <c r="Q46" s="3">
        <v>91201346717</v>
      </c>
      <c r="R46" s="3" t="s">
        <v>3055</v>
      </c>
      <c r="S46" s="3" t="s">
        <v>3817</v>
      </c>
      <c r="T46" s="3" t="s">
        <v>3735</v>
      </c>
      <c r="W46" s="3" t="s">
        <v>3736</v>
      </c>
      <c r="X46" s="3" t="s">
        <v>2798</v>
      </c>
      <c r="Y46" s="3" t="s">
        <v>3737</v>
      </c>
      <c r="Z46" s="3" t="s">
        <v>3738</v>
      </c>
      <c r="AA46" s="39">
        <v>45973</v>
      </c>
      <c r="AB46" s="3" t="s">
        <v>61</v>
      </c>
      <c r="AC46" s="3" t="s">
        <v>3059</v>
      </c>
      <c r="AD46" s="29">
        <v>45974</v>
      </c>
      <c r="AE46" s="3">
        <v>1500000</v>
      </c>
      <c r="AF46" s="3">
        <v>500000</v>
      </c>
      <c r="AG46" s="3">
        <v>1000000</v>
      </c>
      <c r="AH46" s="3">
        <v>1500000</v>
      </c>
      <c r="AI46" s="29">
        <v>45974</v>
      </c>
      <c r="AJ46" s="3">
        <v>500000</v>
      </c>
      <c r="AK46" s="29">
        <v>45986</v>
      </c>
      <c r="AL46" s="3">
        <v>1000000</v>
      </c>
    </row>
    <row r="47" spans="1:38" x14ac:dyDescent="0.3">
      <c r="A47" s="28" t="s">
        <v>3739</v>
      </c>
      <c r="B47" s="3">
        <v>2025</v>
      </c>
      <c r="C47" s="3" t="s">
        <v>3535</v>
      </c>
      <c r="D47" s="3" t="s">
        <v>2953</v>
      </c>
      <c r="E47" s="3" t="s">
        <v>3541</v>
      </c>
      <c r="F47" s="38" t="s">
        <v>3866</v>
      </c>
      <c r="G47" s="12">
        <v>45</v>
      </c>
      <c r="H47" s="12" t="s">
        <v>506</v>
      </c>
      <c r="I47" s="29">
        <v>45947</v>
      </c>
      <c r="J47" s="29">
        <v>45947</v>
      </c>
      <c r="K47" s="3" t="s">
        <v>45</v>
      </c>
      <c r="L47" s="3" t="s">
        <v>218</v>
      </c>
      <c r="M47" s="3" t="s">
        <v>42</v>
      </c>
      <c r="N47" s="3" t="s">
        <v>3740</v>
      </c>
      <c r="O47" s="3">
        <v>13</v>
      </c>
      <c r="P47" s="3">
        <v>1358166480</v>
      </c>
      <c r="Q47" s="3">
        <v>13581664806</v>
      </c>
      <c r="R47" s="3" t="s">
        <v>3741</v>
      </c>
      <c r="S47" s="3" t="s">
        <v>3817</v>
      </c>
      <c r="T47" s="3" t="s">
        <v>3742</v>
      </c>
      <c r="W47" s="3" t="s">
        <v>3743</v>
      </c>
      <c r="X47" s="3" t="s">
        <v>89</v>
      </c>
      <c r="Y47" s="3" t="s">
        <v>3744</v>
      </c>
      <c r="Z47" s="3" t="s">
        <v>3745</v>
      </c>
      <c r="AA47" s="39">
        <v>45974</v>
      </c>
      <c r="AB47" s="3" t="s">
        <v>218</v>
      </c>
      <c r="AC47" s="3" t="s">
        <v>3746</v>
      </c>
      <c r="AD47" s="29" t="s">
        <v>69</v>
      </c>
      <c r="AE47" s="3">
        <v>765690</v>
      </c>
      <c r="AF47" s="3">
        <v>0</v>
      </c>
      <c r="AG47" s="3">
        <v>765690</v>
      </c>
      <c r="AH47" s="3">
        <v>765690</v>
      </c>
      <c r="AI47" s="29" t="s">
        <v>69</v>
      </c>
      <c r="AJ47" s="3">
        <v>0</v>
      </c>
      <c r="AK47" s="29">
        <v>45986</v>
      </c>
      <c r="AL47" s="3">
        <v>765690</v>
      </c>
    </row>
    <row r="48" spans="1:38" x14ac:dyDescent="0.3">
      <c r="A48" s="28" t="s">
        <v>3747</v>
      </c>
      <c r="B48" s="3">
        <v>2025</v>
      </c>
      <c r="C48" s="3" t="s">
        <v>3535</v>
      </c>
      <c r="D48" s="3" t="s">
        <v>2953</v>
      </c>
      <c r="E48" s="3" t="s">
        <v>3541</v>
      </c>
      <c r="F48" s="38" t="s">
        <v>3867</v>
      </c>
      <c r="G48" s="12">
        <v>46</v>
      </c>
      <c r="H48" s="12" t="s">
        <v>517</v>
      </c>
      <c r="I48" s="29">
        <v>45947</v>
      </c>
      <c r="J48" s="29">
        <v>45947</v>
      </c>
      <c r="K48" s="3" t="s">
        <v>3814</v>
      </c>
      <c r="L48" s="3" t="s">
        <v>181</v>
      </c>
      <c r="M48" s="3" t="s">
        <v>42</v>
      </c>
      <c r="N48" s="3" t="s">
        <v>3748</v>
      </c>
      <c r="O48" s="3">
        <v>34</v>
      </c>
      <c r="P48" s="3">
        <v>8038600460</v>
      </c>
      <c r="Q48" s="3">
        <v>80386004606</v>
      </c>
      <c r="R48" s="3" t="s">
        <v>3749</v>
      </c>
      <c r="S48" s="3" t="s">
        <v>3819</v>
      </c>
      <c r="T48" s="3" t="s">
        <v>3750</v>
      </c>
      <c r="W48" s="3" t="s">
        <v>3751</v>
      </c>
      <c r="X48" s="3" t="s">
        <v>638</v>
      </c>
      <c r="Y48" s="3" t="s">
        <v>3752</v>
      </c>
      <c r="Z48" s="3" t="s">
        <v>3753</v>
      </c>
      <c r="AA48" s="39">
        <v>45974</v>
      </c>
      <c r="AB48" s="3" t="s">
        <v>218</v>
      </c>
      <c r="AC48" s="3" t="s">
        <v>3754</v>
      </c>
      <c r="AD48" s="29">
        <v>45974</v>
      </c>
      <c r="AE48" s="3">
        <v>800000</v>
      </c>
      <c r="AF48" s="3">
        <v>800000</v>
      </c>
      <c r="AG48" s="3">
        <v>0</v>
      </c>
      <c r="AH48" s="3">
        <v>800000</v>
      </c>
      <c r="AI48" s="29">
        <v>45974</v>
      </c>
      <c r="AJ48" s="3">
        <v>800000</v>
      </c>
      <c r="AK48" s="29"/>
      <c r="AL48" s="3">
        <v>0</v>
      </c>
    </row>
    <row r="49" spans="1:38" x14ac:dyDescent="0.3">
      <c r="A49" s="28" t="s">
        <v>126</v>
      </c>
      <c r="B49" s="3">
        <v>2025</v>
      </c>
      <c r="C49" s="3" t="s">
        <v>3535</v>
      </c>
      <c r="D49" s="3" t="s">
        <v>2872</v>
      </c>
      <c r="E49" s="3" t="s">
        <v>3541</v>
      </c>
      <c r="F49" s="38" t="s">
        <v>3868</v>
      </c>
      <c r="G49" s="12">
        <v>47</v>
      </c>
      <c r="H49" s="12" t="s">
        <v>528</v>
      </c>
      <c r="I49" s="29">
        <v>45950</v>
      </c>
      <c r="J49" s="29">
        <v>45950</v>
      </c>
      <c r="K49" s="3" t="s">
        <v>3814</v>
      </c>
      <c r="L49" s="3" t="s">
        <v>46</v>
      </c>
      <c r="M49" s="3" t="s">
        <v>129</v>
      </c>
      <c r="N49" s="3" t="s">
        <v>130</v>
      </c>
      <c r="O49" s="3">
        <v>80</v>
      </c>
      <c r="P49" s="3">
        <v>1738600428</v>
      </c>
      <c r="Q49" s="3">
        <v>17386004286</v>
      </c>
      <c r="R49" s="3" t="s">
        <v>131</v>
      </c>
      <c r="S49" s="3" t="s">
        <v>3817</v>
      </c>
      <c r="T49" s="3" t="s">
        <v>132</v>
      </c>
      <c r="W49" s="3" t="s">
        <v>133</v>
      </c>
      <c r="X49" s="3" t="s">
        <v>134</v>
      </c>
      <c r="Y49" s="3" t="s">
        <v>135</v>
      </c>
      <c r="Z49" s="3" t="s">
        <v>136</v>
      </c>
      <c r="AA49" s="39">
        <v>45978</v>
      </c>
      <c r="AB49" s="3" t="s">
        <v>46</v>
      </c>
      <c r="AC49" s="3" t="s">
        <v>136</v>
      </c>
      <c r="AD49" s="29">
        <v>45989</v>
      </c>
      <c r="AE49" s="3">
        <v>1900000</v>
      </c>
      <c r="AF49" s="3">
        <v>1500000</v>
      </c>
      <c r="AG49" s="3">
        <v>400000</v>
      </c>
      <c r="AH49" s="3">
        <v>0</v>
      </c>
      <c r="AI49" s="29">
        <v>45989</v>
      </c>
      <c r="AJ49" s="3">
        <v>0</v>
      </c>
      <c r="AK49" s="29"/>
      <c r="AL49" s="3">
        <v>0</v>
      </c>
    </row>
    <row r="50" spans="1:38" x14ac:dyDescent="0.3">
      <c r="A50" s="28" t="s">
        <v>3755</v>
      </c>
      <c r="B50" s="3">
        <v>2025</v>
      </c>
      <c r="C50" s="3" t="s">
        <v>3535</v>
      </c>
      <c r="E50" s="3" t="s">
        <v>3541</v>
      </c>
      <c r="F50" s="38" t="s">
        <v>3869</v>
      </c>
      <c r="G50" s="12">
        <v>48</v>
      </c>
      <c r="H50" s="12" t="s">
        <v>528</v>
      </c>
      <c r="I50" s="29">
        <v>45951</v>
      </c>
      <c r="J50" s="29">
        <v>45951</v>
      </c>
      <c r="K50" s="3" t="s">
        <v>45</v>
      </c>
      <c r="L50" s="3" t="s">
        <v>181</v>
      </c>
      <c r="M50" s="3" t="s">
        <v>42</v>
      </c>
      <c r="N50" s="3" t="s">
        <v>3756</v>
      </c>
      <c r="O50" s="3">
        <v>3</v>
      </c>
      <c r="P50" s="3">
        <v>3123024260</v>
      </c>
      <c r="Q50" s="3" t="s">
        <v>3757</v>
      </c>
      <c r="R50" s="3" t="s">
        <v>3758</v>
      </c>
      <c r="S50" s="3" t="s">
        <v>3817</v>
      </c>
      <c r="T50" s="3" t="s">
        <v>3759</v>
      </c>
      <c r="U50" s="3" t="s">
        <v>3760</v>
      </c>
      <c r="V50" s="3" t="s">
        <v>3761</v>
      </c>
      <c r="W50" s="3" t="s">
        <v>3758</v>
      </c>
      <c r="X50" s="3" t="s">
        <v>78</v>
      </c>
      <c r="Z50" s="3" t="s">
        <v>3762</v>
      </c>
      <c r="AA50" s="39">
        <v>45980</v>
      </c>
      <c r="AB50" s="3" t="s">
        <v>181</v>
      </c>
      <c r="AC50" s="3" t="s">
        <v>3762</v>
      </c>
      <c r="AD50" s="29" t="s">
        <v>69</v>
      </c>
      <c r="AE50" s="3">
        <v>400000</v>
      </c>
      <c r="AF50" s="3">
        <v>0</v>
      </c>
      <c r="AG50" s="3">
        <v>400000</v>
      </c>
      <c r="AH50" s="3">
        <v>400000</v>
      </c>
      <c r="AI50" s="29" t="s">
        <v>69</v>
      </c>
      <c r="AJ50" s="3">
        <v>0</v>
      </c>
      <c r="AK50" s="29">
        <v>46006</v>
      </c>
      <c r="AL50" s="3">
        <v>400000</v>
      </c>
    </row>
    <row r="51" spans="1:38" x14ac:dyDescent="0.3">
      <c r="A51" s="28" t="s">
        <v>515</v>
      </c>
      <c r="B51" s="3">
        <v>2025</v>
      </c>
      <c r="C51" s="3" t="s">
        <v>3535</v>
      </c>
      <c r="D51" s="3" t="s">
        <v>2872</v>
      </c>
      <c r="E51" s="3" t="s">
        <v>3541</v>
      </c>
      <c r="F51" s="38" t="s">
        <v>3870</v>
      </c>
      <c r="G51" s="12">
        <v>49</v>
      </c>
      <c r="H51" s="12" t="s">
        <v>538</v>
      </c>
      <c r="I51" s="29">
        <v>45952</v>
      </c>
      <c r="J51" s="29">
        <v>45952</v>
      </c>
      <c r="K51" s="3" t="s">
        <v>45</v>
      </c>
      <c r="L51" s="3" t="s">
        <v>181</v>
      </c>
      <c r="M51" s="3" t="s">
        <v>518</v>
      </c>
      <c r="N51" s="3" t="s">
        <v>519</v>
      </c>
      <c r="O51" s="3">
        <v>16</v>
      </c>
      <c r="P51" s="3">
        <v>1028122615</v>
      </c>
      <c r="Q51" s="3">
        <v>10281226156</v>
      </c>
      <c r="R51" s="3" t="s">
        <v>520</v>
      </c>
      <c r="S51" s="3" t="s">
        <v>3818</v>
      </c>
      <c r="T51" s="3" t="s">
        <v>521</v>
      </c>
      <c r="W51" s="3" t="s">
        <v>522</v>
      </c>
      <c r="X51" s="3" t="s">
        <v>224</v>
      </c>
      <c r="Y51" s="3" t="s">
        <v>523</v>
      </c>
      <c r="Z51" s="3" t="s">
        <v>524</v>
      </c>
      <c r="AA51" s="39">
        <v>45981</v>
      </c>
      <c r="AB51" s="3" t="s">
        <v>61</v>
      </c>
      <c r="AC51" s="3" t="s">
        <v>525</v>
      </c>
      <c r="AD51" s="29">
        <v>45966</v>
      </c>
      <c r="AE51" s="3">
        <v>1550000</v>
      </c>
      <c r="AF51" s="3">
        <v>1550000</v>
      </c>
      <c r="AG51" s="3">
        <v>0</v>
      </c>
      <c r="AH51" s="3">
        <v>0</v>
      </c>
      <c r="AI51" s="29">
        <v>45966</v>
      </c>
      <c r="AJ51" s="3">
        <v>0</v>
      </c>
      <c r="AK51" s="29" t="s">
        <v>56</v>
      </c>
      <c r="AL51" s="3">
        <v>0</v>
      </c>
    </row>
    <row r="52" spans="1:38" x14ac:dyDescent="0.3">
      <c r="A52" s="28" t="s">
        <v>526</v>
      </c>
      <c r="B52" s="3">
        <v>2025</v>
      </c>
      <c r="C52" s="3" t="s">
        <v>3535</v>
      </c>
      <c r="D52" s="3" t="s">
        <v>2872</v>
      </c>
      <c r="E52" s="3" t="s">
        <v>3541</v>
      </c>
      <c r="F52" s="38" t="s">
        <v>3871</v>
      </c>
      <c r="G52" s="12">
        <v>50</v>
      </c>
      <c r="H52" s="12" t="s">
        <v>546</v>
      </c>
      <c r="I52" s="29">
        <v>45952</v>
      </c>
      <c r="J52" s="29">
        <v>45952</v>
      </c>
      <c r="K52" s="3" t="s">
        <v>45</v>
      </c>
      <c r="L52" s="3" t="s">
        <v>46</v>
      </c>
      <c r="M52" s="3" t="s">
        <v>518</v>
      </c>
      <c r="N52" s="3" t="s">
        <v>529</v>
      </c>
      <c r="O52" s="3">
        <v>65</v>
      </c>
      <c r="P52" s="3">
        <v>1308104228</v>
      </c>
      <c r="Q52" s="3">
        <v>13081042286</v>
      </c>
      <c r="R52" s="3" t="s">
        <v>530</v>
      </c>
      <c r="S52" s="3" t="s">
        <v>3818</v>
      </c>
      <c r="T52" s="3" t="s">
        <v>521</v>
      </c>
      <c r="W52" s="3" t="s">
        <v>3763</v>
      </c>
      <c r="X52" s="3" t="s">
        <v>123</v>
      </c>
      <c r="Y52" s="3" t="s">
        <v>533</v>
      </c>
      <c r="Z52" s="3" t="s">
        <v>3764</v>
      </c>
      <c r="AA52" s="39">
        <v>45981</v>
      </c>
      <c r="AB52" s="3" t="s">
        <v>61</v>
      </c>
      <c r="AC52" s="3" t="s">
        <v>535</v>
      </c>
      <c r="AD52" s="29">
        <v>45981</v>
      </c>
      <c r="AE52" s="3">
        <v>3250000</v>
      </c>
      <c r="AF52" s="3">
        <v>3250000</v>
      </c>
      <c r="AG52" s="3">
        <v>0</v>
      </c>
      <c r="AH52" s="3">
        <v>3250000</v>
      </c>
      <c r="AI52" s="29">
        <v>45981</v>
      </c>
      <c r="AJ52" s="3">
        <v>3250000</v>
      </c>
      <c r="AK52" s="29" t="s">
        <v>56</v>
      </c>
      <c r="AL52" s="3">
        <v>0</v>
      </c>
    </row>
    <row r="53" spans="1:38" x14ac:dyDescent="0.3">
      <c r="A53" s="28" t="s">
        <v>536</v>
      </c>
      <c r="B53" s="3">
        <v>2025</v>
      </c>
      <c r="C53" s="3" t="s">
        <v>3535</v>
      </c>
      <c r="D53" s="3" t="s">
        <v>2872</v>
      </c>
      <c r="E53" s="3" t="s">
        <v>3541</v>
      </c>
      <c r="F53" s="38" t="s">
        <v>3872</v>
      </c>
      <c r="G53" s="12">
        <v>51</v>
      </c>
      <c r="H53" s="12" t="s">
        <v>557</v>
      </c>
      <c r="I53" s="29">
        <v>45952</v>
      </c>
      <c r="J53" s="29">
        <v>45952</v>
      </c>
      <c r="K53" s="3" t="s">
        <v>45</v>
      </c>
      <c r="L53" s="3" t="s">
        <v>61</v>
      </c>
      <c r="M53" s="3" t="s">
        <v>518</v>
      </c>
      <c r="N53" s="3" t="s">
        <v>539</v>
      </c>
      <c r="O53" s="3">
        <v>41</v>
      </c>
      <c r="P53" s="3">
        <v>2118648229</v>
      </c>
      <c r="Q53" s="3">
        <v>21186482296</v>
      </c>
      <c r="R53" s="3" t="s">
        <v>540</v>
      </c>
      <c r="S53" s="3" t="s">
        <v>3818</v>
      </c>
      <c r="T53" s="3" t="s">
        <v>521</v>
      </c>
      <c r="W53" s="3" t="s">
        <v>541</v>
      </c>
      <c r="X53" s="3" t="s">
        <v>532</v>
      </c>
      <c r="Y53" s="3" t="s">
        <v>542</v>
      </c>
      <c r="Z53" s="3" t="s">
        <v>543</v>
      </c>
      <c r="AA53" s="39">
        <v>45981</v>
      </c>
      <c r="AB53" s="3" t="s">
        <v>61</v>
      </c>
      <c r="AC53" s="3" t="s">
        <v>543</v>
      </c>
      <c r="AD53" s="29">
        <v>45981</v>
      </c>
      <c r="AE53" s="3">
        <v>2800000</v>
      </c>
      <c r="AF53" s="3">
        <v>2800000</v>
      </c>
      <c r="AG53" s="3">
        <v>0</v>
      </c>
      <c r="AH53" s="3">
        <v>2800000</v>
      </c>
      <c r="AI53" s="29">
        <v>45981</v>
      </c>
      <c r="AJ53" s="3">
        <v>2800000</v>
      </c>
      <c r="AK53" s="29" t="s">
        <v>56</v>
      </c>
      <c r="AL53" s="3">
        <v>0</v>
      </c>
    </row>
    <row r="54" spans="1:38" x14ac:dyDescent="0.3">
      <c r="A54" s="28" t="s">
        <v>598</v>
      </c>
      <c r="B54" s="3">
        <v>2025</v>
      </c>
      <c r="C54" s="3" t="s">
        <v>3535</v>
      </c>
      <c r="D54" s="3" t="s">
        <v>2878</v>
      </c>
      <c r="E54" s="3" t="s">
        <v>3541</v>
      </c>
      <c r="F54" s="38" t="s">
        <v>3873</v>
      </c>
      <c r="G54" s="12">
        <v>53</v>
      </c>
      <c r="H54" s="12" t="s">
        <v>569</v>
      </c>
      <c r="I54" s="29">
        <v>45957</v>
      </c>
      <c r="J54" s="29">
        <v>45957</v>
      </c>
      <c r="K54" s="3" t="s">
        <v>45</v>
      </c>
      <c r="L54" s="3" t="s">
        <v>181</v>
      </c>
      <c r="M54" s="3" t="s">
        <v>42</v>
      </c>
      <c r="N54" s="3" t="s">
        <v>601</v>
      </c>
      <c r="O54" s="3">
        <v>7</v>
      </c>
      <c r="P54" s="3">
        <v>5608800515</v>
      </c>
      <c r="Q54" s="3" t="s">
        <v>3765</v>
      </c>
      <c r="R54" s="3" t="s">
        <v>602</v>
      </c>
      <c r="S54" s="3" t="s">
        <v>3817</v>
      </c>
      <c r="T54" s="3" t="s">
        <v>603</v>
      </c>
      <c r="U54" s="3" t="s">
        <v>604</v>
      </c>
      <c r="V54" s="3" t="s">
        <v>3766</v>
      </c>
      <c r="W54" s="3" t="s">
        <v>3767</v>
      </c>
      <c r="X54" s="3" t="s">
        <v>123</v>
      </c>
      <c r="Y54" s="3" t="s">
        <v>3768</v>
      </c>
      <c r="Z54" s="3" t="s">
        <v>607</v>
      </c>
      <c r="AA54" s="39">
        <v>45986</v>
      </c>
      <c r="AB54" s="3" t="s">
        <v>181</v>
      </c>
      <c r="AC54" s="3" t="s">
        <v>607</v>
      </c>
      <c r="AD54" s="29" t="s">
        <v>69</v>
      </c>
      <c r="AE54" s="3">
        <v>339430</v>
      </c>
      <c r="AF54" s="3">
        <v>0</v>
      </c>
      <c r="AG54" s="3">
        <v>339430</v>
      </c>
      <c r="AH54" s="3">
        <v>339430</v>
      </c>
      <c r="AI54" s="29" t="s">
        <v>69</v>
      </c>
      <c r="AJ54" s="3">
        <v>0</v>
      </c>
      <c r="AK54" s="29">
        <v>46006</v>
      </c>
      <c r="AL54" s="3">
        <v>339430</v>
      </c>
    </row>
    <row r="55" spans="1:38" x14ac:dyDescent="0.3">
      <c r="A55" s="28" t="s">
        <v>567</v>
      </c>
      <c r="B55" s="3">
        <v>2025</v>
      </c>
      <c r="C55" s="3" t="s">
        <v>3535</v>
      </c>
      <c r="D55" s="3" t="s">
        <v>71</v>
      </c>
      <c r="E55" s="3" t="s">
        <v>3541</v>
      </c>
      <c r="F55" s="38" t="s">
        <v>3874</v>
      </c>
      <c r="G55" s="12">
        <v>54</v>
      </c>
      <c r="H55" s="12" t="s">
        <v>580</v>
      </c>
      <c r="I55" s="29">
        <v>45957</v>
      </c>
      <c r="J55" s="29">
        <v>45957</v>
      </c>
      <c r="K55" s="3" t="s">
        <v>45</v>
      </c>
      <c r="L55" s="3" t="s">
        <v>61</v>
      </c>
      <c r="M55" s="3" t="s">
        <v>42</v>
      </c>
      <c r="N55" s="3" t="s">
        <v>570</v>
      </c>
      <c r="O55" s="3">
        <v>45</v>
      </c>
      <c r="P55" s="3">
        <v>1258134604</v>
      </c>
      <c r="Q55" s="3">
        <v>13385135490</v>
      </c>
      <c r="R55" s="3" t="s">
        <v>571</v>
      </c>
      <c r="S55" s="3" t="s">
        <v>3818</v>
      </c>
      <c r="T55" s="3" t="s">
        <v>572</v>
      </c>
      <c r="U55" s="3" t="s">
        <v>573</v>
      </c>
      <c r="V55" s="3" t="s">
        <v>2833</v>
      </c>
      <c r="W55" s="3" t="s">
        <v>574</v>
      </c>
      <c r="X55" s="3" t="s">
        <v>178</v>
      </c>
      <c r="Y55" s="3" t="s">
        <v>575</v>
      </c>
      <c r="Z55" s="3" t="s">
        <v>576</v>
      </c>
      <c r="AA55" s="39">
        <v>45986</v>
      </c>
      <c r="AB55" s="3" t="s">
        <v>218</v>
      </c>
      <c r="AC55" s="3" t="s">
        <v>576</v>
      </c>
      <c r="AD55" s="29">
        <v>45989</v>
      </c>
      <c r="AE55" s="3">
        <v>700000</v>
      </c>
      <c r="AF55" s="3">
        <v>700000</v>
      </c>
      <c r="AG55" s="3">
        <v>0</v>
      </c>
      <c r="AH55" s="3">
        <v>700000</v>
      </c>
      <c r="AI55" s="29">
        <v>45989</v>
      </c>
      <c r="AJ55" s="3">
        <v>700000</v>
      </c>
      <c r="AK55" s="29" t="s">
        <v>56</v>
      </c>
      <c r="AL55" s="3">
        <v>0</v>
      </c>
    </row>
    <row r="56" spans="1:38" x14ac:dyDescent="0.3">
      <c r="A56" s="28" t="s">
        <v>577</v>
      </c>
      <c r="B56" s="3">
        <v>2025</v>
      </c>
      <c r="C56" s="3" t="s">
        <v>3535</v>
      </c>
      <c r="D56" s="3" t="s">
        <v>71</v>
      </c>
      <c r="E56" s="3" t="s">
        <v>3541</v>
      </c>
      <c r="F56" s="38" t="s">
        <v>3875</v>
      </c>
      <c r="G56" s="12">
        <v>55</v>
      </c>
      <c r="H56" s="12" t="s">
        <v>588</v>
      </c>
      <c r="I56" s="29">
        <v>45957</v>
      </c>
      <c r="J56" s="29">
        <v>45957</v>
      </c>
      <c r="K56" s="3" t="s">
        <v>45</v>
      </c>
      <c r="L56" s="3" t="s">
        <v>73</v>
      </c>
      <c r="M56" s="3" t="s">
        <v>42</v>
      </c>
      <c r="N56" s="3" t="s">
        <v>581</v>
      </c>
      <c r="O56" s="3">
        <v>25</v>
      </c>
      <c r="P56" s="3">
        <v>3128183145</v>
      </c>
      <c r="Q56" s="3">
        <v>31281831450</v>
      </c>
      <c r="R56" s="3" t="s">
        <v>582</v>
      </c>
      <c r="S56" s="3" t="s">
        <v>3817</v>
      </c>
      <c r="T56" s="3" t="s">
        <v>583</v>
      </c>
      <c r="U56" s="3" t="s">
        <v>584</v>
      </c>
      <c r="V56" s="3" t="s">
        <v>3769</v>
      </c>
      <c r="W56" s="3" t="s">
        <v>574</v>
      </c>
      <c r="X56" s="3" t="s">
        <v>178</v>
      </c>
      <c r="Y56" s="3" t="s">
        <v>575</v>
      </c>
      <c r="Z56" s="3" t="s">
        <v>576</v>
      </c>
      <c r="AA56" s="39">
        <v>45987</v>
      </c>
      <c r="AB56" s="3" t="s">
        <v>61</v>
      </c>
      <c r="AC56" s="3" t="s">
        <v>576</v>
      </c>
      <c r="AD56" s="29">
        <v>45989</v>
      </c>
      <c r="AE56" s="3">
        <v>800000</v>
      </c>
      <c r="AF56" s="3">
        <v>400000</v>
      </c>
      <c r="AG56" s="3">
        <v>400000</v>
      </c>
      <c r="AH56" s="3">
        <v>800000</v>
      </c>
      <c r="AI56" s="29">
        <v>45989</v>
      </c>
      <c r="AJ56" s="3">
        <v>400000</v>
      </c>
      <c r="AK56" s="29">
        <v>46006</v>
      </c>
      <c r="AL56" s="3">
        <v>400000</v>
      </c>
    </row>
    <row r="57" spans="1:38" x14ac:dyDescent="0.3">
      <c r="A57" s="28" t="s">
        <v>554</v>
      </c>
      <c r="B57" s="3">
        <v>2025</v>
      </c>
      <c r="C57" s="3" t="s">
        <v>3535</v>
      </c>
      <c r="D57" s="3" t="s">
        <v>2872</v>
      </c>
      <c r="E57" s="3" t="s">
        <v>3541</v>
      </c>
      <c r="F57" s="38" t="s">
        <v>3876</v>
      </c>
      <c r="G57" s="12">
        <v>56</v>
      </c>
      <c r="H57" s="12" t="s">
        <v>600</v>
      </c>
      <c r="I57" s="29">
        <v>45958</v>
      </c>
      <c r="J57" s="29">
        <v>45958</v>
      </c>
      <c r="K57" s="3" t="s">
        <v>45</v>
      </c>
      <c r="L57" s="3" t="s">
        <v>3446</v>
      </c>
      <c r="M57" s="3" t="s">
        <v>42</v>
      </c>
      <c r="N57" s="3" t="s">
        <v>559</v>
      </c>
      <c r="O57" s="3">
        <v>118</v>
      </c>
      <c r="P57" s="3">
        <v>3348600815</v>
      </c>
      <c r="Q57" s="3">
        <v>11481588536</v>
      </c>
      <c r="R57" s="3" t="s">
        <v>560</v>
      </c>
      <c r="S57" s="3" t="s">
        <v>3818</v>
      </c>
      <c r="T57" s="3" t="s">
        <v>561</v>
      </c>
      <c r="U57" s="3" t="s">
        <v>562</v>
      </c>
      <c r="V57" s="3" t="s">
        <v>3770</v>
      </c>
      <c r="W57" s="3" t="s">
        <v>563</v>
      </c>
      <c r="X57" s="3" t="s">
        <v>491</v>
      </c>
      <c r="Y57" s="3" t="s">
        <v>3771</v>
      </c>
      <c r="Z57" s="3" t="s">
        <v>565</v>
      </c>
      <c r="AA57" s="39">
        <v>45988</v>
      </c>
      <c r="AB57" s="3" t="s">
        <v>73</v>
      </c>
      <c r="AC57" s="3" t="s">
        <v>566</v>
      </c>
      <c r="AD57" s="29">
        <v>45960</v>
      </c>
      <c r="AE57" s="3">
        <v>3700000</v>
      </c>
      <c r="AF57" s="3">
        <v>3700000</v>
      </c>
      <c r="AG57" s="3">
        <v>0</v>
      </c>
      <c r="AH57" s="3">
        <v>3700000</v>
      </c>
      <c r="AI57" s="29">
        <v>45960</v>
      </c>
      <c r="AJ57" s="3">
        <v>3700000</v>
      </c>
      <c r="AK57" s="29" t="s">
        <v>56</v>
      </c>
      <c r="AL57" s="3">
        <v>0</v>
      </c>
    </row>
    <row r="58" spans="1:38" x14ac:dyDescent="0.3">
      <c r="A58" s="28" t="s">
        <v>3772</v>
      </c>
      <c r="B58" s="3">
        <v>2025</v>
      </c>
      <c r="C58" s="3" t="s">
        <v>3535</v>
      </c>
      <c r="D58" s="3" t="s">
        <v>2953</v>
      </c>
      <c r="E58" s="3" t="s">
        <v>3541</v>
      </c>
      <c r="F58" s="38" t="s">
        <v>3877</v>
      </c>
      <c r="G58" s="12">
        <v>57</v>
      </c>
      <c r="H58" s="12" t="s">
        <v>611</v>
      </c>
      <c r="I58" s="29">
        <v>45958</v>
      </c>
      <c r="J58" s="29">
        <v>45958</v>
      </c>
      <c r="K58" s="3" t="s">
        <v>45</v>
      </c>
      <c r="L58" s="3" t="s">
        <v>61</v>
      </c>
      <c r="M58" s="3" t="s">
        <v>231</v>
      </c>
      <c r="N58" s="3" t="s">
        <v>3773</v>
      </c>
      <c r="O58" s="3">
        <v>20</v>
      </c>
      <c r="P58" s="3">
        <v>2048171256</v>
      </c>
      <c r="Q58" s="3">
        <v>91201346717</v>
      </c>
      <c r="R58" s="3" t="s">
        <v>3055</v>
      </c>
      <c r="S58" s="3" t="s">
        <v>3817</v>
      </c>
      <c r="T58" s="3" t="s">
        <v>3774</v>
      </c>
      <c r="W58" s="3" t="s">
        <v>3775</v>
      </c>
      <c r="X58" s="3" t="s">
        <v>532</v>
      </c>
      <c r="Y58" s="3" t="s">
        <v>3776</v>
      </c>
      <c r="Z58" s="3" t="s">
        <v>3777</v>
      </c>
      <c r="AA58" s="39">
        <v>45986</v>
      </c>
      <c r="AB58" s="3" t="s">
        <v>46</v>
      </c>
      <c r="AC58" s="3" t="s">
        <v>3059</v>
      </c>
      <c r="AD58" s="29">
        <v>45986</v>
      </c>
      <c r="AE58" s="3">
        <v>1500000</v>
      </c>
      <c r="AF58" s="3">
        <v>500000</v>
      </c>
      <c r="AG58" s="3">
        <v>1000000</v>
      </c>
      <c r="AH58" s="3">
        <v>1500000</v>
      </c>
      <c r="AI58" s="29">
        <v>45986</v>
      </c>
      <c r="AJ58" s="3">
        <v>500000</v>
      </c>
      <c r="AK58" s="29">
        <v>46009</v>
      </c>
      <c r="AL58" s="3">
        <v>1000000</v>
      </c>
    </row>
    <row r="59" spans="1:38" x14ac:dyDescent="0.3">
      <c r="A59" s="28" t="s">
        <v>3778</v>
      </c>
      <c r="B59" s="3">
        <v>2025</v>
      </c>
      <c r="C59" s="3" t="s">
        <v>3535</v>
      </c>
      <c r="D59" s="3" t="s">
        <v>2953</v>
      </c>
      <c r="E59" s="3" t="s">
        <v>3541</v>
      </c>
      <c r="F59" s="38" t="s">
        <v>3878</v>
      </c>
      <c r="G59" s="12">
        <v>58</v>
      </c>
      <c r="H59" s="12" t="s">
        <v>624</v>
      </c>
      <c r="I59" s="29">
        <v>45958</v>
      </c>
      <c r="J59" s="29">
        <v>45958</v>
      </c>
      <c r="K59" s="3" t="s">
        <v>45</v>
      </c>
      <c r="L59" s="3" t="s">
        <v>46</v>
      </c>
      <c r="M59" s="3" t="s">
        <v>231</v>
      </c>
      <c r="N59" s="3" t="s">
        <v>3779</v>
      </c>
      <c r="O59" s="3">
        <v>22</v>
      </c>
      <c r="P59" s="3">
        <v>1358166480</v>
      </c>
      <c r="Q59" s="3">
        <v>13581664806</v>
      </c>
      <c r="R59" s="3" t="s">
        <v>3741</v>
      </c>
      <c r="S59" s="3" t="s">
        <v>3817</v>
      </c>
      <c r="T59" s="3" t="s">
        <v>3774</v>
      </c>
      <c r="W59" s="3" t="s">
        <v>3780</v>
      </c>
      <c r="X59" s="3" t="s">
        <v>3781</v>
      </c>
      <c r="Y59" s="3" t="s">
        <v>3782</v>
      </c>
      <c r="Z59" s="3" t="s">
        <v>3783</v>
      </c>
      <c r="AA59" s="39">
        <v>45986</v>
      </c>
      <c r="AB59" s="3" t="s">
        <v>46</v>
      </c>
      <c r="AC59" s="3" t="s">
        <v>3746</v>
      </c>
      <c r="AD59" s="29" t="s">
        <v>69</v>
      </c>
      <c r="AE59" s="3">
        <v>1000000</v>
      </c>
      <c r="AF59" s="3">
        <v>0</v>
      </c>
      <c r="AG59" s="3">
        <v>1000000</v>
      </c>
      <c r="AH59" s="3">
        <v>1000000</v>
      </c>
      <c r="AI59" s="29" t="s">
        <v>69</v>
      </c>
      <c r="AJ59" s="3">
        <v>0</v>
      </c>
      <c r="AK59" s="29">
        <v>46009</v>
      </c>
      <c r="AL59" s="3">
        <v>1000000</v>
      </c>
    </row>
    <row r="60" spans="1:38" x14ac:dyDescent="0.3">
      <c r="A60" s="28" t="s">
        <v>3784</v>
      </c>
      <c r="B60" s="3">
        <v>2025</v>
      </c>
      <c r="C60" s="3" t="s">
        <v>3535</v>
      </c>
      <c r="D60" s="3" t="s">
        <v>2953</v>
      </c>
      <c r="E60" s="3" t="s">
        <v>3541</v>
      </c>
      <c r="F60" s="38" t="s">
        <v>3879</v>
      </c>
      <c r="G60" s="12">
        <v>59</v>
      </c>
      <c r="H60" s="12" t="s">
        <v>633</v>
      </c>
      <c r="I60" s="29">
        <v>45958</v>
      </c>
      <c r="J60" s="29">
        <v>45958</v>
      </c>
      <c r="K60" s="3" t="s">
        <v>45</v>
      </c>
      <c r="L60" s="3" t="s">
        <v>97</v>
      </c>
      <c r="M60" s="3" t="s">
        <v>231</v>
      </c>
      <c r="N60" s="3" t="s">
        <v>3785</v>
      </c>
      <c r="O60" s="3">
        <v>18</v>
      </c>
      <c r="P60" s="3">
        <v>2148607299</v>
      </c>
      <c r="Q60" s="3">
        <v>21486072996</v>
      </c>
      <c r="R60" s="3" t="s">
        <v>3786</v>
      </c>
      <c r="S60" s="3" t="s">
        <v>3817</v>
      </c>
      <c r="T60" s="3" t="s">
        <v>3774</v>
      </c>
      <c r="W60" s="3" t="s">
        <v>1647</v>
      </c>
      <c r="X60" s="3" t="s">
        <v>134</v>
      </c>
      <c r="Y60" s="3" t="s">
        <v>3787</v>
      </c>
      <c r="Z60" s="3" t="s">
        <v>3788</v>
      </c>
      <c r="AA60" s="39">
        <v>45986</v>
      </c>
      <c r="AB60" s="3" t="s">
        <v>46</v>
      </c>
      <c r="AC60" s="3" t="s">
        <v>3788</v>
      </c>
      <c r="AD60" s="29" t="s">
        <v>69</v>
      </c>
      <c r="AE60" s="3">
        <v>1000000</v>
      </c>
      <c r="AF60" s="3">
        <v>0</v>
      </c>
      <c r="AG60" s="3">
        <v>1000000</v>
      </c>
      <c r="AH60" s="3">
        <v>1000000</v>
      </c>
      <c r="AI60" s="29" t="s">
        <v>69</v>
      </c>
      <c r="AJ60" s="3">
        <v>0</v>
      </c>
      <c r="AK60" s="29">
        <v>46009</v>
      </c>
      <c r="AL60" s="3">
        <v>1000000</v>
      </c>
    </row>
    <row r="61" spans="1:38" x14ac:dyDescent="0.3">
      <c r="A61" s="28" t="s">
        <v>927</v>
      </c>
      <c r="B61" s="3">
        <v>2025</v>
      </c>
      <c r="C61" s="3" t="s">
        <v>3535</v>
      </c>
      <c r="D61" s="3" t="s">
        <v>2878</v>
      </c>
      <c r="E61" s="3" t="s">
        <v>3541</v>
      </c>
      <c r="F61" s="38" t="s">
        <v>3880</v>
      </c>
      <c r="G61" s="12">
        <v>60</v>
      </c>
      <c r="H61" s="12" t="s">
        <v>644</v>
      </c>
      <c r="I61" s="29">
        <v>45959</v>
      </c>
      <c r="J61" s="29">
        <v>45959</v>
      </c>
      <c r="K61" s="3" t="s">
        <v>45</v>
      </c>
      <c r="L61" s="3" t="s">
        <v>61</v>
      </c>
      <c r="M61" s="3" t="s">
        <v>231</v>
      </c>
      <c r="N61" s="3" t="s">
        <v>930</v>
      </c>
      <c r="O61" s="3">
        <v>47</v>
      </c>
      <c r="P61" s="3">
        <v>1268638229</v>
      </c>
      <c r="Q61" s="3">
        <v>12686382290</v>
      </c>
      <c r="R61" s="3" t="s">
        <v>931</v>
      </c>
      <c r="S61" s="3" t="s">
        <v>3817</v>
      </c>
      <c r="T61" s="3" t="s">
        <v>932</v>
      </c>
      <c r="U61" s="3" t="s">
        <v>933</v>
      </c>
      <c r="V61" s="3" t="s">
        <v>3789</v>
      </c>
      <c r="W61" s="3" t="s">
        <v>934</v>
      </c>
      <c r="X61" s="3" t="s">
        <v>134</v>
      </c>
      <c r="Y61" s="3" t="s">
        <v>935</v>
      </c>
      <c r="Z61" s="3" t="s">
        <v>936</v>
      </c>
      <c r="AA61" s="39">
        <v>45986</v>
      </c>
      <c r="AB61" s="3" t="s">
        <v>61</v>
      </c>
      <c r="AC61" s="3" t="s">
        <v>936</v>
      </c>
      <c r="AD61" s="29">
        <v>45989</v>
      </c>
      <c r="AE61" s="3">
        <v>800000</v>
      </c>
      <c r="AF61" s="3">
        <v>400000</v>
      </c>
      <c r="AG61" s="3">
        <v>400000</v>
      </c>
      <c r="AH61" s="3">
        <v>400000</v>
      </c>
      <c r="AI61" s="29">
        <v>45989</v>
      </c>
      <c r="AJ61" s="3">
        <v>0</v>
      </c>
      <c r="AK61" s="29">
        <v>46009</v>
      </c>
      <c r="AL61" s="3">
        <v>400000</v>
      </c>
    </row>
    <row r="62" spans="1:38" x14ac:dyDescent="0.3">
      <c r="A62" s="28" t="s">
        <v>3790</v>
      </c>
      <c r="B62" s="3">
        <v>2025</v>
      </c>
      <c r="C62" s="3" t="s">
        <v>3535</v>
      </c>
      <c r="D62" s="3" t="s">
        <v>3791</v>
      </c>
      <c r="E62" s="3" t="s">
        <v>3541</v>
      </c>
      <c r="F62" s="38" t="s">
        <v>3881</v>
      </c>
      <c r="G62" s="12">
        <v>61</v>
      </c>
      <c r="H62" s="12" t="s">
        <v>654</v>
      </c>
      <c r="I62" s="29">
        <v>45960</v>
      </c>
      <c r="J62" s="29">
        <v>45960</v>
      </c>
      <c r="K62" s="3" t="s">
        <v>45</v>
      </c>
      <c r="L62" s="3" t="s">
        <v>46</v>
      </c>
      <c r="M62" s="3" t="s">
        <v>42</v>
      </c>
      <c r="N62" s="3" t="s">
        <v>3792</v>
      </c>
      <c r="O62" s="3">
        <v>7</v>
      </c>
      <c r="P62" s="3">
        <v>2268126936</v>
      </c>
      <c r="Q62" s="3">
        <v>22681269366</v>
      </c>
      <c r="R62" s="3" t="s">
        <v>3793</v>
      </c>
      <c r="S62" s="3" t="s">
        <v>3817</v>
      </c>
      <c r="T62" s="3" t="s">
        <v>3794</v>
      </c>
      <c r="W62" s="3" t="s">
        <v>3795</v>
      </c>
      <c r="X62" s="3" t="s">
        <v>3796</v>
      </c>
      <c r="Y62" s="3" t="s">
        <v>3797</v>
      </c>
      <c r="Z62" s="3" t="s">
        <v>3798</v>
      </c>
      <c r="AA62" s="39">
        <v>45986</v>
      </c>
      <c r="AB62" s="3" t="s">
        <v>46</v>
      </c>
      <c r="AC62" s="3">
        <v>0</v>
      </c>
      <c r="AD62" s="29" t="s">
        <v>69</v>
      </c>
      <c r="AE62" s="3">
        <v>1000000</v>
      </c>
      <c r="AF62" s="3">
        <v>0</v>
      </c>
      <c r="AG62" s="3">
        <v>1000000</v>
      </c>
      <c r="AH62" s="3">
        <v>1000000</v>
      </c>
      <c r="AI62" s="29" t="s">
        <v>69</v>
      </c>
      <c r="AJ62" s="3">
        <v>0</v>
      </c>
      <c r="AK62" s="29">
        <v>46006</v>
      </c>
      <c r="AL62" s="3">
        <v>1000000</v>
      </c>
    </row>
    <row r="63" spans="1:38" x14ac:dyDescent="0.3">
      <c r="A63" s="28" t="s">
        <v>765</v>
      </c>
      <c r="B63" s="3">
        <v>2025</v>
      </c>
      <c r="C63" s="3" t="s">
        <v>3535</v>
      </c>
      <c r="D63" s="3" t="s">
        <v>2872</v>
      </c>
      <c r="E63" s="3" t="s">
        <v>3541</v>
      </c>
      <c r="F63" s="38" t="s">
        <v>3882</v>
      </c>
      <c r="G63" s="12">
        <v>62</v>
      </c>
      <c r="H63" s="12" t="s">
        <v>664</v>
      </c>
      <c r="I63" s="29">
        <v>45961</v>
      </c>
      <c r="J63" s="29">
        <v>45961</v>
      </c>
      <c r="K63" s="3" t="s">
        <v>45</v>
      </c>
      <c r="L63" s="3" t="s">
        <v>558</v>
      </c>
      <c r="M63" s="3" t="s">
        <v>518</v>
      </c>
      <c r="N63" s="3" t="s">
        <v>768</v>
      </c>
      <c r="O63" s="3">
        <v>286</v>
      </c>
      <c r="P63" s="3">
        <v>2118713085</v>
      </c>
      <c r="Q63" s="3" t="s">
        <v>3799</v>
      </c>
      <c r="R63" s="3" t="s">
        <v>769</v>
      </c>
      <c r="S63" s="3" t="s">
        <v>3818</v>
      </c>
      <c r="T63" s="3" t="s">
        <v>770</v>
      </c>
      <c r="W63" s="3" t="s">
        <v>771</v>
      </c>
      <c r="X63" s="3" t="s">
        <v>134</v>
      </c>
      <c r="Y63" s="3" t="s">
        <v>772</v>
      </c>
      <c r="Z63" s="3" t="s">
        <v>773</v>
      </c>
      <c r="AA63" s="39">
        <v>45988</v>
      </c>
      <c r="AB63" s="3" t="s">
        <v>73</v>
      </c>
      <c r="AC63" s="3" t="s">
        <v>773</v>
      </c>
      <c r="AD63" s="29">
        <v>45961</v>
      </c>
      <c r="AE63" s="3">
        <v>11400000</v>
      </c>
      <c r="AF63" s="3">
        <v>11400000</v>
      </c>
      <c r="AG63" s="3">
        <v>0</v>
      </c>
      <c r="AH63" s="3">
        <v>11400000</v>
      </c>
      <c r="AI63" s="29">
        <v>45961</v>
      </c>
      <c r="AJ63" s="3">
        <v>11400000</v>
      </c>
      <c r="AK63" s="29" t="s">
        <v>56</v>
      </c>
      <c r="AL63" s="3">
        <v>0</v>
      </c>
    </row>
    <row r="64" spans="1:38" x14ac:dyDescent="0.3">
      <c r="A64" s="28" t="s">
        <v>3800</v>
      </c>
      <c r="B64" s="3">
        <v>2025</v>
      </c>
      <c r="C64" s="3" t="s">
        <v>3535</v>
      </c>
      <c r="D64" s="3" t="s">
        <v>3801</v>
      </c>
      <c r="E64" s="3" t="s">
        <v>3541</v>
      </c>
      <c r="F64" s="38" t="s">
        <v>3883</v>
      </c>
      <c r="G64" s="12">
        <v>63</v>
      </c>
      <c r="H64" s="12" t="s">
        <v>674</v>
      </c>
      <c r="I64" s="29">
        <v>45964</v>
      </c>
      <c r="J64" s="29">
        <v>45964</v>
      </c>
      <c r="K64" s="3" t="s">
        <v>3814</v>
      </c>
      <c r="L64" s="3" t="s">
        <v>46</v>
      </c>
      <c r="M64" s="3" t="s">
        <v>42</v>
      </c>
      <c r="N64" s="3" t="s">
        <v>3802</v>
      </c>
      <c r="O64" s="3">
        <v>17</v>
      </c>
      <c r="P64" s="3">
        <v>2148863000</v>
      </c>
      <c r="Q64" s="3">
        <v>21488630000</v>
      </c>
      <c r="R64" s="3" t="s">
        <v>3803</v>
      </c>
      <c r="S64" s="3" t="s">
        <v>3819</v>
      </c>
      <c r="T64" s="3" t="s">
        <v>3804</v>
      </c>
      <c r="U64" s="3" t="s">
        <v>3805</v>
      </c>
      <c r="V64" s="3" t="s">
        <v>3806</v>
      </c>
      <c r="W64" s="3" t="s">
        <v>3807</v>
      </c>
      <c r="X64" s="3" t="s">
        <v>123</v>
      </c>
      <c r="Y64" s="3" t="s">
        <v>3808</v>
      </c>
      <c r="Z64" s="3" t="s">
        <v>3809</v>
      </c>
      <c r="AA64" s="39">
        <v>45993</v>
      </c>
      <c r="AB64" s="3" t="s">
        <v>46</v>
      </c>
      <c r="AC64" s="3" t="s">
        <v>3810</v>
      </c>
      <c r="AD64" s="29">
        <v>45994</v>
      </c>
      <c r="AE64" s="3">
        <v>850000</v>
      </c>
      <c r="AF64" s="3">
        <v>850000</v>
      </c>
      <c r="AG64" s="3">
        <v>0</v>
      </c>
      <c r="AH64" s="3">
        <v>850000</v>
      </c>
      <c r="AI64" s="29">
        <v>45994</v>
      </c>
      <c r="AJ64" s="3">
        <v>850000</v>
      </c>
      <c r="AK64" s="29" t="s">
        <v>56</v>
      </c>
      <c r="AL64" s="3">
        <v>0</v>
      </c>
    </row>
    <row r="65" spans="1:39" x14ac:dyDescent="0.3">
      <c r="A65" s="28" t="s">
        <v>683</v>
      </c>
      <c r="B65" s="3">
        <v>2025</v>
      </c>
      <c r="C65" s="3" t="s">
        <v>3535</v>
      </c>
      <c r="E65" s="3" t="s">
        <v>3541</v>
      </c>
      <c r="F65" s="38" t="s">
        <v>3884</v>
      </c>
      <c r="G65" s="12">
        <v>64</v>
      </c>
      <c r="H65" s="12" t="s">
        <v>685</v>
      </c>
      <c r="I65" s="29">
        <v>45965</v>
      </c>
      <c r="J65" s="29">
        <v>45965</v>
      </c>
      <c r="K65" s="3" t="s">
        <v>45</v>
      </c>
      <c r="L65" s="3" t="s">
        <v>61</v>
      </c>
      <c r="M65" s="3" t="s">
        <v>42</v>
      </c>
      <c r="N65" s="3" t="s">
        <v>686</v>
      </c>
      <c r="O65" s="3">
        <v>12</v>
      </c>
      <c r="P65" s="3">
        <v>6488102740</v>
      </c>
      <c r="Q65" s="3">
        <v>64881027400</v>
      </c>
      <c r="R65" s="3" t="s">
        <v>687</v>
      </c>
      <c r="S65" s="3" t="s">
        <v>3817</v>
      </c>
      <c r="T65" s="3" t="s">
        <v>688</v>
      </c>
      <c r="U65" s="3" t="s">
        <v>689</v>
      </c>
      <c r="W65" s="3" t="s">
        <v>690</v>
      </c>
      <c r="X65" s="3" t="s">
        <v>66</v>
      </c>
      <c r="Y65" s="3" t="s">
        <v>691</v>
      </c>
      <c r="Z65" s="3" t="s">
        <v>692</v>
      </c>
      <c r="AA65" s="39">
        <v>45988</v>
      </c>
      <c r="AB65" s="3" t="s">
        <v>61</v>
      </c>
      <c r="AC65" s="3" t="s">
        <v>693</v>
      </c>
      <c r="AD65" s="29">
        <v>45989</v>
      </c>
      <c r="AE65" s="3">
        <v>700000</v>
      </c>
      <c r="AF65" s="3">
        <v>300000</v>
      </c>
      <c r="AG65" s="3">
        <v>400000</v>
      </c>
      <c r="AH65" s="3">
        <v>700000</v>
      </c>
      <c r="AI65" s="29">
        <v>45989</v>
      </c>
      <c r="AJ65" s="3">
        <v>300000</v>
      </c>
      <c r="AK65" s="29">
        <v>46006</v>
      </c>
      <c r="AL65" s="3">
        <v>400000</v>
      </c>
    </row>
    <row r="66" spans="1:39" x14ac:dyDescent="0.3">
      <c r="A66" s="28" t="s">
        <v>727</v>
      </c>
      <c r="B66" s="3">
        <v>2025</v>
      </c>
      <c r="C66" s="3" t="s">
        <v>3535</v>
      </c>
      <c r="D66" s="3" t="s">
        <v>2872</v>
      </c>
      <c r="E66" s="3" t="s">
        <v>3541</v>
      </c>
      <c r="F66" s="38" t="s">
        <v>2873</v>
      </c>
      <c r="G66" s="12">
        <v>65</v>
      </c>
      <c r="H66" s="12" t="s">
        <v>696</v>
      </c>
      <c r="I66" s="29">
        <v>45965</v>
      </c>
      <c r="J66" s="29">
        <v>45965</v>
      </c>
      <c r="K66" s="3" t="s">
        <v>3814</v>
      </c>
      <c r="L66" s="3" t="s">
        <v>181</v>
      </c>
      <c r="M66" s="3" t="s">
        <v>42</v>
      </c>
      <c r="N66" s="3" t="s">
        <v>2874</v>
      </c>
      <c r="O66" s="3">
        <v>26</v>
      </c>
      <c r="P66" s="3">
        <v>3128118552</v>
      </c>
      <c r="Q66" s="3">
        <v>31281185526</v>
      </c>
      <c r="R66" s="3" t="s">
        <v>731</v>
      </c>
      <c r="S66" s="3" t="s">
        <v>3819</v>
      </c>
      <c r="T66" s="3" t="s">
        <v>732</v>
      </c>
      <c r="U66" s="3" t="s">
        <v>733</v>
      </c>
      <c r="V66" s="3" t="s">
        <v>2875</v>
      </c>
      <c r="W66" s="3" t="s">
        <v>734</v>
      </c>
      <c r="X66" s="3" t="s">
        <v>89</v>
      </c>
      <c r="Y66" s="3" t="s">
        <v>735</v>
      </c>
      <c r="Z66" s="3" t="s">
        <v>736</v>
      </c>
      <c r="AA66" s="39">
        <v>45993</v>
      </c>
      <c r="AB66" s="3" t="s">
        <v>181</v>
      </c>
      <c r="AC66" s="3" t="s">
        <v>737</v>
      </c>
      <c r="AD66" s="29" t="s">
        <v>3821</v>
      </c>
      <c r="AE66" s="3">
        <v>1300000</v>
      </c>
      <c r="AF66" s="3">
        <v>900000</v>
      </c>
      <c r="AG66" s="3">
        <v>400000</v>
      </c>
      <c r="AH66" s="3">
        <v>700000</v>
      </c>
      <c r="AI66" s="29" t="s">
        <v>3820</v>
      </c>
      <c r="AJ66" s="3">
        <v>300000</v>
      </c>
      <c r="AK66" s="29">
        <v>46006</v>
      </c>
      <c r="AL66" s="3">
        <v>400000</v>
      </c>
      <c r="AM66" s="3" t="s">
        <v>2877</v>
      </c>
    </row>
    <row r="67" spans="1:39" x14ac:dyDescent="0.3">
      <c r="A67" s="28" t="s">
        <v>190</v>
      </c>
      <c r="B67" s="3">
        <v>2025</v>
      </c>
      <c r="C67" s="3" t="s">
        <v>3535</v>
      </c>
      <c r="D67" s="3" t="s">
        <v>2878</v>
      </c>
      <c r="E67" s="3" t="s">
        <v>3541</v>
      </c>
      <c r="F67" s="38" t="s">
        <v>2879</v>
      </c>
      <c r="G67" s="12">
        <v>66</v>
      </c>
      <c r="H67" s="12" t="s">
        <v>708</v>
      </c>
      <c r="I67" s="29">
        <v>45965</v>
      </c>
      <c r="J67" s="29">
        <v>45965</v>
      </c>
      <c r="K67" s="3" t="s">
        <v>45</v>
      </c>
      <c r="L67" s="3" t="s">
        <v>46</v>
      </c>
      <c r="M67" s="3" t="s">
        <v>42</v>
      </c>
      <c r="N67" s="3" t="s">
        <v>194</v>
      </c>
      <c r="O67" s="3">
        <v>45</v>
      </c>
      <c r="P67" s="3">
        <v>1268663320</v>
      </c>
      <c r="Q67" s="3">
        <v>91303758101</v>
      </c>
      <c r="R67" s="3" t="s">
        <v>195</v>
      </c>
      <c r="S67" s="3" t="s">
        <v>3818</v>
      </c>
      <c r="T67" s="3" t="s">
        <v>196</v>
      </c>
      <c r="U67" s="3" t="s">
        <v>197</v>
      </c>
      <c r="V67" s="3" t="s">
        <v>2880</v>
      </c>
      <c r="W67" s="3" t="s">
        <v>198</v>
      </c>
      <c r="Y67" s="3" t="s">
        <v>199</v>
      </c>
      <c r="Z67" s="3" t="s">
        <v>2881</v>
      </c>
      <c r="AA67" s="39">
        <v>45993</v>
      </c>
      <c r="AB67" s="3" t="s">
        <v>46</v>
      </c>
      <c r="AC67" s="3" t="s">
        <v>2881</v>
      </c>
      <c r="AD67" s="29">
        <v>45994</v>
      </c>
      <c r="AE67" s="3">
        <v>1000000</v>
      </c>
      <c r="AF67" s="3">
        <v>1000000</v>
      </c>
      <c r="AG67" s="3">
        <v>0</v>
      </c>
      <c r="AH67" s="3">
        <v>1000000</v>
      </c>
      <c r="AI67" s="29">
        <v>45994</v>
      </c>
      <c r="AJ67" s="3">
        <v>1000000</v>
      </c>
      <c r="AK67" s="29" t="s">
        <v>56</v>
      </c>
      <c r="AL67" s="3">
        <v>0</v>
      </c>
    </row>
    <row r="68" spans="1:39" x14ac:dyDescent="0.3">
      <c r="A68" s="28" t="s">
        <v>795</v>
      </c>
      <c r="B68" s="3">
        <v>2025</v>
      </c>
      <c r="C68" s="3" t="s">
        <v>3535</v>
      </c>
      <c r="D68" s="3" t="s">
        <v>2878</v>
      </c>
      <c r="E68" s="3" t="s">
        <v>3541</v>
      </c>
      <c r="F68" s="38" t="s">
        <v>2882</v>
      </c>
      <c r="G68" s="12">
        <v>67</v>
      </c>
      <c r="H68" s="12" t="s">
        <v>718</v>
      </c>
      <c r="I68" s="29">
        <v>45966</v>
      </c>
      <c r="J68" s="29">
        <v>45966</v>
      </c>
      <c r="K68" s="3" t="s">
        <v>45</v>
      </c>
      <c r="L68" s="3" t="s">
        <v>798</v>
      </c>
      <c r="M68" s="3" t="s">
        <v>42</v>
      </c>
      <c r="N68" s="3" t="s">
        <v>799</v>
      </c>
      <c r="O68" s="3">
        <v>139</v>
      </c>
      <c r="P68" s="3">
        <v>3128525589</v>
      </c>
      <c r="Q68" s="3" t="s">
        <v>2883</v>
      </c>
      <c r="R68" s="3" t="s">
        <v>800</v>
      </c>
      <c r="S68" s="3" t="s">
        <v>3818</v>
      </c>
      <c r="T68" s="3" t="s">
        <v>801</v>
      </c>
      <c r="U68" s="3" t="s">
        <v>802</v>
      </c>
      <c r="V68" s="3" t="s">
        <v>2884</v>
      </c>
      <c r="W68" s="3" t="s">
        <v>803</v>
      </c>
      <c r="X68" s="3" t="s">
        <v>224</v>
      </c>
      <c r="Y68" s="3" t="s">
        <v>804</v>
      </c>
      <c r="Z68" s="3" t="s">
        <v>805</v>
      </c>
      <c r="AA68" s="39">
        <v>45994</v>
      </c>
      <c r="AB68" s="3" t="s">
        <v>218</v>
      </c>
      <c r="AC68" s="3" t="s">
        <v>805</v>
      </c>
      <c r="AD68" s="29">
        <v>45966</v>
      </c>
      <c r="AE68" s="3">
        <v>3500000</v>
      </c>
      <c r="AF68" s="3">
        <v>3500000</v>
      </c>
      <c r="AG68" s="3">
        <v>0</v>
      </c>
      <c r="AH68" s="3">
        <v>3500000</v>
      </c>
      <c r="AI68" s="29">
        <v>45966</v>
      </c>
      <c r="AJ68" s="3">
        <v>3500000</v>
      </c>
      <c r="AK68" s="29" t="s">
        <v>56</v>
      </c>
      <c r="AL68" s="3">
        <v>0</v>
      </c>
    </row>
    <row r="69" spans="1:39" x14ac:dyDescent="0.3">
      <c r="A69" s="28" t="s">
        <v>706</v>
      </c>
      <c r="B69" s="3">
        <v>2025</v>
      </c>
      <c r="C69" s="3" t="s">
        <v>3535</v>
      </c>
      <c r="D69" s="3" t="s">
        <v>2872</v>
      </c>
      <c r="E69" s="3" t="s">
        <v>3541</v>
      </c>
      <c r="F69" s="38" t="s">
        <v>2885</v>
      </c>
      <c r="G69" s="12">
        <v>68</v>
      </c>
      <c r="H69" s="12" t="s">
        <v>729</v>
      </c>
      <c r="I69" s="29">
        <v>45968</v>
      </c>
      <c r="J69" s="29">
        <v>45968</v>
      </c>
      <c r="K69" s="3" t="s">
        <v>45</v>
      </c>
      <c r="L69" s="3" t="s">
        <v>61</v>
      </c>
      <c r="M69" s="3" t="s">
        <v>42</v>
      </c>
      <c r="N69" s="3" t="s">
        <v>709</v>
      </c>
      <c r="O69" s="3">
        <v>58</v>
      </c>
      <c r="P69" s="3">
        <v>2148678417</v>
      </c>
      <c r="Q69" s="3">
        <v>21486784176</v>
      </c>
      <c r="R69" s="3" t="s">
        <v>743</v>
      </c>
      <c r="S69" s="3" t="s">
        <v>3818</v>
      </c>
      <c r="T69" s="3" t="s">
        <v>711</v>
      </c>
      <c r="W69" s="3" t="s">
        <v>712</v>
      </c>
      <c r="X69" s="3" t="s">
        <v>713</v>
      </c>
      <c r="Y69" s="3" t="s">
        <v>714</v>
      </c>
      <c r="Z69" s="3" t="s">
        <v>715</v>
      </c>
      <c r="AA69" s="39">
        <v>45987</v>
      </c>
      <c r="AB69" s="3" t="s">
        <v>61</v>
      </c>
      <c r="AC69" s="3" t="s">
        <v>715</v>
      </c>
      <c r="AD69" s="29">
        <v>45986</v>
      </c>
      <c r="AE69" s="3">
        <v>2000000</v>
      </c>
      <c r="AF69" s="3">
        <v>2000000</v>
      </c>
      <c r="AG69" s="3">
        <v>0</v>
      </c>
      <c r="AH69" s="3">
        <v>2000000</v>
      </c>
      <c r="AI69" s="29">
        <v>45986</v>
      </c>
      <c r="AJ69" s="3">
        <v>2000000</v>
      </c>
      <c r="AK69" s="29" t="s">
        <v>56</v>
      </c>
      <c r="AL69" s="3">
        <v>0</v>
      </c>
    </row>
    <row r="70" spans="1:39" x14ac:dyDescent="0.3">
      <c r="A70" s="28" t="s">
        <v>1204</v>
      </c>
      <c r="B70" s="3">
        <v>2025</v>
      </c>
      <c r="C70" s="3" t="s">
        <v>3535</v>
      </c>
      <c r="D70" s="3" t="s">
        <v>71</v>
      </c>
      <c r="E70" s="3" t="s">
        <v>3541</v>
      </c>
      <c r="F70" s="38" t="s">
        <v>2886</v>
      </c>
      <c r="G70" s="12">
        <v>69</v>
      </c>
      <c r="H70" s="12" t="s">
        <v>741</v>
      </c>
      <c r="I70" s="29">
        <v>45971</v>
      </c>
      <c r="J70" s="29">
        <v>45971</v>
      </c>
      <c r="K70" s="3" t="s">
        <v>45</v>
      </c>
      <c r="L70" s="3" t="s">
        <v>46</v>
      </c>
      <c r="M70" s="3" t="s">
        <v>42</v>
      </c>
      <c r="N70" s="3" t="s">
        <v>1207</v>
      </c>
      <c r="O70" s="3">
        <v>69</v>
      </c>
      <c r="P70" s="3">
        <v>2161021273</v>
      </c>
      <c r="Q70" s="3">
        <v>21610212730</v>
      </c>
      <c r="R70" s="3" t="s">
        <v>1208</v>
      </c>
      <c r="S70" s="3" t="s">
        <v>3818</v>
      </c>
      <c r="T70" s="3" t="s">
        <v>1209</v>
      </c>
      <c r="U70" s="3" t="s">
        <v>1210</v>
      </c>
      <c r="V70" s="3" t="s">
        <v>2887</v>
      </c>
      <c r="W70" s="3" t="s">
        <v>1211</v>
      </c>
      <c r="X70" s="3" t="s">
        <v>1212</v>
      </c>
      <c r="Y70" s="3" t="s">
        <v>1213</v>
      </c>
      <c r="Z70" s="3" t="s">
        <v>1214</v>
      </c>
      <c r="AA70" s="39">
        <v>45993</v>
      </c>
      <c r="AB70" s="3" t="s">
        <v>46</v>
      </c>
      <c r="AC70" s="3" t="s">
        <v>1215</v>
      </c>
      <c r="AD70" s="29">
        <v>45994</v>
      </c>
      <c r="AE70" s="3">
        <v>800000</v>
      </c>
      <c r="AF70" s="3">
        <v>800000</v>
      </c>
      <c r="AG70" s="3">
        <v>0</v>
      </c>
      <c r="AH70" s="3">
        <v>0</v>
      </c>
      <c r="AI70" s="29">
        <v>45994</v>
      </c>
      <c r="AJ70" s="3">
        <v>0</v>
      </c>
      <c r="AK70" s="29" t="s">
        <v>56</v>
      </c>
      <c r="AL70" s="3">
        <v>0</v>
      </c>
    </row>
    <row r="71" spans="1:39" x14ac:dyDescent="0.3">
      <c r="A71" s="28" t="s">
        <v>342</v>
      </c>
      <c r="B71" s="3">
        <v>2025</v>
      </c>
      <c r="C71" s="3" t="s">
        <v>3535</v>
      </c>
      <c r="E71" s="3" t="s">
        <v>3541</v>
      </c>
      <c r="F71" s="38" t="s">
        <v>2888</v>
      </c>
      <c r="G71" s="12">
        <v>70</v>
      </c>
      <c r="H71" s="12" t="s">
        <v>747</v>
      </c>
      <c r="I71" s="29">
        <v>45971</v>
      </c>
      <c r="J71" s="29">
        <v>45971</v>
      </c>
      <c r="K71" s="3" t="s">
        <v>45</v>
      </c>
      <c r="L71" s="3" t="s">
        <v>181</v>
      </c>
      <c r="M71" s="3" t="s">
        <v>42</v>
      </c>
      <c r="N71" s="3" t="s">
        <v>345</v>
      </c>
      <c r="O71" s="3">
        <v>8</v>
      </c>
      <c r="P71" s="3">
        <v>8428701893</v>
      </c>
      <c r="Q71" s="3">
        <v>84287018930</v>
      </c>
      <c r="R71" s="3" t="s">
        <v>346</v>
      </c>
      <c r="S71" s="3" t="s">
        <v>3817</v>
      </c>
      <c r="T71" s="3" t="s">
        <v>347</v>
      </c>
      <c r="W71" s="3" t="s">
        <v>348</v>
      </c>
      <c r="X71" s="3" t="s">
        <v>224</v>
      </c>
      <c r="Y71" s="3" t="s">
        <v>349</v>
      </c>
      <c r="Z71" s="3" t="s">
        <v>350</v>
      </c>
      <c r="AA71" s="39">
        <v>45999</v>
      </c>
      <c r="AB71" s="3" t="s">
        <v>181</v>
      </c>
      <c r="AC71" s="3" t="s">
        <v>350</v>
      </c>
      <c r="AD71" s="29">
        <v>46001</v>
      </c>
      <c r="AE71" s="3">
        <v>1000000</v>
      </c>
      <c r="AF71" s="3">
        <v>600000</v>
      </c>
      <c r="AG71" s="3">
        <v>400000</v>
      </c>
      <c r="AH71" s="3">
        <v>1000000</v>
      </c>
      <c r="AI71" s="29">
        <v>46001</v>
      </c>
      <c r="AJ71" s="3">
        <v>600000</v>
      </c>
      <c r="AK71" s="29">
        <v>46006</v>
      </c>
      <c r="AL71" s="3">
        <v>400000</v>
      </c>
    </row>
    <row r="72" spans="1:39" x14ac:dyDescent="0.3">
      <c r="A72" s="28" t="s">
        <v>1019</v>
      </c>
      <c r="B72" s="3">
        <v>2025</v>
      </c>
      <c r="C72" s="3" t="s">
        <v>3535</v>
      </c>
      <c r="D72" s="3" t="s">
        <v>2889</v>
      </c>
      <c r="E72" s="3" t="s">
        <v>3541</v>
      </c>
      <c r="F72" s="38" t="s">
        <v>2890</v>
      </c>
      <c r="G72" s="12">
        <v>71</v>
      </c>
      <c r="H72" s="12" t="s">
        <v>758</v>
      </c>
      <c r="I72" s="29">
        <v>45973</v>
      </c>
      <c r="J72" s="29">
        <v>45973</v>
      </c>
      <c r="K72" s="3" t="s">
        <v>45</v>
      </c>
      <c r="L72" s="3" t="s">
        <v>1023</v>
      </c>
      <c r="M72" s="3" t="s">
        <v>613</v>
      </c>
      <c r="N72" s="3" t="s">
        <v>1024</v>
      </c>
      <c r="O72" s="3">
        <v>340</v>
      </c>
      <c r="P72" s="3">
        <v>4118119799</v>
      </c>
      <c r="Q72" s="3" t="s">
        <v>2891</v>
      </c>
      <c r="R72" s="3" t="s">
        <v>1025</v>
      </c>
      <c r="S72" s="3" t="s">
        <v>3818</v>
      </c>
      <c r="T72" s="3" t="s">
        <v>779</v>
      </c>
      <c r="W72" s="3" t="s">
        <v>1026</v>
      </c>
      <c r="X72" s="3" t="s">
        <v>442</v>
      </c>
      <c r="Y72" s="3" t="s">
        <v>1027</v>
      </c>
      <c r="Z72" s="3" t="s">
        <v>1028</v>
      </c>
      <c r="AA72" s="39">
        <v>46001</v>
      </c>
      <c r="AB72" s="3" t="s">
        <v>46</v>
      </c>
      <c r="AC72" s="3" t="s">
        <v>1029</v>
      </c>
      <c r="AD72" s="29">
        <v>46001</v>
      </c>
      <c r="AE72" s="3">
        <v>9800000</v>
      </c>
      <c r="AF72" s="3">
        <v>9800000</v>
      </c>
      <c r="AG72" s="3">
        <v>0</v>
      </c>
      <c r="AH72" s="3">
        <v>8200000</v>
      </c>
      <c r="AI72" s="29">
        <v>46001</v>
      </c>
      <c r="AJ72" s="3">
        <v>8200000</v>
      </c>
      <c r="AK72" s="29" t="s">
        <v>56</v>
      </c>
      <c r="AL72" s="3">
        <v>0</v>
      </c>
      <c r="AM72" s="3" t="s">
        <v>2892</v>
      </c>
    </row>
    <row r="73" spans="1:39" x14ac:dyDescent="0.3">
      <c r="A73" s="28" t="s">
        <v>916</v>
      </c>
      <c r="B73" s="3">
        <v>2025</v>
      </c>
      <c r="C73" s="3" t="s">
        <v>3535</v>
      </c>
      <c r="D73" s="3" t="s">
        <v>71</v>
      </c>
      <c r="E73" s="3" t="s">
        <v>3541</v>
      </c>
      <c r="F73" s="38" t="s">
        <v>2893</v>
      </c>
      <c r="G73" s="12">
        <v>72</v>
      </c>
      <c r="H73" s="12" t="s">
        <v>767</v>
      </c>
      <c r="I73" s="29">
        <v>45974</v>
      </c>
      <c r="J73" s="29">
        <v>45974</v>
      </c>
      <c r="K73" s="3" t="s">
        <v>45</v>
      </c>
      <c r="L73" s="3" t="s">
        <v>2894</v>
      </c>
      <c r="M73" s="3" t="s">
        <v>675</v>
      </c>
      <c r="N73" s="3" t="s">
        <v>920</v>
      </c>
      <c r="O73" s="3">
        <v>340</v>
      </c>
      <c r="P73" s="3">
        <v>2048203788</v>
      </c>
      <c r="Q73" s="3" t="s">
        <v>2896</v>
      </c>
      <c r="R73" s="3" t="s">
        <v>921</v>
      </c>
      <c r="S73" s="3" t="s">
        <v>3818</v>
      </c>
      <c r="T73" s="3" t="s">
        <v>922</v>
      </c>
      <c r="U73" s="3" t="s">
        <v>923</v>
      </c>
      <c r="V73" s="3" t="s">
        <v>2897</v>
      </c>
      <c r="W73" s="3" t="s">
        <v>924</v>
      </c>
      <c r="X73" s="3" t="s">
        <v>178</v>
      </c>
      <c r="Y73" s="3" t="s">
        <v>925</v>
      </c>
      <c r="Z73" s="3" t="s">
        <v>926</v>
      </c>
      <c r="AA73" s="39">
        <v>46002</v>
      </c>
      <c r="AB73" s="3" t="s">
        <v>46</v>
      </c>
      <c r="AC73" s="3" t="s">
        <v>926</v>
      </c>
      <c r="AD73" s="29">
        <v>46002</v>
      </c>
      <c r="AE73" s="3">
        <v>4900000</v>
      </c>
      <c r="AF73" s="3">
        <v>4900000</v>
      </c>
      <c r="AG73" s="3">
        <v>0</v>
      </c>
      <c r="AH73" s="3">
        <v>0</v>
      </c>
      <c r="AI73" s="29">
        <v>46002</v>
      </c>
      <c r="AJ73" s="3">
        <v>0</v>
      </c>
      <c r="AK73" s="29" t="s">
        <v>56</v>
      </c>
      <c r="AL73" s="3">
        <v>0</v>
      </c>
    </row>
    <row r="74" spans="1:39" x14ac:dyDescent="0.3">
      <c r="A74" s="28" t="s">
        <v>860</v>
      </c>
      <c r="B74" s="3">
        <v>2025</v>
      </c>
      <c r="C74" s="3" t="s">
        <v>3535</v>
      </c>
      <c r="D74" s="3" t="s">
        <v>71</v>
      </c>
      <c r="E74" s="3" t="s">
        <v>3541</v>
      </c>
      <c r="F74" s="38" t="s">
        <v>2898</v>
      </c>
      <c r="G74" s="12">
        <v>73</v>
      </c>
      <c r="H74" s="12" t="s">
        <v>776</v>
      </c>
      <c r="I74" s="29">
        <v>45974</v>
      </c>
      <c r="J74" s="29">
        <v>45974</v>
      </c>
      <c r="K74" s="3" t="s">
        <v>45</v>
      </c>
      <c r="L74" s="3" t="s">
        <v>2899</v>
      </c>
      <c r="M74" s="3" t="s">
        <v>42</v>
      </c>
      <c r="N74" s="3" t="s">
        <v>864</v>
      </c>
      <c r="O74" s="3">
        <v>240</v>
      </c>
      <c r="P74" s="3">
        <v>1838602229</v>
      </c>
      <c r="Q74" s="3" t="s">
        <v>2900</v>
      </c>
      <c r="R74" s="3" t="s">
        <v>865</v>
      </c>
      <c r="S74" s="3" t="s">
        <v>3818</v>
      </c>
      <c r="T74" s="3" t="s">
        <v>855</v>
      </c>
      <c r="U74" s="3" t="s">
        <v>866</v>
      </c>
      <c r="V74" s="3" t="s">
        <v>2868</v>
      </c>
      <c r="W74" s="3" t="s">
        <v>857</v>
      </c>
      <c r="X74" s="3" t="s">
        <v>491</v>
      </c>
      <c r="Y74" s="3" t="s">
        <v>858</v>
      </c>
      <c r="Z74" s="3" t="s">
        <v>859</v>
      </c>
      <c r="AA74" s="39">
        <v>46002</v>
      </c>
      <c r="AB74" s="3" t="s">
        <v>218</v>
      </c>
      <c r="AC74" s="3" t="s">
        <v>859</v>
      </c>
      <c r="AD74" s="29">
        <v>46013</v>
      </c>
      <c r="AE74" s="3">
        <v>3000000</v>
      </c>
      <c r="AF74" s="3">
        <v>3000000</v>
      </c>
      <c r="AG74" s="3">
        <v>0</v>
      </c>
      <c r="AH74" s="3">
        <v>0</v>
      </c>
      <c r="AI74" s="29">
        <v>46013</v>
      </c>
      <c r="AJ74" s="3">
        <v>0</v>
      </c>
      <c r="AK74" s="29" t="s">
        <v>56</v>
      </c>
      <c r="AL74" s="3">
        <v>0</v>
      </c>
    </row>
    <row r="75" spans="1:39" x14ac:dyDescent="0.3">
      <c r="A75" s="28" t="s">
        <v>867</v>
      </c>
      <c r="B75" s="3">
        <v>2025</v>
      </c>
      <c r="C75" s="3" t="s">
        <v>3535</v>
      </c>
      <c r="D75" s="3" t="s">
        <v>2901</v>
      </c>
      <c r="E75" s="3" t="s">
        <v>3541</v>
      </c>
      <c r="F75" s="38" t="s">
        <v>2902</v>
      </c>
      <c r="G75" s="12">
        <v>74</v>
      </c>
      <c r="H75" s="12" t="s">
        <v>786</v>
      </c>
      <c r="I75" s="29">
        <v>45979</v>
      </c>
      <c r="J75" s="29">
        <v>45980</v>
      </c>
      <c r="K75" s="3" t="s">
        <v>45</v>
      </c>
      <c r="L75" s="3" t="s">
        <v>2903</v>
      </c>
      <c r="M75" s="3" t="s">
        <v>42</v>
      </c>
      <c r="N75" s="3" t="s">
        <v>872</v>
      </c>
      <c r="O75" s="3">
        <v>340</v>
      </c>
      <c r="P75" s="3">
        <v>1078111563</v>
      </c>
      <c r="Q75" s="3" t="s">
        <v>2904</v>
      </c>
      <c r="R75" s="3" t="s">
        <v>873</v>
      </c>
      <c r="S75" s="3" t="s">
        <v>3818</v>
      </c>
      <c r="T75" s="3" t="s">
        <v>874</v>
      </c>
      <c r="U75" s="3" t="s">
        <v>2905</v>
      </c>
      <c r="V75" s="3" t="s">
        <v>2906</v>
      </c>
      <c r="W75" s="3" t="s">
        <v>2907</v>
      </c>
      <c r="X75" s="3" t="s">
        <v>388</v>
      </c>
      <c r="Y75" s="3" t="s">
        <v>2908</v>
      </c>
      <c r="Z75" s="3" t="s">
        <v>2909</v>
      </c>
      <c r="AA75" s="39">
        <v>46009</v>
      </c>
      <c r="AB75" s="3" t="s">
        <v>61</v>
      </c>
      <c r="AC75" s="3" t="s">
        <v>2909</v>
      </c>
      <c r="AD75" s="29">
        <v>46013</v>
      </c>
      <c r="AE75" s="3">
        <v>9000000</v>
      </c>
      <c r="AF75" s="3">
        <v>9000000</v>
      </c>
      <c r="AG75" s="3">
        <v>0</v>
      </c>
      <c r="AH75" s="3">
        <v>0</v>
      </c>
      <c r="AI75" s="29">
        <v>46013</v>
      </c>
      <c r="AJ75" s="3">
        <v>0</v>
      </c>
      <c r="AK75" s="29"/>
      <c r="AL75" s="3">
        <v>0</v>
      </c>
    </row>
    <row r="76" spans="1:39" x14ac:dyDescent="0.3">
      <c r="A76" s="28" t="s">
        <v>2910</v>
      </c>
      <c r="B76" s="3">
        <v>2025</v>
      </c>
      <c r="C76" s="3" t="s">
        <v>3535</v>
      </c>
      <c r="D76" s="3" t="s">
        <v>2911</v>
      </c>
      <c r="E76" s="3" t="s">
        <v>3541</v>
      </c>
      <c r="F76" s="38" t="s">
        <v>2912</v>
      </c>
      <c r="G76" s="12">
        <v>75</v>
      </c>
      <c r="H76" s="12" t="s">
        <v>797</v>
      </c>
      <c r="I76" s="29">
        <v>45980</v>
      </c>
      <c r="J76" s="29">
        <v>45980</v>
      </c>
      <c r="K76" s="3" t="s">
        <v>45</v>
      </c>
      <c r="L76" s="3" t="s">
        <v>46</v>
      </c>
      <c r="M76" s="3" t="s">
        <v>42</v>
      </c>
      <c r="N76" s="3" t="s">
        <v>2913</v>
      </c>
      <c r="O76" s="3">
        <v>10</v>
      </c>
      <c r="P76" s="3">
        <v>7478602912</v>
      </c>
      <c r="Q76" s="3" t="s">
        <v>2914</v>
      </c>
      <c r="R76" s="3" t="s">
        <v>2915</v>
      </c>
      <c r="S76" s="3" t="s">
        <v>3817</v>
      </c>
      <c r="T76" s="3" t="s">
        <v>2916</v>
      </c>
      <c r="U76" s="3" t="s">
        <v>2917</v>
      </c>
      <c r="V76" s="3" t="s">
        <v>2918</v>
      </c>
      <c r="W76" s="3" t="s">
        <v>2919</v>
      </c>
      <c r="X76" s="3" t="s">
        <v>66</v>
      </c>
      <c r="Y76" s="3" t="s">
        <v>2920</v>
      </c>
      <c r="Z76" s="3" t="s">
        <v>2921</v>
      </c>
      <c r="AA76" s="39">
        <v>46007</v>
      </c>
      <c r="AB76" s="3" t="s">
        <v>46</v>
      </c>
      <c r="AC76" s="3" t="s">
        <v>2921</v>
      </c>
      <c r="AD76" s="29">
        <v>46007</v>
      </c>
      <c r="AE76" s="3">
        <v>500000</v>
      </c>
      <c r="AF76" s="3">
        <v>100000</v>
      </c>
      <c r="AG76" s="3">
        <v>400000</v>
      </c>
      <c r="AH76" s="3">
        <v>0</v>
      </c>
      <c r="AI76" s="29">
        <v>46007</v>
      </c>
      <c r="AJ76" s="3">
        <v>0</v>
      </c>
      <c r="AK76" s="29" t="s">
        <v>56</v>
      </c>
      <c r="AL76" s="3">
        <v>0</v>
      </c>
    </row>
    <row r="77" spans="1:39" x14ac:dyDescent="0.3">
      <c r="A77" s="28" t="s">
        <v>282</v>
      </c>
      <c r="B77" s="3">
        <v>2025</v>
      </c>
      <c r="C77" s="3" t="s">
        <v>3535</v>
      </c>
      <c r="D77" s="3" t="s">
        <v>71</v>
      </c>
      <c r="E77" s="3" t="s">
        <v>3541</v>
      </c>
      <c r="F77" s="38" t="s">
        <v>2922</v>
      </c>
      <c r="G77" s="12">
        <v>76</v>
      </c>
      <c r="H77" s="12" t="s">
        <v>808</v>
      </c>
      <c r="I77" s="29">
        <v>45981</v>
      </c>
      <c r="J77" s="29">
        <v>45981</v>
      </c>
      <c r="K77" s="3" t="s">
        <v>45</v>
      </c>
      <c r="L77" s="3" t="s">
        <v>46</v>
      </c>
      <c r="M77" s="3" t="s">
        <v>231</v>
      </c>
      <c r="N77" s="3" t="s">
        <v>286</v>
      </c>
      <c r="O77" s="3">
        <v>46</v>
      </c>
      <c r="P77" s="3">
        <v>4558100330</v>
      </c>
      <c r="Q77" s="3">
        <v>45581003300</v>
      </c>
      <c r="R77" s="3" t="s">
        <v>287</v>
      </c>
      <c r="S77" s="3" t="s">
        <v>3817</v>
      </c>
      <c r="T77" s="3" t="s">
        <v>288</v>
      </c>
      <c r="U77" s="3" t="s">
        <v>289</v>
      </c>
      <c r="V77" s="3" t="s">
        <v>2923</v>
      </c>
      <c r="W77" s="3" t="s">
        <v>290</v>
      </c>
      <c r="X77" s="3" t="s">
        <v>224</v>
      </c>
      <c r="Y77" s="3" t="s">
        <v>291</v>
      </c>
      <c r="Z77" s="3" t="s">
        <v>292</v>
      </c>
      <c r="AA77" s="39">
        <v>46007</v>
      </c>
      <c r="AB77" s="3" t="s">
        <v>46</v>
      </c>
      <c r="AC77" s="3" t="s">
        <v>293</v>
      </c>
      <c r="AD77" s="29">
        <v>46007</v>
      </c>
      <c r="AE77" s="3">
        <v>3300000</v>
      </c>
      <c r="AF77" s="3">
        <v>2900000</v>
      </c>
      <c r="AG77" s="3">
        <v>400000</v>
      </c>
      <c r="AH77" s="3">
        <v>2900000</v>
      </c>
      <c r="AI77" s="29">
        <v>46007</v>
      </c>
      <c r="AJ77" s="3">
        <v>2900000</v>
      </c>
      <c r="AK77" s="29"/>
      <c r="AL77" s="3">
        <v>0</v>
      </c>
    </row>
    <row r="78" spans="1:39" x14ac:dyDescent="0.3">
      <c r="A78" s="28" t="s">
        <v>504</v>
      </c>
      <c r="B78" s="3">
        <v>2025</v>
      </c>
      <c r="C78" s="3" t="s">
        <v>3535</v>
      </c>
      <c r="D78" s="3" t="s">
        <v>2872</v>
      </c>
      <c r="E78" s="3" t="s">
        <v>3541</v>
      </c>
      <c r="F78" s="38" t="s">
        <v>2924</v>
      </c>
      <c r="G78" s="12">
        <v>77</v>
      </c>
      <c r="H78" s="12" t="s">
        <v>818</v>
      </c>
      <c r="I78" s="29">
        <v>45982</v>
      </c>
      <c r="J78" s="29">
        <v>45982</v>
      </c>
      <c r="K78" s="3" t="s">
        <v>45</v>
      </c>
      <c r="L78" s="3" t="s">
        <v>2925</v>
      </c>
      <c r="M78" s="3" t="s">
        <v>42</v>
      </c>
      <c r="N78" s="3" t="s">
        <v>508</v>
      </c>
      <c r="O78" s="3">
        <v>217</v>
      </c>
      <c r="P78" s="3">
        <v>1048118121</v>
      </c>
      <c r="Q78" s="3">
        <v>10481181216</v>
      </c>
      <c r="R78" s="3" t="s">
        <v>509</v>
      </c>
      <c r="S78" s="3" t="s">
        <v>3818</v>
      </c>
      <c r="T78" s="3" t="s">
        <v>510</v>
      </c>
      <c r="W78" s="3" t="s">
        <v>2926</v>
      </c>
      <c r="Y78" s="3" t="s">
        <v>513</v>
      </c>
      <c r="Z78" s="3" t="s">
        <v>2927</v>
      </c>
      <c r="AA78" s="39">
        <v>46002</v>
      </c>
      <c r="AB78" s="3" t="s">
        <v>73</v>
      </c>
      <c r="AC78" s="3" t="s">
        <v>2927</v>
      </c>
      <c r="AD78" s="29">
        <v>46002</v>
      </c>
      <c r="AE78" s="3">
        <v>5600000</v>
      </c>
      <c r="AF78" s="3">
        <v>5600000</v>
      </c>
      <c r="AG78" s="3">
        <v>0</v>
      </c>
      <c r="AH78" s="3">
        <v>0</v>
      </c>
      <c r="AI78" s="29">
        <v>46002</v>
      </c>
      <c r="AJ78" s="3">
        <v>0</v>
      </c>
      <c r="AK78" s="29" t="s">
        <v>56</v>
      </c>
      <c r="AL78" s="3">
        <v>0</v>
      </c>
    </row>
    <row r="79" spans="1:39" x14ac:dyDescent="0.3">
      <c r="A79" s="28" t="s">
        <v>848</v>
      </c>
      <c r="B79" s="3">
        <v>2025</v>
      </c>
      <c r="C79" s="3" t="s">
        <v>3535</v>
      </c>
      <c r="D79" s="3" t="s">
        <v>2928</v>
      </c>
      <c r="E79" s="3" t="s">
        <v>3541</v>
      </c>
      <c r="F79" s="38" t="s">
        <v>2929</v>
      </c>
      <c r="G79" s="12">
        <v>78</v>
      </c>
      <c r="H79" s="12" t="s">
        <v>828</v>
      </c>
      <c r="I79" s="29">
        <v>45985</v>
      </c>
      <c r="J79" s="29">
        <v>45986</v>
      </c>
      <c r="K79" s="3" t="s">
        <v>45</v>
      </c>
      <c r="L79" s="3" t="s">
        <v>2930</v>
      </c>
      <c r="M79" s="3" t="s">
        <v>42</v>
      </c>
      <c r="N79" s="3" t="s">
        <v>853</v>
      </c>
      <c r="O79" s="3">
        <v>223</v>
      </c>
      <c r="P79" s="3">
        <v>2208113641</v>
      </c>
      <c r="Q79" s="3" t="s">
        <v>2931</v>
      </c>
      <c r="R79" s="3" t="s">
        <v>854</v>
      </c>
      <c r="S79" s="3" t="s">
        <v>3818</v>
      </c>
      <c r="T79" s="3" t="s">
        <v>855</v>
      </c>
      <c r="U79" s="3" t="s">
        <v>856</v>
      </c>
      <c r="V79" s="3" t="s">
        <v>2868</v>
      </c>
      <c r="W79" s="3" t="s">
        <v>857</v>
      </c>
      <c r="X79" s="3" t="s">
        <v>491</v>
      </c>
      <c r="Y79" s="3" t="s">
        <v>858</v>
      </c>
      <c r="Z79" s="3" t="s">
        <v>859</v>
      </c>
      <c r="AA79" s="39">
        <v>46014</v>
      </c>
      <c r="AB79" s="3" t="s">
        <v>61</v>
      </c>
      <c r="AC79" s="3" t="s">
        <v>859</v>
      </c>
      <c r="AD79" s="29">
        <v>46013</v>
      </c>
      <c r="AE79" s="3">
        <v>7500000</v>
      </c>
      <c r="AF79" s="3">
        <v>7500000</v>
      </c>
      <c r="AG79" s="3">
        <v>0</v>
      </c>
      <c r="AH79" s="3">
        <v>0</v>
      </c>
      <c r="AI79" s="29">
        <v>46013</v>
      </c>
      <c r="AJ79" s="3">
        <v>0</v>
      </c>
      <c r="AK79" s="29" t="s">
        <v>56</v>
      </c>
      <c r="AL79" s="3">
        <v>0</v>
      </c>
    </row>
    <row r="80" spans="1:39" x14ac:dyDescent="0.3">
      <c r="A80" s="28" t="s">
        <v>3811</v>
      </c>
      <c r="B80" s="3">
        <v>2025</v>
      </c>
      <c r="C80" s="3" t="s">
        <v>3535</v>
      </c>
      <c r="D80" s="3" t="s">
        <v>2928</v>
      </c>
      <c r="E80" s="3" t="s">
        <v>3541</v>
      </c>
      <c r="F80" s="38" t="s">
        <v>2932</v>
      </c>
      <c r="G80" s="12">
        <v>79</v>
      </c>
      <c r="H80" s="12" t="s">
        <v>839</v>
      </c>
      <c r="I80" s="29">
        <v>45986</v>
      </c>
      <c r="J80" s="29">
        <v>45992</v>
      </c>
      <c r="K80" s="3" t="s">
        <v>45</v>
      </c>
      <c r="L80" s="3" t="s">
        <v>73</v>
      </c>
      <c r="M80" s="3" t="s">
        <v>42</v>
      </c>
      <c r="N80" s="3" t="s">
        <v>829</v>
      </c>
      <c r="O80" s="3">
        <v>22</v>
      </c>
      <c r="P80" s="3">
        <v>3118204843</v>
      </c>
      <c r="Q80" s="3" t="s">
        <v>2933</v>
      </c>
      <c r="R80" s="3" t="s">
        <v>830</v>
      </c>
      <c r="S80" s="3" t="s">
        <v>3817</v>
      </c>
      <c r="T80" s="3" t="s">
        <v>831</v>
      </c>
      <c r="U80" s="3" t="s">
        <v>832</v>
      </c>
      <c r="V80" s="3" t="s">
        <v>2934</v>
      </c>
      <c r="W80" s="3" t="s">
        <v>833</v>
      </c>
      <c r="Y80" s="3" t="s">
        <v>834</v>
      </c>
      <c r="Z80" s="3" t="s">
        <v>835</v>
      </c>
      <c r="AA80" s="39">
        <v>46013</v>
      </c>
      <c r="AB80" s="3" t="s">
        <v>73</v>
      </c>
      <c r="AC80" s="3" t="s">
        <v>2935</v>
      </c>
      <c r="AD80" s="29">
        <v>46015</v>
      </c>
      <c r="AE80" s="3">
        <v>3000000</v>
      </c>
      <c r="AF80" s="3">
        <v>2600000</v>
      </c>
      <c r="AG80" s="3">
        <v>400000</v>
      </c>
      <c r="AH80" s="3">
        <v>0</v>
      </c>
      <c r="AI80" s="29">
        <v>46015</v>
      </c>
      <c r="AJ80" s="3">
        <v>0</v>
      </c>
      <c r="AK80" s="29"/>
      <c r="AL80" s="3">
        <v>0</v>
      </c>
    </row>
    <row r="81" spans="1:38" x14ac:dyDescent="0.3">
      <c r="A81" s="28" t="s">
        <v>70</v>
      </c>
      <c r="B81" s="3">
        <v>2025</v>
      </c>
      <c r="C81" s="3" t="s">
        <v>3535</v>
      </c>
      <c r="D81" s="3" t="s">
        <v>71</v>
      </c>
      <c r="E81" s="3" t="s">
        <v>3541</v>
      </c>
      <c r="F81" s="38" t="s">
        <v>2936</v>
      </c>
      <c r="G81" s="12">
        <v>80</v>
      </c>
      <c r="H81" s="12" t="s">
        <v>839</v>
      </c>
      <c r="I81" s="29">
        <v>45986</v>
      </c>
      <c r="J81" s="29">
        <v>45986</v>
      </c>
      <c r="K81" s="3" t="s">
        <v>45</v>
      </c>
      <c r="L81" s="3" t="s">
        <v>46</v>
      </c>
      <c r="M81" s="3" t="s">
        <v>42</v>
      </c>
      <c r="N81" s="3" t="s">
        <v>74</v>
      </c>
      <c r="O81" s="3">
        <v>3</v>
      </c>
      <c r="P81" s="3">
        <v>3128609757</v>
      </c>
      <c r="Q81" s="3" t="s">
        <v>2937</v>
      </c>
      <c r="R81" s="3" t="s">
        <v>75</v>
      </c>
      <c r="S81" s="3" t="s">
        <v>3817</v>
      </c>
      <c r="T81" s="3" t="s">
        <v>76</v>
      </c>
      <c r="U81" s="3" t="s">
        <v>77</v>
      </c>
      <c r="V81" s="3" t="s">
        <v>2938</v>
      </c>
      <c r="W81" s="3" t="s">
        <v>75</v>
      </c>
      <c r="X81" s="3" t="s">
        <v>78</v>
      </c>
      <c r="Y81" s="3" t="s">
        <v>79</v>
      </c>
      <c r="Z81" s="3" t="s">
        <v>80</v>
      </c>
      <c r="AA81" s="39">
        <v>46007</v>
      </c>
      <c r="AB81" s="3" t="s">
        <v>46</v>
      </c>
      <c r="AC81" s="3" t="s">
        <v>80</v>
      </c>
      <c r="AD81" s="29" t="s">
        <v>69</v>
      </c>
      <c r="AE81" s="3">
        <v>400000</v>
      </c>
      <c r="AF81" s="3">
        <v>0</v>
      </c>
      <c r="AG81" s="3">
        <v>400000</v>
      </c>
      <c r="AH81" s="3">
        <v>0</v>
      </c>
      <c r="AI81" s="29" t="s">
        <v>69</v>
      </c>
      <c r="AJ81" s="3">
        <v>0</v>
      </c>
      <c r="AK81" s="29"/>
      <c r="AL81" s="3">
        <v>0</v>
      </c>
    </row>
    <row r="82" spans="1:38" x14ac:dyDescent="0.3">
      <c r="A82" s="28" t="s">
        <v>2939</v>
      </c>
      <c r="B82" s="3">
        <v>2025</v>
      </c>
      <c r="C82" s="3" t="s">
        <v>3535</v>
      </c>
      <c r="D82" s="3" t="s">
        <v>2872</v>
      </c>
      <c r="E82" s="3" t="s">
        <v>3541</v>
      </c>
      <c r="F82" s="38" t="s">
        <v>2940</v>
      </c>
      <c r="G82" s="12">
        <v>81</v>
      </c>
      <c r="H82" s="12" t="s">
        <v>851</v>
      </c>
      <c r="I82" s="29">
        <v>45987</v>
      </c>
      <c r="J82" s="29">
        <v>45992</v>
      </c>
      <c r="K82" s="3" t="s">
        <v>45</v>
      </c>
      <c r="L82" s="3" t="s">
        <v>2941</v>
      </c>
      <c r="M82" s="3" t="s">
        <v>2942</v>
      </c>
      <c r="N82" s="3" t="s">
        <v>2943</v>
      </c>
      <c r="O82" s="3">
        <v>750</v>
      </c>
      <c r="P82" s="3">
        <v>1148116377</v>
      </c>
      <c r="Q82" s="3" t="s">
        <v>2944</v>
      </c>
      <c r="R82" s="3" t="s">
        <v>2945</v>
      </c>
      <c r="S82" s="3" t="s">
        <v>3818</v>
      </c>
      <c r="T82" s="3" t="s">
        <v>2946</v>
      </c>
      <c r="U82" s="3" t="s">
        <v>2947</v>
      </c>
      <c r="V82" s="3" t="s">
        <v>2948</v>
      </c>
      <c r="W82" s="3" t="s">
        <v>2949</v>
      </c>
      <c r="X82" s="3" t="s">
        <v>178</v>
      </c>
      <c r="Y82" s="3" t="s">
        <v>2950</v>
      </c>
      <c r="Z82" s="3" t="s">
        <v>2951</v>
      </c>
      <c r="AA82" s="39">
        <v>46021</v>
      </c>
      <c r="AB82" s="3" t="s">
        <v>46</v>
      </c>
      <c r="AC82" s="3" t="s">
        <v>2951</v>
      </c>
      <c r="AD82" s="29"/>
      <c r="AE82" s="3">
        <v>15000000</v>
      </c>
      <c r="AF82" s="3">
        <v>15000000</v>
      </c>
      <c r="AG82" s="3">
        <v>0</v>
      </c>
      <c r="AH82" s="3">
        <v>0</v>
      </c>
      <c r="AI82" s="29">
        <v>0</v>
      </c>
      <c r="AJ82" s="3">
        <v>0</v>
      </c>
      <c r="AK82" s="29" t="s">
        <v>56</v>
      </c>
      <c r="AL82" s="3">
        <v>0</v>
      </c>
    </row>
    <row r="83" spans="1:38" x14ac:dyDescent="0.3">
      <c r="A83" s="28" t="s">
        <v>2952</v>
      </c>
      <c r="B83" s="3">
        <v>2025</v>
      </c>
      <c r="C83" s="3" t="s">
        <v>3535</v>
      </c>
      <c r="D83" s="3" t="s">
        <v>2953</v>
      </c>
      <c r="E83" s="3" t="s">
        <v>3541</v>
      </c>
      <c r="F83" s="38" t="s">
        <v>2954</v>
      </c>
      <c r="G83" s="12">
        <v>82</v>
      </c>
      <c r="H83" s="12" t="s">
        <v>862</v>
      </c>
      <c r="I83" s="29">
        <v>45987</v>
      </c>
      <c r="J83" s="29">
        <v>45987</v>
      </c>
      <c r="K83" s="3" t="s">
        <v>45</v>
      </c>
      <c r="L83" s="3" t="s">
        <v>61</v>
      </c>
      <c r="M83" s="3" t="s">
        <v>42</v>
      </c>
      <c r="N83" s="3" t="s">
        <v>2955</v>
      </c>
      <c r="O83" s="3">
        <v>20</v>
      </c>
      <c r="P83" s="3">
        <v>5888100474</v>
      </c>
      <c r="Q83" s="3">
        <v>58881004746</v>
      </c>
      <c r="R83" s="3" t="s">
        <v>2956</v>
      </c>
      <c r="S83" s="3" t="s">
        <v>3817</v>
      </c>
      <c r="T83" s="3" t="s">
        <v>2957</v>
      </c>
      <c r="W83" s="3" t="s">
        <v>2958</v>
      </c>
      <c r="X83" s="3" t="s">
        <v>2959</v>
      </c>
      <c r="Y83" s="3" t="s">
        <v>2960</v>
      </c>
      <c r="Z83" s="3" t="s">
        <v>2961</v>
      </c>
      <c r="AA83" s="39">
        <v>46007</v>
      </c>
      <c r="AB83" s="3" t="s">
        <v>46</v>
      </c>
      <c r="AC83" s="3">
        <v>0</v>
      </c>
      <c r="AD83" s="29" t="s">
        <v>69</v>
      </c>
      <c r="AE83" s="3">
        <v>937090</v>
      </c>
      <c r="AF83" s="3">
        <v>0</v>
      </c>
      <c r="AG83" s="3">
        <v>937090</v>
      </c>
      <c r="AH83" s="3">
        <v>0</v>
      </c>
      <c r="AI83" s="29" t="s">
        <v>69</v>
      </c>
      <c r="AJ83" s="3">
        <v>0</v>
      </c>
      <c r="AK83" s="29"/>
      <c r="AL83" s="3">
        <v>0</v>
      </c>
    </row>
    <row r="84" spans="1:38" x14ac:dyDescent="0.3">
      <c r="A84" s="28" t="s">
        <v>1010</v>
      </c>
      <c r="B84" s="3">
        <v>2025</v>
      </c>
      <c r="C84" s="3" t="s">
        <v>3535</v>
      </c>
      <c r="D84" s="3" t="s">
        <v>2878</v>
      </c>
      <c r="E84" s="3" t="s">
        <v>3541</v>
      </c>
      <c r="F84" s="38" t="s">
        <v>2962</v>
      </c>
      <c r="G84" s="12">
        <v>83</v>
      </c>
      <c r="H84" s="12" t="s">
        <v>870</v>
      </c>
      <c r="I84" s="29">
        <v>45992</v>
      </c>
      <c r="J84" s="29">
        <v>45992</v>
      </c>
      <c r="K84" s="3" t="s">
        <v>45</v>
      </c>
      <c r="L84" s="3" t="s">
        <v>181</v>
      </c>
      <c r="M84" s="3" t="s">
        <v>42</v>
      </c>
      <c r="N84" s="3" t="s">
        <v>1013</v>
      </c>
      <c r="O84" s="3">
        <v>65</v>
      </c>
      <c r="P84" s="3">
        <v>1248148819</v>
      </c>
      <c r="Q84" s="3">
        <v>31285467170</v>
      </c>
      <c r="R84" s="3" t="s">
        <v>457</v>
      </c>
      <c r="S84" s="3" t="s">
        <v>3818</v>
      </c>
      <c r="T84" s="3" t="s">
        <v>1014</v>
      </c>
      <c r="U84" s="3" t="s">
        <v>1015</v>
      </c>
      <c r="V84" s="3" t="s">
        <v>2963</v>
      </c>
      <c r="W84" s="3" t="s">
        <v>1016</v>
      </c>
      <c r="X84" s="3" t="s">
        <v>388</v>
      </c>
      <c r="Y84" s="3" t="s">
        <v>1017</v>
      </c>
      <c r="Z84" s="3" t="s">
        <v>1018</v>
      </c>
      <c r="AA84" s="39"/>
      <c r="AC84" s="3" t="s">
        <v>463</v>
      </c>
      <c r="AD84" s="29">
        <v>46015</v>
      </c>
      <c r="AE84" s="3">
        <v>500000</v>
      </c>
      <c r="AF84" s="3">
        <v>500000</v>
      </c>
      <c r="AG84" s="3">
        <v>0</v>
      </c>
      <c r="AH84" s="3">
        <v>500000</v>
      </c>
      <c r="AI84" s="29">
        <v>46015</v>
      </c>
      <c r="AJ84" s="3">
        <v>500000</v>
      </c>
      <c r="AK84" s="29" t="s">
        <v>56</v>
      </c>
      <c r="AL84" s="3">
        <v>0</v>
      </c>
    </row>
    <row r="85" spans="1:38" x14ac:dyDescent="0.3">
      <c r="A85" s="28" t="s">
        <v>2964</v>
      </c>
      <c r="B85" s="3">
        <v>2025</v>
      </c>
      <c r="C85" s="3" t="s">
        <v>3535</v>
      </c>
      <c r="E85" s="3" t="s">
        <v>3541</v>
      </c>
      <c r="F85" s="38" t="s">
        <v>2965</v>
      </c>
      <c r="G85" s="12">
        <v>84</v>
      </c>
      <c r="H85" s="12" t="s">
        <v>889</v>
      </c>
      <c r="I85" s="29">
        <v>45993</v>
      </c>
      <c r="J85" s="29">
        <v>45993</v>
      </c>
      <c r="K85" s="3" t="s">
        <v>45</v>
      </c>
      <c r="L85" s="3" t="s">
        <v>181</v>
      </c>
      <c r="M85" s="3" t="s">
        <v>42</v>
      </c>
      <c r="N85" s="3" t="s">
        <v>2966</v>
      </c>
      <c r="O85" s="3">
        <v>68</v>
      </c>
      <c r="P85" s="3">
        <v>1258187120</v>
      </c>
      <c r="Q85" s="3">
        <v>92229694161</v>
      </c>
      <c r="R85" s="3" t="s">
        <v>2967</v>
      </c>
      <c r="S85" s="3" t="s">
        <v>3818</v>
      </c>
      <c r="T85" s="3" t="s">
        <v>2968</v>
      </c>
      <c r="U85" s="3" t="s">
        <v>2969</v>
      </c>
      <c r="V85" s="3" t="s">
        <v>2970</v>
      </c>
      <c r="W85" s="3" t="s">
        <v>2971</v>
      </c>
      <c r="X85" s="3" t="s">
        <v>168</v>
      </c>
      <c r="Y85" s="3" t="s">
        <v>2972</v>
      </c>
      <c r="Z85" s="3" t="s">
        <v>2973</v>
      </c>
      <c r="AA85" s="39"/>
      <c r="AC85" s="3" t="s">
        <v>2974</v>
      </c>
      <c r="AD85" s="29">
        <v>46015</v>
      </c>
      <c r="AE85" s="3">
        <v>450000</v>
      </c>
      <c r="AF85" s="3">
        <v>450000</v>
      </c>
      <c r="AG85" s="3">
        <v>0</v>
      </c>
      <c r="AH85" s="3">
        <v>0</v>
      </c>
      <c r="AI85" s="29">
        <v>46015</v>
      </c>
      <c r="AJ85" s="3">
        <v>0</v>
      </c>
      <c r="AK85" s="29" t="s">
        <v>56</v>
      </c>
      <c r="AL85" s="3">
        <v>0</v>
      </c>
    </row>
    <row r="86" spans="1:38" x14ac:dyDescent="0.3">
      <c r="A86" s="28" t="s">
        <v>1224</v>
      </c>
      <c r="B86" s="3">
        <v>2025</v>
      </c>
      <c r="C86" s="3" t="s">
        <v>3535</v>
      </c>
      <c r="D86" s="3" t="s">
        <v>2872</v>
      </c>
      <c r="E86" s="3" t="s">
        <v>3541</v>
      </c>
      <c r="F86" s="38" t="s">
        <v>2975</v>
      </c>
      <c r="G86" s="12">
        <v>85</v>
      </c>
      <c r="H86" s="12" t="s">
        <v>908</v>
      </c>
      <c r="I86" s="29">
        <v>45995</v>
      </c>
      <c r="J86" s="29">
        <v>45995</v>
      </c>
      <c r="K86" s="3" t="s">
        <v>45</v>
      </c>
      <c r="L86" s="3" t="s">
        <v>2976</v>
      </c>
      <c r="M86" s="3" t="s">
        <v>1228</v>
      </c>
      <c r="N86" s="3" t="s">
        <v>1229</v>
      </c>
      <c r="O86" s="3">
        <v>342</v>
      </c>
      <c r="P86" s="3">
        <v>1168107777</v>
      </c>
      <c r="Q86" s="3">
        <v>11681077776</v>
      </c>
      <c r="R86" s="3" t="s">
        <v>1230</v>
      </c>
      <c r="S86" s="3" t="s">
        <v>3818</v>
      </c>
      <c r="T86" s="3" t="s">
        <v>1231</v>
      </c>
      <c r="U86" s="3" t="s">
        <v>1232</v>
      </c>
      <c r="V86" s="3" t="s">
        <v>2977</v>
      </c>
      <c r="W86" s="3" t="s">
        <v>1233</v>
      </c>
      <c r="X86" s="3" t="s">
        <v>134</v>
      </c>
      <c r="Y86" s="3" t="s">
        <v>1234</v>
      </c>
      <c r="Z86" s="3" t="s">
        <v>1235</v>
      </c>
      <c r="AA86" s="39">
        <v>46022</v>
      </c>
      <c r="AB86" s="3" t="s">
        <v>73</v>
      </c>
      <c r="AC86" s="3" t="s">
        <v>1235</v>
      </c>
      <c r="AD86" s="29">
        <v>46008</v>
      </c>
      <c r="AE86" s="3">
        <v>10600000</v>
      </c>
      <c r="AF86" s="3">
        <v>10600000</v>
      </c>
      <c r="AG86" s="3">
        <v>0</v>
      </c>
      <c r="AH86" s="3">
        <v>10600000</v>
      </c>
      <c r="AI86" s="29">
        <v>46008</v>
      </c>
      <c r="AJ86" s="3">
        <v>10600000</v>
      </c>
      <c r="AK86" s="29" t="s">
        <v>56</v>
      </c>
      <c r="AL86" s="3">
        <v>0</v>
      </c>
    </row>
    <row r="87" spans="1:38" x14ac:dyDescent="0.3">
      <c r="A87" s="28" t="s">
        <v>1236</v>
      </c>
      <c r="B87" s="3">
        <v>2025</v>
      </c>
      <c r="C87" s="3" t="s">
        <v>3535</v>
      </c>
      <c r="E87" s="3" t="s">
        <v>3541</v>
      </c>
      <c r="F87" s="38" t="s">
        <v>2978</v>
      </c>
      <c r="G87" s="12">
        <v>86</v>
      </c>
      <c r="H87" s="12" t="s">
        <v>908</v>
      </c>
      <c r="I87" s="29">
        <v>45995</v>
      </c>
      <c r="J87" s="29">
        <v>45995</v>
      </c>
      <c r="K87" s="3" t="s">
        <v>45</v>
      </c>
      <c r="L87" s="3" t="s">
        <v>218</v>
      </c>
      <c r="M87" s="3" t="s">
        <v>1238</v>
      </c>
      <c r="N87" s="3" t="s">
        <v>1239</v>
      </c>
      <c r="O87" s="3">
        <v>4</v>
      </c>
      <c r="P87" s="3">
        <v>1198130845</v>
      </c>
      <c r="Q87" s="3">
        <v>91303824841</v>
      </c>
      <c r="R87" s="3" t="s">
        <v>1067</v>
      </c>
      <c r="S87" s="3" t="s">
        <v>3818</v>
      </c>
      <c r="T87" s="3" t="s">
        <v>1240</v>
      </c>
      <c r="U87" s="3" t="s">
        <v>1079</v>
      </c>
      <c r="V87" s="3" t="s">
        <v>2979</v>
      </c>
      <c r="W87" s="3" t="s">
        <v>1241</v>
      </c>
      <c r="X87" s="3" t="s">
        <v>1112</v>
      </c>
      <c r="Y87" s="3" t="s">
        <v>1242</v>
      </c>
      <c r="Z87" s="3" t="s">
        <v>1243</v>
      </c>
      <c r="AA87" s="39">
        <v>46021</v>
      </c>
      <c r="AB87" s="3" t="s">
        <v>218</v>
      </c>
      <c r="AC87" s="3" t="s">
        <v>1073</v>
      </c>
      <c r="AD87" s="29" t="s">
        <v>3812</v>
      </c>
      <c r="AE87" s="3">
        <v>1000000</v>
      </c>
      <c r="AF87" s="3">
        <v>1000000</v>
      </c>
      <c r="AG87" s="3">
        <v>0</v>
      </c>
      <c r="AH87" s="3">
        <v>1000000</v>
      </c>
      <c r="AI87" s="29" t="s">
        <v>3812</v>
      </c>
      <c r="AJ87" s="3">
        <v>1000000</v>
      </c>
      <c r="AK87" s="29" t="s">
        <v>56</v>
      </c>
      <c r="AL87" s="3">
        <v>0</v>
      </c>
    </row>
    <row r="88" spans="1:38" x14ac:dyDescent="0.3">
      <c r="A88" s="28" t="s">
        <v>774</v>
      </c>
      <c r="B88" s="3">
        <v>2025</v>
      </c>
      <c r="C88" s="3" t="s">
        <v>3535</v>
      </c>
      <c r="D88" s="3" t="s">
        <v>2872</v>
      </c>
      <c r="E88" s="3" t="s">
        <v>3541</v>
      </c>
      <c r="F88" s="38" t="s">
        <v>2980</v>
      </c>
      <c r="G88" s="12">
        <v>87</v>
      </c>
      <c r="H88" s="12" t="s">
        <v>918</v>
      </c>
      <c r="I88" s="29">
        <v>45999</v>
      </c>
      <c r="J88" s="29">
        <v>45999</v>
      </c>
      <c r="K88" s="3" t="s">
        <v>45</v>
      </c>
      <c r="L88" s="3" t="s">
        <v>181</v>
      </c>
      <c r="M88" s="3" t="s">
        <v>613</v>
      </c>
      <c r="N88" s="3" t="s">
        <v>777</v>
      </c>
      <c r="O88" s="3">
        <v>7</v>
      </c>
      <c r="P88" s="3">
        <v>4098618375</v>
      </c>
      <c r="Q88" s="3">
        <v>40986183756</v>
      </c>
      <c r="R88" s="3" t="s">
        <v>778</v>
      </c>
      <c r="S88" s="3" t="s">
        <v>3817</v>
      </c>
      <c r="T88" s="3" t="s">
        <v>779</v>
      </c>
      <c r="W88" s="3" t="s">
        <v>780</v>
      </c>
      <c r="X88" s="3" t="s">
        <v>224</v>
      </c>
      <c r="Y88" s="3" t="s">
        <v>781</v>
      </c>
      <c r="Z88" s="3" t="s">
        <v>2981</v>
      </c>
      <c r="AA88" s="39"/>
      <c r="AC88" s="3" t="s">
        <v>2981</v>
      </c>
      <c r="AD88" s="29" t="s">
        <v>3812</v>
      </c>
      <c r="AE88" s="3">
        <v>1000000</v>
      </c>
      <c r="AF88" s="3">
        <v>600000</v>
      </c>
      <c r="AG88" s="3">
        <v>400000</v>
      </c>
      <c r="AH88" s="3">
        <v>0</v>
      </c>
      <c r="AI88" s="29" t="s">
        <v>3812</v>
      </c>
      <c r="AJ88" s="3">
        <v>0</v>
      </c>
      <c r="AK88" s="29"/>
      <c r="AL88" s="3">
        <v>0</v>
      </c>
    </row>
    <row r="89" spans="1:38" x14ac:dyDescent="0.3">
      <c r="A89" s="28" t="s">
        <v>1259</v>
      </c>
      <c r="B89" s="3">
        <v>2025</v>
      </c>
      <c r="C89" s="3" t="s">
        <v>3535</v>
      </c>
      <c r="E89" s="3" t="s">
        <v>3541</v>
      </c>
      <c r="F89" s="38" t="s">
        <v>2982</v>
      </c>
      <c r="G89" s="12">
        <v>88</v>
      </c>
      <c r="H89" s="12" t="s">
        <v>929</v>
      </c>
      <c r="I89" s="29">
        <v>46000</v>
      </c>
      <c r="J89" s="29">
        <v>46000</v>
      </c>
      <c r="K89" s="3" t="s">
        <v>45</v>
      </c>
      <c r="L89" s="3" t="s">
        <v>181</v>
      </c>
      <c r="M89" s="3" t="s">
        <v>334</v>
      </c>
      <c r="N89" s="3" t="s">
        <v>1262</v>
      </c>
      <c r="O89" s="3">
        <v>5</v>
      </c>
      <c r="P89" s="3">
        <v>1198130845</v>
      </c>
      <c r="Q89" s="3">
        <v>91920118401</v>
      </c>
      <c r="R89" s="3" t="s">
        <v>1067</v>
      </c>
      <c r="S89" s="3" t="s">
        <v>3818</v>
      </c>
      <c r="T89" s="3" t="s">
        <v>1263</v>
      </c>
      <c r="U89" s="3" t="s">
        <v>1079</v>
      </c>
      <c r="V89" s="3" t="s">
        <v>2983</v>
      </c>
      <c r="W89" s="3" t="s">
        <v>1264</v>
      </c>
      <c r="Y89" s="3" t="s">
        <v>1265</v>
      </c>
      <c r="Z89" s="3" t="s">
        <v>1266</v>
      </c>
      <c r="AA89" s="39"/>
      <c r="AC89" s="3" t="s">
        <v>1073</v>
      </c>
      <c r="AD89" s="29" t="s">
        <v>3812</v>
      </c>
      <c r="AE89" s="3">
        <v>1000000</v>
      </c>
      <c r="AF89" s="3">
        <v>1000000</v>
      </c>
      <c r="AG89" s="3">
        <v>0</v>
      </c>
      <c r="AH89" s="3">
        <v>1000000</v>
      </c>
      <c r="AI89" s="29" t="s">
        <v>3812</v>
      </c>
      <c r="AJ89" s="3">
        <v>1000000</v>
      </c>
      <c r="AK89" s="29" t="s">
        <v>56</v>
      </c>
      <c r="AL89" s="3">
        <v>0</v>
      </c>
    </row>
    <row r="90" spans="1:38" x14ac:dyDescent="0.3">
      <c r="A90" s="28" t="s">
        <v>622</v>
      </c>
      <c r="B90" s="3">
        <v>2025</v>
      </c>
      <c r="C90" s="3" t="s">
        <v>3535</v>
      </c>
      <c r="D90" s="3" t="s">
        <v>2872</v>
      </c>
      <c r="E90" s="3" t="s">
        <v>3541</v>
      </c>
      <c r="F90" s="38" t="s">
        <v>2984</v>
      </c>
      <c r="G90" s="12">
        <v>89</v>
      </c>
      <c r="H90" s="12" t="s">
        <v>2315</v>
      </c>
      <c r="I90" s="29">
        <v>46001</v>
      </c>
      <c r="J90" s="29">
        <v>46001</v>
      </c>
      <c r="K90" s="3" t="s">
        <v>45</v>
      </c>
      <c r="L90" s="3" t="s">
        <v>46</v>
      </c>
      <c r="M90" s="3" t="s">
        <v>42</v>
      </c>
      <c r="N90" s="3" t="s">
        <v>625</v>
      </c>
      <c r="O90" s="3">
        <v>18</v>
      </c>
      <c r="P90" s="3">
        <v>5058108961</v>
      </c>
      <c r="Q90" s="3">
        <v>50581089616</v>
      </c>
      <c r="R90" s="3" t="s">
        <v>626</v>
      </c>
      <c r="S90" s="3" t="s">
        <v>3817</v>
      </c>
      <c r="T90" s="3" t="s">
        <v>627</v>
      </c>
      <c r="W90" s="3" t="s">
        <v>2985</v>
      </c>
      <c r="X90" s="3" t="s">
        <v>89</v>
      </c>
      <c r="Y90" s="3" t="s">
        <v>2986</v>
      </c>
      <c r="Z90" s="3" t="s">
        <v>2987</v>
      </c>
      <c r="AA90" s="39">
        <v>46028</v>
      </c>
      <c r="AB90" s="3" t="s">
        <v>46</v>
      </c>
      <c r="AC90" s="3" t="s">
        <v>2987</v>
      </c>
      <c r="AD90" s="29" t="s">
        <v>3812</v>
      </c>
      <c r="AE90" s="3">
        <v>1150000</v>
      </c>
      <c r="AF90" s="3">
        <v>750000</v>
      </c>
      <c r="AG90" s="3">
        <v>400000</v>
      </c>
      <c r="AH90" s="3">
        <v>0</v>
      </c>
      <c r="AI90" s="29" t="s">
        <v>3812</v>
      </c>
      <c r="AJ90" s="3">
        <v>0</v>
      </c>
      <c r="AK90" s="29"/>
      <c r="AL90" s="3">
        <v>0</v>
      </c>
    </row>
    <row r="91" spans="1:38" x14ac:dyDescent="0.3">
      <c r="A91" s="28" t="s">
        <v>999</v>
      </c>
      <c r="B91" s="3">
        <v>2025</v>
      </c>
      <c r="C91" s="3" t="s">
        <v>3535</v>
      </c>
      <c r="D91" s="3" t="s">
        <v>71</v>
      </c>
      <c r="E91" s="3" t="s">
        <v>3541</v>
      </c>
      <c r="F91" s="38" t="s">
        <v>2988</v>
      </c>
      <c r="G91" s="12">
        <v>90</v>
      </c>
      <c r="H91" s="12" t="s">
        <v>951</v>
      </c>
      <c r="I91" s="29">
        <v>46002</v>
      </c>
      <c r="J91" s="29">
        <v>46002</v>
      </c>
      <c r="K91" s="3" t="s">
        <v>45</v>
      </c>
      <c r="L91" s="3" t="s">
        <v>73</v>
      </c>
      <c r="M91" s="3" t="s">
        <v>42</v>
      </c>
      <c r="N91" s="3" t="s">
        <v>1002</v>
      </c>
      <c r="O91" s="3">
        <v>128</v>
      </c>
      <c r="P91" s="3">
        <v>2078146590</v>
      </c>
      <c r="Q91" s="3" t="s">
        <v>2989</v>
      </c>
      <c r="R91" s="3" t="s">
        <v>1003</v>
      </c>
      <c r="S91" s="3" t="s">
        <v>3818</v>
      </c>
      <c r="T91" s="3" t="s">
        <v>1004</v>
      </c>
      <c r="U91" s="3" t="s">
        <v>1005</v>
      </c>
      <c r="V91" s="3" t="s">
        <v>2990</v>
      </c>
      <c r="W91" s="3" t="s">
        <v>1006</v>
      </c>
      <c r="Y91" s="3" t="s">
        <v>1007</v>
      </c>
      <c r="Z91" s="3" t="s">
        <v>1008</v>
      </c>
      <c r="AA91" s="39">
        <v>46022</v>
      </c>
      <c r="AB91" s="3" t="s">
        <v>73</v>
      </c>
      <c r="AC91" s="3" t="s">
        <v>1009</v>
      </c>
      <c r="AD91" s="29">
        <v>46008</v>
      </c>
      <c r="AE91" s="3">
        <v>1300000</v>
      </c>
      <c r="AF91" s="3">
        <v>1300000</v>
      </c>
      <c r="AG91" s="3">
        <v>0</v>
      </c>
      <c r="AH91" s="3">
        <v>0</v>
      </c>
      <c r="AI91" s="29">
        <v>46008</v>
      </c>
      <c r="AJ91" s="3">
        <v>0</v>
      </c>
      <c r="AK91" s="29" t="s">
        <v>56</v>
      </c>
      <c r="AL91" s="3">
        <v>0</v>
      </c>
    </row>
    <row r="92" spans="1:38" x14ac:dyDescent="0.3">
      <c r="A92" s="28" t="s">
        <v>2991</v>
      </c>
      <c r="B92" s="3">
        <v>2025</v>
      </c>
      <c r="C92" s="3" t="s">
        <v>3535</v>
      </c>
      <c r="D92" s="3" t="s">
        <v>2992</v>
      </c>
      <c r="E92" s="3" t="s">
        <v>3541</v>
      </c>
      <c r="F92" s="38" t="s">
        <v>2993</v>
      </c>
      <c r="G92" s="12">
        <v>91</v>
      </c>
      <c r="H92" s="12" t="s">
        <v>962</v>
      </c>
      <c r="I92" s="29">
        <v>46002</v>
      </c>
      <c r="J92" s="29">
        <v>46002</v>
      </c>
      <c r="K92" s="3" t="s">
        <v>45</v>
      </c>
      <c r="L92" s="3" t="s">
        <v>61</v>
      </c>
      <c r="M92" s="3" t="s">
        <v>42</v>
      </c>
      <c r="N92" s="3" t="s">
        <v>2994</v>
      </c>
      <c r="O92" s="3">
        <v>22</v>
      </c>
      <c r="P92" s="3">
        <v>3718701178</v>
      </c>
      <c r="Q92" s="3" t="s">
        <v>2995</v>
      </c>
      <c r="R92" s="3" t="s">
        <v>2996</v>
      </c>
      <c r="S92" s="3" t="s">
        <v>3817</v>
      </c>
      <c r="T92" s="3" t="s">
        <v>2997</v>
      </c>
      <c r="U92" s="3" t="s">
        <v>2998</v>
      </c>
      <c r="V92" s="3" t="s">
        <v>2999</v>
      </c>
      <c r="W92" s="3" t="s">
        <v>3000</v>
      </c>
      <c r="X92" s="3" t="s">
        <v>321</v>
      </c>
      <c r="Y92" s="3" t="s">
        <v>3001</v>
      </c>
      <c r="Z92" s="3" t="s">
        <v>3002</v>
      </c>
      <c r="AA92" s="39">
        <v>46028</v>
      </c>
      <c r="AB92" s="3" t="s">
        <v>61</v>
      </c>
      <c r="AC92" s="3" t="s">
        <v>3002</v>
      </c>
      <c r="AD92" s="29">
        <v>46013</v>
      </c>
      <c r="AE92" s="3">
        <v>1200000</v>
      </c>
      <c r="AF92" s="3">
        <v>800000</v>
      </c>
      <c r="AG92" s="3">
        <v>400000</v>
      </c>
      <c r="AH92" s="3">
        <v>0</v>
      </c>
      <c r="AI92" s="29">
        <v>46013</v>
      </c>
      <c r="AJ92" s="3">
        <v>0</v>
      </c>
      <c r="AK92" s="29"/>
      <c r="AL92" s="3">
        <v>0</v>
      </c>
    </row>
    <row r="93" spans="1:38" x14ac:dyDescent="0.3">
      <c r="A93" s="28" t="s">
        <v>3003</v>
      </c>
      <c r="B93" s="3">
        <v>2025</v>
      </c>
      <c r="C93" s="3" t="s">
        <v>3535</v>
      </c>
      <c r="D93" s="3" t="s">
        <v>2992</v>
      </c>
      <c r="E93" s="3" t="s">
        <v>3541</v>
      </c>
      <c r="F93" s="38" t="s">
        <v>3004</v>
      </c>
      <c r="G93" s="12">
        <v>92</v>
      </c>
      <c r="H93" s="12" t="s">
        <v>974</v>
      </c>
      <c r="I93" s="29">
        <v>46002</v>
      </c>
      <c r="J93" s="29">
        <v>46002</v>
      </c>
      <c r="K93" s="3" t="s">
        <v>45</v>
      </c>
      <c r="L93" s="3" t="s">
        <v>181</v>
      </c>
      <c r="M93" s="3" t="s">
        <v>42</v>
      </c>
      <c r="N93" s="3" t="s">
        <v>3005</v>
      </c>
      <c r="O93" s="3">
        <v>13</v>
      </c>
      <c r="P93" s="3">
        <v>3128188679</v>
      </c>
      <c r="Q93" s="3" t="s">
        <v>3006</v>
      </c>
      <c r="R93" s="3" t="s">
        <v>3007</v>
      </c>
      <c r="S93" s="3" t="s">
        <v>3817</v>
      </c>
      <c r="T93" s="3" t="s">
        <v>3008</v>
      </c>
      <c r="U93" s="3" t="s">
        <v>2998</v>
      </c>
      <c r="V93" s="3" t="s">
        <v>2999</v>
      </c>
      <c r="W93" s="3" t="s">
        <v>3000</v>
      </c>
      <c r="X93" s="3" t="s">
        <v>321</v>
      </c>
      <c r="Y93" s="3" t="s">
        <v>3001</v>
      </c>
      <c r="Z93" s="3" t="s">
        <v>3002</v>
      </c>
      <c r="AA93" s="39">
        <v>46029</v>
      </c>
      <c r="AB93" s="3" t="s">
        <v>61</v>
      </c>
      <c r="AC93" s="3" t="s">
        <v>3002</v>
      </c>
      <c r="AD93" s="29">
        <v>46013</v>
      </c>
      <c r="AE93" s="3">
        <v>600000</v>
      </c>
      <c r="AF93" s="3">
        <v>200000</v>
      </c>
      <c r="AG93" s="3">
        <v>400000</v>
      </c>
      <c r="AH93" s="3">
        <v>0</v>
      </c>
      <c r="AI93" s="29">
        <v>46013</v>
      </c>
      <c r="AJ93" s="3">
        <v>0</v>
      </c>
      <c r="AK93" s="29"/>
      <c r="AL93" s="3">
        <v>0</v>
      </c>
    </row>
    <row r="94" spans="1:38" x14ac:dyDescent="0.3">
      <c r="A94" s="28" t="s">
        <v>1286</v>
      </c>
      <c r="B94" s="3">
        <v>2025</v>
      </c>
      <c r="C94" s="3" t="s">
        <v>3535</v>
      </c>
      <c r="D94" s="3" t="s">
        <v>3009</v>
      </c>
      <c r="E94" s="3" t="s">
        <v>3541</v>
      </c>
      <c r="F94" s="38" t="s">
        <v>3010</v>
      </c>
      <c r="G94" s="12">
        <v>93</v>
      </c>
      <c r="H94" s="12" t="s">
        <v>987</v>
      </c>
      <c r="I94" s="29">
        <v>46006</v>
      </c>
      <c r="J94" s="29">
        <v>46007</v>
      </c>
      <c r="K94" s="3" t="s">
        <v>3815</v>
      </c>
      <c r="L94" s="3" t="s">
        <v>2930</v>
      </c>
      <c r="M94" s="3" t="s">
        <v>42</v>
      </c>
      <c r="N94" s="3" t="s">
        <v>1291</v>
      </c>
      <c r="O94" s="3">
        <v>168</v>
      </c>
      <c r="P94" s="3">
        <v>3128149360</v>
      </c>
      <c r="Q94" s="3">
        <v>31281493600</v>
      </c>
      <c r="R94" s="3" t="s">
        <v>1292</v>
      </c>
      <c r="S94" s="3" t="s">
        <v>3818</v>
      </c>
      <c r="T94" s="3" t="s">
        <v>1293</v>
      </c>
      <c r="U94" s="3" t="s">
        <v>1294</v>
      </c>
      <c r="V94" s="3" t="s">
        <v>3011</v>
      </c>
      <c r="W94" s="3" t="s">
        <v>1295</v>
      </c>
      <c r="X94" s="3" t="s">
        <v>134</v>
      </c>
      <c r="Y94" s="3" t="s">
        <v>1296</v>
      </c>
      <c r="Z94" s="3" t="s">
        <v>1297</v>
      </c>
      <c r="AA94" s="39"/>
      <c r="AC94" s="3" t="s">
        <v>1298</v>
      </c>
      <c r="AD94" s="29">
        <v>46013</v>
      </c>
      <c r="AE94" s="3">
        <v>9500000</v>
      </c>
      <c r="AF94" s="3">
        <v>9500000</v>
      </c>
      <c r="AG94" s="3">
        <v>0</v>
      </c>
      <c r="AH94" s="3">
        <v>0</v>
      </c>
      <c r="AI94" s="29">
        <v>46013</v>
      </c>
      <c r="AJ94" s="3">
        <v>0</v>
      </c>
      <c r="AK94" s="29" t="s">
        <v>56</v>
      </c>
      <c r="AL94" s="3">
        <v>0</v>
      </c>
    </row>
    <row r="95" spans="1:38" x14ac:dyDescent="0.3">
      <c r="A95" s="28" t="s">
        <v>1170</v>
      </c>
      <c r="B95" s="3">
        <v>2025</v>
      </c>
      <c r="C95" s="3" t="s">
        <v>3535</v>
      </c>
      <c r="D95" s="3" t="s">
        <v>2872</v>
      </c>
      <c r="E95" s="3" t="s">
        <v>3541</v>
      </c>
      <c r="F95" s="38" t="s">
        <v>3012</v>
      </c>
      <c r="G95" s="12">
        <v>94</v>
      </c>
      <c r="H95" s="12" t="s">
        <v>992</v>
      </c>
      <c r="I95" s="29">
        <v>46006</v>
      </c>
      <c r="J95" s="29">
        <v>46006</v>
      </c>
      <c r="K95" s="3" t="s">
        <v>45</v>
      </c>
      <c r="L95" s="3" t="s">
        <v>73</v>
      </c>
      <c r="M95" s="3" t="s">
        <v>42</v>
      </c>
      <c r="N95" s="3" t="s">
        <v>1173</v>
      </c>
      <c r="O95" s="3">
        <v>9</v>
      </c>
      <c r="P95" s="3">
        <v>7358600094</v>
      </c>
      <c r="Q95" s="3">
        <v>73586000946</v>
      </c>
      <c r="R95" s="3" t="s">
        <v>63</v>
      </c>
      <c r="S95" s="3" t="s">
        <v>3817</v>
      </c>
      <c r="T95" s="3" t="s">
        <v>1174</v>
      </c>
      <c r="U95" s="3" t="s">
        <v>1175</v>
      </c>
      <c r="V95" s="3" t="s">
        <v>3013</v>
      </c>
      <c r="W95" s="3" t="s">
        <v>65</v>
      </c>
      <c r="X95" s="3" t="s">
        <v>66</v>
      </c>
      <c r="Y95" s="3" t="s">
        <v>67</v>
      </c>
      <c r="Z95" s="3" t="s">
        <v>68</v>
      </c>
      <c r="AA95" s="39"/>
      <c r="AC95" s="3" t="s">
        <v>68</v>
      </c>
      <c r="AD95" s="29" t="s">
        <v>69</v>
      </c>
      <c r="AE95" s="3">
        <v>400000</v>
      </c>
      <c r="AF95" s="3">
        <v>0</v>
      </c>
      <c r="AG95" s="3">
        <v>400000</v>
      </c>
      <c r="AH95" s="3">
        <v>0</v>
      </c>
      <c r="AI95" s="29" t="s">
        <v>69</v>
      </c>
      <c r="AJ95" s="3">
        <v>0</v>
      </c>
      <c r="AK95" s="29"/>
      <c r="AL95" s="3">
        <v>0</v>
      </c>
    </row>
    <row r="96" spans="1:38" x14ac:dyDescent="0.3">
      <c r="A96" s="28" t="s">
        <v>1186</v>
      </c>
      <c r="B96" s="3">
        <v>2025</v>
      </c>
      <c r="C96" s="3" t="s">
        <v>3535</v>
      </c>
      <c r="D96" s="3" t="s">
        <v>71</v>
      </c>
      <c r="E96" s="3" t="s">
        <v>3541</v>
      </c>
      <c r="F96" s="38" t="s">
        <v>3014</v>
      </c>
      <c r="G96" s="12">
        <v>95</v>
      </c>
      <c r="H96" s="12" t="s">
        <v>1001</v>
      </c>
      <c r="I96" s="29">
        <v>46007</v>
      </c>
      <c r="J96" s="29">
        <v>46007</v>
      </c>
      <c r="K96" s="3" t="s">
        <v>3815</v>
      </c>
      <c r="L96" s="3" t="s">
        <v>46</v>
      </c>
      <c r="M96" s="3" t="s">
        <v>42</v>
      </c>
      <c r="N96" s="3" t="s">
        <v>1190</v>
      </c>
      <c r="O96" s="3">
        <v>240</v>
      </c>
      <c r="P96" s="3">
        <v>1298118421</v>
      </c>
      <c r="Q96" s="3" t="s">
        <v>3015</v>
      </c>
      <c r="R96" s="3" t="s">
        <v>1191</v>
      </c>
      <c r="S96" s="3" t="s">
        <v>3818</v>
      </c>
      <c r="T96" s="3" t="s">
        <v>1192</v>
      </c>
      <c r="U96" s="3" t="s">
        <v>1193</v>
      </c>
      <c r="V96" s="3" t="s">
        <v>3016</v>
      </c>
      <c r="W96" s="3" t="s">
        <v>1194</v>
      </c>
      <c r="X96" s="3" t="s">
        <v>178</v>
      </c>
      <c r="Y96" s="3" t="s">
        <v>1195</v>
      </c>
      <c r="Z96" s="3" t="s">
        <v>1196</v>
      </c>
      <c r="AA96" s="39"/>
      <c r="AC96" s="3" t="s">
        <v>1196</v>
      </c>
      <c r="AD96" s="29">
        <v>46021</v>
      </c>
      <c r="AE96" s="3">
        <v>1900000</v>
      </c>
      <c r="AF96" s="3">
        <v>1900000</v>
      </c>
      <c r="AG96" s="3">
        <v>0</v>
      </c>
      <c r="AH96" s="3">
        <v>0</v>
      </c>
      <c r="AI96" s="29">
        <v>46021</v>
      </c>
      <c r="AJ96" s="3">
        <v>0</v>
      </c>
      <c r="AK96" s="29" t="s">
        <v>56</v>
      </c>
      <c r="AL96" s="3">
        <v>0</v>
      </c>
    </row>
    <row r="97" spans="1:39" x14ac:dyDescent="0.3">
      <c r="A97" s="28" t="s">
        <v>3017</v>
      </c>
      <c r="B97" s="3">
        <v>2025</v>
      </c>
      <c r="C97" s="3" t="s">
        <v>3535</v>
      </c>
      <c r="D97" s="3" t="s">
        <v>2953</v>
      </c>
      <c r="E97" s="3" t="s">
        <v>3541</v>
      </c>
      <c r="F97" s="38" t="s">
        <v>3018</v>
      </c>
      <c r="G97" s="12">
        <v>96</v>
      </c>
      <c r="H97" s="12" t="s">
        <v>1001</v>
      </c>
      <c r="I97" s="29">
        <v>46008</v>
      </c>
      <c r="J97" s="29">
        <v>46008</v>
      </c>
      <c r="K97" s="3" t="s">
        <v>3815</v>
      </c>
      <c r="L97" s="3" t="s">
        <v>181</v>
      </c>
      <c r="M97" s="3" t="s">
        <v>613</v>
      </c>
      <c r="N97" s="3" t="s">
        <v>3019</v>
      </c>
      <c r="O97" s="3">
        <v>4</v>
      </c>
      <c r="P97" s="3">
        <v>3138102242</v>
      </c>
      <c r="Q97" s="3">
        <v>31381022426</v>
      </c>
      <c r="R97" s="3" t="s">
        <v>3020</v>
      </c>
      <c r="S97" s="3" t="s">
        <v>3817</v>
      </c>
      <c r="T97" s="3" t="s">
        <v>3021</v>
      </c>
      <c r="U97" s="3" t="s">
        <v>3022</v>
      </c>
      <c r="V97" s="3" t="s">
        <v>3023</v>
      </c>
      <c r="W97" s="3" t="s">
        <v>3024</v>
      </c>
      <c r="X97" s="3" t="s">
        <v>134</v>
      </c>
      <c r="Y97" s="3" t="s">
        <v>3025</v>
      </c>
      <c r="Z97" s="3" t="s">
        <v>3026</v>
      </c>
      <c r="AA97" s="39"/>
      <c r="AC97" s="3" t="s">
        <v>3027</v>
      </c>
      <c r="AD97" s="29" t="s">
        <v>69</v>
      </c>
      <c r="AE97" s="3">
        <v>981880</v>
      </c>
      <c r="AF97" s="3">
        <v>0</v>
      </c>
      <c r="AG97" s="3">
        <v>981880</v>
      </c>
      <c r="AH97" s="3">
        <v>0</v>
      </c>
      <c r="AI97" s="29" t="s">
        <v>69</v>
      </c>
      <c r="AJ97" s="3">
        <v>0</v>
      </c>
      <c r="AK97" s="29"/>
      <c r="AL97" s="3">
        <v>0</v>
      </c>
    </row>
    <row r="98" spans="1:39" x14ac:dyDescent="0.3">
      <c r="A98" s="28" t="s">
        <v>585</v>
      </c>
      <c r="B98" s="3">
        <v>2025</v>
      </c>
      <c r="C98" s="3" t="s">
        <v>3535</v>
      </c>
      <c r="D98" s="3" t="s">
        <v>3028</v>
      </c>
      <c r="E98" s="3" t="s">
        <v>3541</v>
      </c>
      <c r="F98" s="38" t="s">
        <v>3029</v>
      </c>
      <c r="G98" s="12">
        <v>97</v>
      </c>
      <c r="H98" s="12" t="s">
        <v>1012</v>
      </c>
      <c r="I98" s="29">
        <v>46008</v>
      </c>
      <c r="J98" s="29">
        <v>46008</v>
      </c>
      <c r="K98" s="3" t="s">
        <v>3815</v>
      </c>
      <c r="L98" s="3" t="s">
        <v>46</v>
      </c>
      <c r="M98" s="3" t="s">
        <v>589</v>
      </c>
      <c r="N98" s="3" t="s">
        <v>590</v>
      </c>
      <c r="O98" s="3">
        <v>23</v>
      </c>
      <c r="P98" s="3">
        <v>1378144615</v>
      </c>
      <c r="Q98" s="3">
        <v>13781446150</v>
      </c>
      <c r="R98" s="3" t="s">
        <v>591</v>
      </c>
      <c r="S98" s="3" t="s">
        <v>3817</v>
      </c>
      <c r="T98" s="3" t="s">
        <v>592</v>
      </c>
      <c r="U98" s="3" t="s">
        <v>593</v>
      </c>
      <c r="V98" s="3" t="s">
        <v>3030</v>
      </c>
      <c r="W98" s="3" t="s">
        <v>594</v>
      </c>
      <c r="X98" s="3" t="s">
        <v>134</v>
      </c>
      <c r="Y98" s="3" t="s">
        <v>595</v>
      </c>
      <c r="Z98" s="3" t="s">
        <v>596</v>
      </c>
      <c r="AA98" s="39"/>
      <c r="AC98" s="3" t="s">
        <v>597</v>
      </c>
      <c r="AD98" s="29"/>
      <c r="AE98" s="3">
        <v>1880000</v>
      </c>
      <c r="AF98" s="3">
        <v>1480000</v>
      </c>
      <c r="AG98" s="3">
        <v>400000</v>
      </c>
      <c r="AH98" s="3">
        <v>0</v>
      </c>
      <c r="AI98" s="29">
        <v>0</v>
      </c>
      <c r="AJ98" s="3">
        <v>0</v>
      </c>
      <c r="AK98" s="29"/>
      <c r="AL98" s="3">
        <v>0</v>
      </c>
    </row>
    <row r="99" spans="1:39" x14ac:dyDescent="0.3">
      <c r="A99" s="28" t="s">
        <v>3031</v>
      </c>
      <c r="B99" s="3">
        <v>2025</v>
      </c>
      <c r="C99" s="3" t="s">
        <v>3535</v>
      </c>
      <c r="E99" s="3" t="s">
        <v>3541</v>
      </c>
      <c r="F99" s="38" t="s">
        <v>3032</v>
      </c>
      <c r="G99" s="12">
        <v>98</v>
      </c>
      <c r="H99" s="12" t="s">
        <v>1022</v>
      </c>
      <c r="I99" s="29">
        <v>46009</v>
      </c>
      <c r="J99" s="29">
        <v>46009</v>
      </c>
      <c r="K99" s="3" t="s">
        <v>45</v>
      </c>
      <c r="L99" s="3" t="s">
        <v>46</v>
      </c>
      <c r="M99" s="3" t="s">
        <v>675</v>
      </c>
      <c r="N99" s="3" t="s">
        <v>3033</v>
      </c>
      <c r="O99" s="3">
        <v>255</v>
      </c>
      <c r="P99" s="3">
        <v>6168127929</v>
      </c>
      <c r="Q99" s="3" t="s">
        <v>3034</v>
      </c>
      <c r="R99" s="3" t="s">
        <v>3035</v>
      </c>
      <c r="S99" s="3" t="s">
        <v>3818</v>
      </c>
      <c r="T99" s="3" t="s">
        <v>3036</v>
      </c>
      <c r="U99" s="3" t="s">
        <v>3037</v>
      </c>
      <c r="V99" s="3" t="s">
        <v>3038</v>
      </c>
      <c r="W99" s="3" t="s">
        <v>3039</v>
      </c>
      <c r="X99" s="3" t="s">
        <v>442</v>
      </c>
      <c r="Y99" s="3" t="s">
        <v>3040</v>
      </c>
      <c r="Z99" s="3" t="s">
        <v>3041</v>
      </c>
      <c r="AA99" s="39">
        <v>46028</v>
      </c>
      <c r="AB99" s="3" t="s">
        <v>46</v>
      </c>
      <c r="AC99" s="3" t="s">
        <v>3042</v>
      </c>
      <c r="AD99" s="29">
        <v>46008</v>
      </c>
      <c r="AE99" s="3">
        <v>750000</v>
      </c>
      <c r="AF99" s="3">
        <v>750000</v>
      </c>
      <c r="AG99" s="3">
        <v>0</v>
      </c>
      <c r="AH99" s="3">
        <v>750000</v>
      </c>
      <c r="AI99" s="29">
        <v>46008</v>
      </c>
      <c r="AJ99" s="3">
        <v>750000</v>
      </c>
      <c r="AK99" s="29" t="s">
        <v>56</v>
      </c>
      <c r="AL99" s="3">
        <v>0</v>
      </c>
      <c r="AM99" s="3" t="s">
        <v>3043</v>
      </c>
    </row>
    <row r="100" spans="1:39" x14ac:dyDescent="0.3">
      <c r="A100" s="28" t="s">
        <v>3044</v>
      </c>
      <c r="B100" s="3">
        <v>2025</v>
      </c>
      <c r="C100" s="3" t="s">
        <v>3535</v>
      </c>
      <c r="D100" s="3" t="s">
        <v>2953</v>
      </c>
      <c r="E100" s="3" t="s">
        <v>3541</v>
      </c>
      <c r="F100" s="38" t="s">
        <v>3045</v>
      </c>
      <c r="G100" s="12">
        <v>99</v>
      </c>
      <c r="H100" s="12" t="s">
        <v>1036</v>
      </c>
      <c r="I100" s="29">
        <v>46009</v>
      </c>
      <c r="J100" s="29">
        <v>46009</v>
      </c>
      <c r="K100" s="3" t="s">
        <v>3815</v>
      </c>
      <c r="L100" s="3" t="s">
        <v>61</v>
      </c>
      <c r="M100" s="3" t="s">
        <v>42</v>
      </c>
      <c r="N100" s="3" t="s">
        <v>3046</v>
      </c>
      <c r="O100" s="3">
        <v>50</v>
      </c>
      <c r="P100" s="3">
        <v>1188121173</v>
      </c>
      <c r="Q100" s="3">
        <v>21486072996</v>
      </c>
      <c r="R100" s="3" t="s">
        <v>3047</v>
      </c>
      <c r="S100" s="3" t="s">
        <v>3818</v>
      </c>
      <c r="T100" s="3" t="s">
        <v>3048</v>
      </c>
      <c r="W100" s="3" t="s">
        <v>2605</v>
      </c>
      <c r="Y100" s="3" t="s">
        <v>3049</v>
      </c>
      <c r="Z100" s="3" t="s">
        <v>3050</v>
      </c>
      <c r="AA100" s="39"/>
      <c r="AC100" s="3" t="s">
        <v>3051</v>
      </c>
      <c r="AD100" s="29">
        <v>46013</v>
      </c>
      <c r="AE100" s="3">
        <v>1300000</v>
      </c>
      <c r="AF100" s="3">
        <v>1300000</v>
      </c>
      <c r="AG100" s="3">
        <v>0</v>
      </c>
      <c r="AH100" s="3">
        <v>1300000</v>
      </c>
      <c r="AI100" s="29">
        <v>46013</v>
      </c>
      <c r="AJ100" s="3">
        <v>1300000</v>
      </c>
      <c r="AK100" s="29" t="s">
        <v>56</v>
      </c>
      <c r="AL100" s="3">
        <v>0</v>
      </c>
    </row>
    <row r="101" spans="1:39" x14ac:dyDescent="0.3">
      <c r="A101" s="28" t="s">
        <v>3052</v>
      </c>
      <c r="B101" s="3">
        <v>2025</v>
      </c>
      <c r="C101" s="3" t="s">
        <v>3535</v>
      </c>
      <c r="D101" s="3" t="s">
        <v>2953</v>
      </c>
      <c r="E101" s="3" t="s">
        <v>3541</v>
      </c>
      <c r="F101" s="38" t="s">
        <v>3053</v>
      </c>
      <c r="G101" s="12">
        <v>100</v>
      </c>
      <c r="H101" s="12" t="s">
        <v>1044</v>
      </c>
      <c r="I101" s="29">
        <v>46009</v>
      </c>
      <c r="J101" s="29">
        <v>46009</v>
      </c>
      <c r="K101" s="3" t="s">
        <v>3815</v>
      </c>
      <c r="L101" s="3" t="s">
        <v>218</v>
      </c>
      <c r="M101" s="3" t="s">
        <v>42</v>
      </c>
      <c r="N101" s="3" t="s">
        <v>3054</v>
      </c>
      <c r="O101" s="3">
        <v>25</v>
      </c>
      <c r="P101" s="3">
        <v>2048171256</v>
      </c>
      <c r="Q101" s="3">
        <v>91201346717</v>
      </c>
      <c r="R101" s="3" t="s">
        <v>3055</v>
      </c>
      <c r="S101" s="3" t="s">
        <v>3817</v>
      </c>
      <c r="T101" s="3" t="s">
        <v>3048</v>
      </c>
      <c r="W101" s="3" t="s">
        <v>3056</v>
      </c>
      <c r="X101" s="3" t="s">
        <v>532</v>
      </c>
      <c r="Y101" s="3" t="s">
        <v>3057</v>
      </c>
      <c r="Z101" s="3" t="s">
        <v>3058</v>
      </c>
      <c r="AA101" s="39"/>
      <c r="AC101" s="3" t="s">
        <v>3059</v>
      </c>
      <c r="AD101" s="29">
        <v>46013</v>
      </c>
      <c r="AE101" s="3">
        <v>1500000</v>
      </c>
      <c r="AF101" s="3">
        <v>500000</v>
      </c>
      <c r="AG101" s="3">
        <v>1000000</v>
      </c>
      <c r="AH101" s="3">
        <v>1000000</v>
      </c>
      <c r="AI101" s="29">
        <v>46013</v>
      </c>
      <c r="AJ101" s="3">
        <v>1000000</v>
      </c>
      <c r="AK101" s="29"/>
      <c r="AL101" s="3">
        <v>0</v>
      </c>
    </row>
    <row r="102" spans="1:39" x14ac:dyDescent="0.3">
      <c r="A102" s="28" t="s">
        <v>3060</v>
      </c>
      <c r="B102" s="3">
        <v>2025</v>
      </c>
      <c r="C102" s="3" t="s">
        <v>3535</v>
      </c>
      <c r="D102" s="3" t="s">
        <v>2953</v>
      </c>
      <c r="E102" s="3" t="s">
        <v>3541</v>
      </c>
      <c r="F102" s="38" t="s">
        <v>3061</v>
      </c>
      <c r="G102" s="12">
        <v>101</v>
      </c>
      <c r="H102" s="12" t="s">
        <v>1055</v>
      </c>
      <c r="I102" s="29">
        <v>46009</v>
      </c>
      <c r="J102" s="29">
        <v>46009</v>
      </c>
      <c r="K102" s="3" t="s">
        <v>3815</v>
      </c>
      <c r="L102" s="3" t="s">
        <v>97</v>
      </c>
      <c r="M102" s="3" t="s">
        <v>42</v>
      </c>
      <c r="N102" s="3" t="s">
        <v>3062</v>
      </c>
      <c r="O102" s="3">
        <v>33</v>
      </c>
      <c r="P102" s="3">
        <v>4358600457</v>
      </c>
      <c r="Q102" s="3">
        <v>43586004576</v>
      </c>
      <c r="R102" s="3" t="s">
        <v>3063</v>
      </c>
      <c r="S102" s="3" t="s">
        <v>3817</v>
      </c>
      <c r="T102" s="3" t="s">
        <v>3048</v>
      </c>
      <c r="W102" s="3" t="s">
        <v>3064</v>
      </c>
      <c r="Y102" s="3" t="s">
        <v>3065</v>
      </c>
      <c r="Z102" s="3" t="s">
        <v>3066</v>
      </c>
      <c r="AA102" s="39"/>
      <c r="AC102" s="3" t="s">
        <v>3067</v>
      </c>
      <c r="AD102" s="29" t="s">
        <v>69</v>
      </c>
      <c r="AE102" s="3">
        <v>1000000</v>
      </c>
      <c r="AF102" s="3">
        <v>0</v>
      </c>
      <c r="AG102" s="3">
        <v>1000000</v>
      </c>
      <c r="AH102" s="3">
        <v>0</v>
      </c>
      <c r="AI102" s="29" t="s">
        <v>69</v>
      </c>
      <c r="AJ102" s="3">
        <v>0</v>
      </c>
      <c r="AK102" s="29"/>
      <c r="AL102" s="3">
        <v>0</v>
      </c>
    </row>
    <row r="103" spans="1:39" x14ac:dyDescent="0.3">
      <c r="A103" s="28" t="s">
        <v>1154</v>
      </c>
      <c r="B103" s="3">
        <v>2025</v>
      </c>
      <c r="C103" s="3" t="s">
        <v>3535</v>
      </c>
      <c r="E103" s="3" t="s">
        <v>3541</v>
      </c>
      <c r="F103" s="38" t="s">
        <v>3068</v>
      </c>
      <c r="G103" s="12">
        <v>102</v>
      </c>
      <c r="H103" s="12" t="s">
        <v>1085</v>
      </c>
      <c r="I103" s="29">
        <v>46009</v>
      </c>
      <c r="J103" s="29">
        <v>46009</v>
      </c>
      <c r="K103" s="3" t="s">
        <v>45</v>
      </c>
      <c r="L103" s="3" t="s">
        <v>181</v>
      </c>
      <c r="M103" s="3" t="s">
        <v>42</v>
      </c>
      <c r="N103" s="3" t="s">
        <v>1158</v>
      </c>
      <c r="O103" s="3">
        <v>10</v>
      </c>
      <c r="P103" s="3">
        <v>1838602229</v>
      </c>
      <c r="Q103" s="3" t="s">
        <v>3069</v>
      </c>
      <c r="R103" s="3" t="s">
        <v>865</v>
      </c>
      <c r="S103" s="3" t="s">
        <v>3818</v>
      </c>
      <c r="T103" s="3" t="s">
        <v>1159</v>
      </c>
      <c r="U103" s="3" t="s">
        <v>1160</v>
      </c>
      <c r="V103" s="3" t="s">
        <v>2868</v>
      </c>
      <c r="W103" s="3" t="s">
        <v>857</v>
      </c>
      <c r="X103" s="3" t="s">
        <v>491</v>
      </c>
      <c r="Y103" s="3" t="s">
        <v>858</v>
      </c>
      <c r="Z103" s="3" t="s">
        <v>859</v>
      </c>
      <c r="AA103" s="39"/>
      <c r="AC103" s="3" t="s">
        <v>859</v>
      </c>
      <c r="AD103" s="29">
        <v>46013</v>
      </c>
      <c r="AE103" s="3">
        <v>600000</v>
      </c>
      <c r="AF103" s="3">
        <v>600000</v>
      </c>
      <c r="AG103" s="3">
        <v>0</v>
      </c>
      <c r="AH103" s="3">
        <v>0</v>
      </c>
      <c r="AI103" s="29">
        <v>46013</v>
      </c>
      <c r="AJ103" s="3">
        <v>0</v>
      </c>
      <c r="AK103" s="29" t="s">
        <v>56</v>
      </c>
      <c r="AL103" s="3">
        <v>0</v>
      </c>
    </row>
    <row r="104" spans="1:39" x14ac:dyDescent="0.3">
      <c r="A104" s="28" t="s">
        <v>3070</v>
      </c>
      <c r="B104" s="3">
        <v>2025</v>
      </c>
      <c r="C104" s="3" t="s">
        <v>3535</v>
      </c>
      <c r="D104" s="3" t="s">
        <v>2953</v>
      </c>
      <c r="E104" s="3" t="s">
        <v>3541</v>
      </c>
      <c r="F104" s="38" t="s">
        <v>3071</v>
      </c>
      <c r="G104" s="12">
        <v>103</v>
      </c>
      <c r="H104" s="12" t="s">
        <v>1092</v>
      </c>
      <c r="I104" s="29">
        <v>46020</v>
      </c>
      <c r="J104" s="29">
        <v>46020</v>
      </c>
      <c r="K104" s="3" t="s">
        <v>3816</v>
      </c>
      <c r="L104" s="3" t="s">
        <v>46</v>
      </c>
      <c r="M104" s="3" t="s">
        <v>3072</v>
      </c>
      <c r="N104" s="3" t="s">
        <v>3073</v>
      </c>
      <c r="O104" s="3">
        <v>15</v>
      </c>
      <c r="P104" s="3">
        <v>6108161666</v>
      </c>
      <c r="Q104" s="3">
        <v>61081616666</v>
      </c>
      <c r="R104" s="3" t="s">
        <v>3074</v>
      </c>
      <c r="S104" s="3" t="s">
        <v>3817</v>
      </c>
      <c r="T104" s="3" t="s">
        <v>3075</v>
      </c>
      <c r="W104" s="3" t="s">
        <v>133</v>
      </c>
      <c r="X104" s="3" t="s">
        <v>134</v>
      </c>
      <c r="Y104" s="3" t="s">
        <v>3076</v>
      </c>
      <c r="Z104" s="3" t="s">
        <v>136</v>
      </c>
      <c r="AA104" s="39"/>
      <c r="AC104" s="3" t="s">
        <v>136</v>
      </c>
      <c r="AD104" s="29" t="s">
        <v>69</v>
      </c>
      <c r="AE104" s="3">
        <v>755490</v>
      </c>
      <c r="AF104" s="3">
        <v>0</v>
      </c>
      <c r="AG104" s="3">
        <v>755490</v>
      </c>
      <c r="AH104" s="3">
        <v>0</v>
      </c>
      <c r="AI104" s="29" t="s">
        <v>69</v>
      </c>
      <c r="AJ104" s="3">
        <v>0</v>
      </c>
      <c r="AK104" s="29"/>
      <c r="AL104" s="3">
        <v>0</v>
      </c>
    </row>
    <row r="207" spans="1:39" x14ac:dyDescent="0.3">
      <c r="A207" s="3" t="s">
        <v>3813</v>
      </c>
      <c r="B207" s="3" t="s">
        <v>3813</v>
      </c>
      <c r="C207" s="3" t="s">
        <v>3813</v>
      </c>
      <c r="D207" s="3" t="s">
        <v>3813</v>
      </c>
      <c r="E207" s="3" t="s">
        <v>3813</v>
      </c>
      <c r="F207" s="3" t="s">
        <v>3813</v>
      </c>
      <c r="G207" s="12" t="s">
        <v>3813</v>
      </c>
      <c r="H207" s="12" t="s">
        <v>3813</v>
      </c>
      <c r="I207" s="29" t="s">
        <v>3813</v>
      </c>
      <c r="J207" s="29" t="s">
        <v>3813</v>
      </c>
      <c r="K207" s="3" t="s">
        <v>3813</v>
      </c>
      <c r="L207" s="3" t="s">
        <v>3813</v>
      </c>
      <c r="M207" s="3" t="s">
        <v>3813</v>
      </c>
      <c r="N207" s="3" t="s">
        <v>3813</v>
      </c>
      <c r="O207" s="3" t="s">
        <v>3813</v>
      </c>
      <c r="P207" s="3" t="s">
        <v>3813</v>
      </c>
      <c r="Q207" s="3" t="s">
        <v>3813</v>
      </c>
      <c r="R207" s="3" t="s">
        <v>3813</v>
      </c>
      <c r="S207" s="3" t="s">
        <v>3813</v>
      </c>
      <c r="T207" s="3" t="s">
        <v>3813</v>
      </c>
      <c r="U207" s="3" t="s">
        <v>3813</v>
      </c>
      <c r="V207" s="3" t="s">
        <v>3813</v>
      </c>
      <c r="W207" s="3" t="s">
        <v>3813</v>
      </c>
      <c r="X207" s="3" t="s">
        <v>3813</v>
      </c>
      <c r="Y207" s="3" t="s">
        <v>3813</v>
      </c>
      <c r="Z207" s="3" t="s">
        <v>3813</v>
      </c>
      <c r="AA207" s="3" t="s">
        <v>3813</v>
      </c>
      <c r="AB207" s="3" t="s">
        <v>3813</v>
      </c>
      <c r="AC207" s="3" t="s">
        <v>3813</v>
      </c>
      <c r="AD207" s="3" t="s">
        <v>3813</v>
      </c>
      <c r="AE207" s="3" t="s">
        <v>3813</v>
      </c>
      <c r="AF207" s="3" t="s">
        <v>3813</v>
      </c>
      <c r="AG207" s="3" t="s">
        <v>3813</v>
      </c>
      <c r="AH207" s="3" t="s">
        <v>3813</v>
      </c>
      <c r="AI207" s="3" t="s">
        <v>3813</v>
      </c>
      <c r="AJ207" s="3" t="s">
        <v>3813</v>
      </c>
      <c r="AK207" s="3" t="s">
        <v>3813</v>
      </c>
      <c r="AL207" s="3" t="s">
        <v>3813</v>
      </c>
      <c r="AM207" s="3" t="s">
        <v>3813</v>
      </c>
    </row>
    <row r="208" spans="1:39" x14ac:dyDescent="0.3">
      <c r="I208" s="29"/>
      <c r="J208" s="29"/>
    </row>
    <row r="209" spans="9:10" x14ac:dyDescent="0.3">
      <c r="I209" s="29"/>
      <c r="J209" s="29"/>
    </row>
    <row r="210" spans="9:10" x14ac:dyDescent="0.3">
      <c r="I210" s="29"/>
      <c r="J210" s="29"/>
    </row>
    <row r="211" spans="9:10" x14ac:dyDescent="0.3">
      <c r="I211" s="29"/>
      <c r="J211" s="29"/>
    </row>
    <row r="212" spans="9:10" x14ac:dyDescent="0.3">
      <c r="I212" s="29"/>
      <c r="J212" s="29"/>
    </row>
    <row r="213" spans="9:10" x14ac:dyDescent="0.3">
      <c r="I213" s="29"/>
      <c r="J213" s="29"/>
    </row>
    <row r="214" spans="9:10" x14ac:dyDescent="0.3">
      <c r="I214" s="29"/>
      <c r="J214" s="29"/>
    </row>
    <row r="215" spans="9:10" x14ac:dyDescent="0.3">
      <c r="I215" s="29"/>
      <c r="J215" s="29"/>
    </row>
    <row r="216" spans="9:10" x14ac:dyDescent="0.3">
      <c r="I216" s="29"/>
      <c r="J216" s="29"/>
    </row>
    <row r="217" spans="9:10" x14ac:dyDescent="0.3">
      <c r="I217" s="29"/>
      <c r="J217" s="29"/>
    </row>
    <row r="218" spans="9:10" x14ac:dyDescent="0.3">
      <c r="I218" s="29"/>
      <c r="J218" s="29"/>
    </row>
  </sheetData>
  <autoFilter ref="A2:AM218" xr:uid="{00000000-0001-0000-0000-000000000000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7E38-90B6-45C8-A846-A637FE0C3A5F}">
  <dimension ref="A1:AM291"/>
  <sheetViews>
    <sheetView zoomScale="85" zoomScaleNormal="85" workbookViewId="0">
      <selection activeCell="C290" sqref="C290"/>
    </sheetView>
  </sheetViews>
  <sheetFormatPr defaultRowHeight="17.25" x14ac:dyDescent="0.3"/>
  <cols>
    <col min="1" max="3" width="12.125" style="3" customWidth="1"/>
    <col min="4" max="4" width="37.875" style="3" bestFit="1" customWidth="1"/>
    <col min="5" max="5" width="12.75" style="3" customWidth="1"/>
    <col min="6" max="6" width="14.375" style="3" customWidth="1"/>
    <col min="7" max="7" width="9.75" style="12" bestFit="1" customWidth="1"/>
    <col min="8" max="8" width="18.625" style="12" bestFit="1" customWidth="1"/>
    <col min="9" max="10" width="14.375" style="3" customWidth="1"/>
    <col min="11" max="11" width="12.125" style="3" customWidth="1"/>
    <col min="12" max="12" width="17.75" style="3" customWidth="1"/>
    <col min="13" max="13" width="16.75" style="3" bestFit="1" customWidth="1"/>
    <col min="14" max="14" width="65.875" style="3" bestFit="1" customWidth="1"/>
    <col min="15" max="15" width="12.125" style="3" customWidth="1"/>
    <col min="16" max="18" width="17.75" style="3" customWidth="1"/>
    <col min="19" max="19" width="14.375" style="3" customWidth="1"/>
    <col min="20" max="20" width="88.625" style="3" bestFit="1" customWidth="1"/>
    <col min="21" max="23" width="17.75" style="3" customWidth="1"/>
    <col min="24" max="24" width="14.375" style="3" customWidth="1"/>
    <col min="25" max="25" width="17.75" style="3" customWidth="1"/>
    <col min="26" max="26" width="29" style="3" customWidth="1"/>
    <col min="27" max="27" width="14.375" style="3" customWidth="1"/>
    <col min="28" max="28" width="17.75" style="3" customWidth="1"/>
    <col min="29" max="29" width="29" style="3" customWidth="1"/>
    <col min="30" max="30" width="20.875" style="3" customWidth="1"/>
    <col min="31" max="34" width="17.75" style="3" customWidth="1"/>
    <col min="35" max="35" width="14.375" style="3" customWidth="1"/>
    <col min="36" max="36" width="17.75" style="3" customWidth="1"/>
    <col min="37" max="37" width="14.375" style="3" customWidth="1"/>
    <col min="38" max="38" width="17.75" style="3" customWidth="1"/>
    <col min="39" max="39" width="34.625" style="3" customWidth="1"/>
    <col min="40" max="16384" width="9" style="3"/>
  </cols>
  <sheetData>
    <row r="1" spans="1:39" x14ac:dyDescent="0.3">
      <c r="AC1" s="25">
        <v>2</v>
      </c>
      <c r="AD1" s="25">
        <v>3</v>
      </c>
      <c r="AE1" s="25"/>
      <c r="AF1" s="25">
        <v>4</v>
      </c>
      <c r="AG1" s="25">
        <v>5</v>
      </c>
      <c r="AH1" s="25"/>
      <c r="AI1" s="25">
        <v>8</v>
      </c>
      <c r="AJ1" s="25">
        <v>9</v>
      </c>
      <c r="AK1" s="25">
        <v>10</v>
      </c>
      <c r="AL1" s="25">
        <v>11</v>
      </c>
      <c r="AM1" s="25">
        <v>13</v>
      </c>
    </row>
    <row r="2" spans="1:39" x14ac:dyDescent="0.3">
      <c r="A2" s="26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7" t="s">
        <v>6</v>
      </c>
      <c r="H2" s="27" t="s">
        <v>7</v>
      </c>
      <c r="I2" s="26" t="s">
        <v>8</v>
      </c>
      <c r="J2" s="26" t="s">
        <v>9</v>
      </c>
      <c r="K2" s="26" t="s">
        <v>10</v>
      </c>
      <c r="L2" s="26" t="s">
        <v>11</v>
      </c>
      <c r="M2" s="26" t="s">
        <v>12</v>
      </c>
      <c r="N2" s="26" t="s">
        <v>13</v>
      </c>
      <c r="O2" s="26" t="s">
        <v>14</v>
      </c>
      <c r="P2" s="26" t="s">
        <v>15</v>
      </c>
      <c r="Q2" s="26" t="s">
        <v>16</v>
      </c>
      <c r="R2" s="26" t="s">
        <v>17</v>
      </c>
      <c r="S2" s="26" t="s">
        <v>18</v>
      </c>
      <c r="T2" s="26" t="s">
        <v>19</v>
      </c>
      <c r="U2" s="26" t="s">
        <v>20</v>
      </c>
      <c r="V2" s="26" t="s">
        <v>21</v>
      </c>
      <c r="W2" s="26" t="s">
        <v>22</v>
      </c>
      <c r="X2" s="26" t="s">
        <v>23</v>
      </c>
      <c r="Y2" s="26" t="s">
        <v>24</v>
      </c>
      <c r="Z2" s="26" t="s">
        <v>25</v>
      </c>
      <c r="AA2" s="26" t="s">
        <v>26</v>
      </c>
      <c r="AB2" s="26" t="s">
        <v>27</v>
      </c>
      <c r="AC2" s="26" t="s">
        <v>28</v>
      </c>
      <c r="AD2" s="26" t="s">
        <v>29</v>
      </c>
      <c r="AE2" s="26" t="s">
        <v>30</v>
      </c>
      <c r="AF2" s="26" t="s">
        <v>31</v>
      </c>
      <c r="AG2" s="26" t="s">
        <v>32</v>
      </c>
      <c r="AH2" s="26" t="s">
        <v>33</v>
      </c>
      <c r="AI2" s="26" t="s">
        <v>34</v>
      </c>
      <c r="AJ2" s="26" t="s">
        <v>35</v>
      </c>
      <c r="AK2" s="26" t="s">
        <v>36</v>
      </c>
      <c r="AL2" s="26" t="s">
        <v>37</v>
      </c>
      <c r="AM2" s="26" t="s">
        <v>38</v>
      </c>
    </row>
    <row r="3" spans="1:39" x14ac:dyDescent="0.3">
      <c r="A3" s="28" t="s">
        <v>1321</v>
      </c>
      <c r="B3" s="3">
        <v>2025</v>
      </c>
      <c r="C3" s="3" t="s">
        <v>2871</v>
      </c>
      <c r="D3" s="3" t="s">
        <v>94</v>
      </c>
      <c r="E3" s="3" t="s">
        <v>3533</v>
      </c>
      <c r="F3" s="3" t="s">
        <v>3077</v>
      </c>
      <c r="G3" s="12">
        <v>1</v>
      </c>
      <c r="H3" s="12" t="s">
        <v>1324</v>
      </c>
      <c r="I3" s="29">
        <v>45859</v>
      </c>
      <c r="J3" s="29">
        <v>45859</v>
      </c>
      <c r="L3" s="3" t="s">
        <v>46</v>
      </c>
      <c r="M3" s="3" t="s">
        <v>3533</v>
      </c>
      <c r="N3" s="3" t="s">
        <v>1325</v>
      </c>
      <c r="O3" s="3">
        <v>1</v>
      </c>
      <c r="P3" s="3">
        <v>3142044036</v>
      </c>
      <c r="Q3" s="3" t="s">
        <v>3078</v>
      </c>
      <c r="R3" s="3" t="s">
        <v>1326</v>
      </c>
      <c r="T3" s="3" t="s">
        <v>1327</v>
      </c>
      <c r="U3" s="3" t="s">
        <v>1328</v>
      </c>
      <c r="V3" s="3" t="s">
        <v>1329</v>
      </c>
      <c r="W3" s="3" t="s">
        <v>1326</v>
      </c>
      <c r="X3" s="3" t="s">
        <v>78</v>
      </c>
      <c r="Y3" s="3" t="s">
        <v>1330</v>
      </c>
      <c r="Z3" s="3" t="s">
        <v>1331</v>
      </c>
      <c r="AA3" s="29">
        <v>45882</v>
      </c>
      <c r="AB3" s="3" t="s">
        <v>46</v>
      </c>
      <c r="AC3" s="3" t="str">
        <f>VLOOKUP(A3,'[1]계산서(25하-대전)'!W$4:AI$150,2,FALSE)</f>
        <v>kuk9029@hanmail.net</v>
      </c>
      <c r="AD3" s="29">
        <f>VLOOKUP(A3,'[1]계산서(25하-대전)'!W$4:AI$150,3,FALSE)</f>
        <v>45860</v>
      </c>
      <c r="AE3" s="3">
        <f>AF3+AG3</f>
        <v>600000</v>
      </c>
      <c r="AF3" s="3">
        <f>VLOOKUP(A3,'[1]계산서(25하-대전)'!W$4:AI$150,4,FALSE)</f>
        <v>200000</v>
      </c>
      <c r="AG3" s="3">
        <f>VLOOKUP(A3,'[1]계산서(25하-대전)'!W$4:AI$150,5,FALSE)</f>
        <v>400000</v>
      </c>
      <c r="AH3" s="3">
        <f>AJ3+AL3</f>
        <v>600000</v>
      </c>
      <c r="AI3" s="29">
        <f>VLOOKUP(A3,'[1]계산서(25하-대전)'!W$4:AI$150,8,FALSE)</f>
        <v>45902</v>
      </c>
      <c r="AJ3" s="3">
        <f>VLOOKUP(A3,'[1]계산서(25하-대전)'!W$4:AI$150,9,FALSE)</f>
        <v>200000</v>
      </c>
      <c r="AK3" s="29">
        <f>VLOOKUP(A3,'[1]계산서(25하-대전)'!W$4:AI$150,10,FALSE)</f>
        <v>45919</v>
      </c>
      <c r="AL3" s="3">
        <f>VLOOKUP(A3,'[1]계산서(25하-대전)'!W$4:AI$150,11,FALSE)</f>
        <v>400000</v>
      </c>
      <c r="AM3" s="3">
        <f>VLOOKUP(A3,'[1]계산서(25하-대전)'!W$4:AI$150,13,FALSE)</f>
        <v>0</v>
      </c>
    </row>
    <row r="4" spans="1:39" x14ac:dyDescent="0.3">
      <c r="A4" s="28" t="s">
        <v>1343</v>
      </c>
      <c r="B4" s="3">
        <v>2025</v>
      </c>
      <c r="C4" s="3" t="s">
        <v>2871</v>
      </c>
      <c r="D4" s="3" t="s">
        <v>94</v>
      </c>
      <c r="E4" s="3" t="s">
        <v>3533</v>
      </c>
      <c r="F4" s="3" t="s">
        <v>3079</v>
      </c>
      <c r="G4" s="12">
        <v>2</v>
      </c>
      <c r="H4" s="12" t="s">
        <v>44</v>
      </c>
      <c r="I4" s="29">
        <v>45859</v>
      </c>
      <c r="J4" s="29">
        <v>45859</v>
      </c>
      <c r="L4" s="3" t="s">
        <v>97</v>
      </c>
      <c r="M4" s="3" t="s">
        <v>3533</v>
      </c>
      <c r="N4" s="3" t="s">
        <v>1345</v>
      </c>
      <c r="O4" s="3">
        <v>9</v>
      </c>
      <c r="P4" s="3">
        <v>3188104473</v>
      </c>
      <c r="Q4" s="3" t="s">
        <v>3080</v>
      </c>
      <c r="R4" s="3" t="s">
        <v>1346</v>
      </c>
      <c r="T4" s="3" t="s">
        <v>1347</v>
      </c>
      <c r="U4" s="3" t="s">
        <v>1348</v>
      </c>
      <c r="V4" s="3" t="s">
        <v>1349</v>
      </c>
      <c r="W4" s="3" t="s">
        <v>1346</v>
      </c>
      <c r="X4" s="3" t="s">
        <v>78</v>
      </c>
      <c r="Y4" s="3" t="s">
        <v>1350</v>
      </c>
      <c r="Z4" s="3" t="s">
        <v>1351</v>
      </c>
      <c r="AA4" s="29">
        <v>45882</v>
      </c>
      <c r="AB4" s="3" t="s">
        <v>46</v>
      </c>
      <c r="AC4" s="3" t="str">
        <f>VLOOKUP(A4,'[1]계산서(25하-대전)'!W$4:AI$150,2,FALSE)</f>
        <v>gkwk1770@naver.com</v>
      </c>
      <c r="AD4" s="29">
        <f>VLOOKUP(A4,'[1]계산서(25하-대전)'!W$4:AI$150,3,FALSE)</f>
        <v>45860</v>
      </c>
      <c r="AE4" s="3">
        <f t="shared" ref="AE4:AE67" si="0">AF4+AG4</f>
        <v>600000</v>
      </c>
      <c r="AF4" s="3">
        <f>VLOOKUP(A4,'[1]계산서(25하-대전)'!W$4:AI$150,4,FALSE)</f>
        <v>200000</v>
      </c>
      <c r="AG4" s="3">
        <f>VLOOKUP(A4,'[1]계산서(25하-대전)'!W$4:AI$150,5,FALSE)</f>
        <v>400000</v>
      </c>
      <c r="AH4" s="3">
        <f t="shared" ref="AH4:AH67" si="1">AJ4+AL4</f>
        <v>600000</v>
      </c>
      <c r="AI4" s="29">
        <f>VLOOKUP(A4,'[1]계산서(25하-대전)'!W$4:AI$150,8,FALSE)</f>
        <v>45883</v>
      </c>
      <c r="AJ4" s="3">
        <f>VLOOKUP(A4,'[1]계산서(25하-대전)'!W$4:AI$150,9,FALSE)</f>
        <v>200000</v>
      </c>
      <c r="AK4" s="29">
        <f>VLOOKUP(A4,'[1]계산서(25하-대전)'!W$4:AI$150,10,FALSE)</f>
        <v>45919</v>
      </c>
      <c r="AL4" s="3">
        <f>VLOOKUP(A4,'[1]계산서(25하-대전)'!W$4:AI$150,11,FALSE)</f>
        <v>400000</v>
      </c>
      <c r="AM4" s="3">
        <f>VLOOKUP(A4,'[1]계산서(25하-대전)'!W$4:AI$150,13,FALSE)</f>
        <v>0</v>
      </c>
    </row>
    <row r="5" spans="1:39" x14ac:dyDescent="0.3">
      <c r="A5" s="28" t="s">
        <v>1333</v>
      </c>
      <c r="B5" s="3">
        <v>2025</v>
      </c>
      <c r="C5" s="3" t="s">
        <v>2871</v>
      </c>
      <c r="D5" s="3" t="s">
        <v>94</v>
      </c>
      <c r="E5" s="3" t="s">
        <v>3533</v>
      </c>
      <c r="F5" s="3" t="s">
        <v>3081</v>
      </c>
      <c r="G5" s="12">
        <v>3</v>
      </c>
      <c r="H5" s="12" t="s">
        <v>44</v>
      </c>
      <c r="I5" s="29">
        <v>45859</v>
      </c>
      <c r="J5" s="29">
        <v>45859</v>
      </c>
      <c r="L5" s="3" t="s">
        <v>73</v>
      </c>
      <c r="M5" s="3" t="s">
        <v>3533</v>
      </c>
      <c r="N5" s="3" t="s">
        <v>1335</v>
      </c>
      <c r="O5" s="3">
        <v>3</v>
      </c>
      <c r="P5" s="3">
        <v>6294700811</v>
      </c>
      <c r="Q5" s="3" t="s">
        <v>3082</v>
      </c>
      <c r="R5" s="3" t="s">
        <v>1336</v>
      </c>
      <c r="T5" s="3" t="s">
        <v>1337</v>
      </c>
      <c r="U5" s="3" t="s">
        <v>1338</v>
      </c>
      <c r="V5" s="3" t="s">
        <v>1339</v>
      </c>
      <c r="W5" s="3" t="s">
        <v>1340</v>
      </c>
      <c r="Y5" s="3" t="s">
        <v>1341</v>
      </c>
      <c r="Z5" s="3" t="s">
        <v>1342</v>
      </c>
      <c r="AA5" s="29">
        <v>45882</v>
      </c>
      <c r="AB5" s="3" t="s">
        <v>46</v>
      </c>
      <c r="AC5" s="3" t="str">
        <f>VLOOKUP(A5,'[1]계산서(25하-대전)'!W$4:AI$150,2,FALSE)</f>
        <v>drmotors0277@naver.com</v>
      </c>
      <c r="AD5" s="29">
        <f>VLOOKUP(A5,'[1]계산서(25하-대전)'!W$4:AI$150,3,FALSE)</f>
        <v>45860</v>
      </c>
      <c r="AE5" s="3">
        <f t="shared" si="0"/>
        <v>600000</v>
      </c>
      <c r="AF5" s="3">
        <f>VLOOKUP(A5,'[1]계산서(25하-대전)'!W$4:AI$150,4,FALSE)</f>
        <v>200000</v>
      </c>
      <c r="AG5" s="3">
        <f>VLOOKUP(A5,'[1]계산서(25하-대전)'!W$4:AI$150,5,FALSE)</f>
        <v>400000</v>
      </c>
      <c r="AH5" s="3">
        <f t="shared" si="1"/>
        <v>600000</v>
      </c>
      <c r="AI5" s="29">
        <f>VLOOKUP(A5,'[1]계산서(25하-대전)'!W$4:AI$150,8,FALSE)</f>
        <v>45930</v>
      </c>
      <c r="AJ5" s="3">
        <f>VLOOKUP(A5,'[1]계산서(25하-대전)'!W$4:AI$150,9,FALSE)</f>
        <v>200000</v>
      </c>
      <c r="AK5" s="29">
        <f>VLOOKUP(A5,'[1]계산서(25하-대전)'!W$4:AI$150,10,FALSE)</f>
        <v>45919</v>
      </c>
      <c r="AL5" s="3">
        <f>VLOOKUP(A5,'[1]계산서(25하-대전)'!W$4:AI$150,11,FALSE)</f>
        <v>400000</v>
      </c>
      <c r="AM5" s="3">
        <f>VLOOKUP(A5,'[1]계산서(25하-대전)'!W$4:AI$150,13,FALSE)</f>
        <v>0</v>
      </c>
    </row>
    <row r="6" spans="1:39" x14ac:dyDescent="0.3">
      <c r="A6" s="28" t="s">
        <v>1371</v>
      </c>
      <c r="B6" s="3">
        <v>2025</v>
      </c>
      <c r="C6" s="3" t="s">
        <v>2871</v>
      </c>
      <c r="D6" s="3" t="s">
        <v>94</v>
      </c>
      <c r="E6" s="3" t="s">
        <v>3533</v>
      </c>
      <c r="F6" s="3" t="s">
        <v>3083</v>
      </c>
      <c r="G6" s="12">
        <v>4</v>
      </c>
      <c r="H6" s="12" t="s">
        <v>60</v>
      </c>
      <c r="I6" s="29">
        <v>45859</v>
      </c>
      <c r="J6" s="29">
        <v>45859</v>
      </c>
      <c r="L6" s="3" t="s">
        <v>181</v>
      </c>
      <c r="M6" s="3" t="s">
        <v>3533</v>
      </c>
      <c r="N6" s="3" t="s">
        <v>1373</v>
      </c>
      <c r="O6" s="3">
        <v>8</v>
      </c>
      <c r="P6" s="3">
        <v>4011261649</v>
      </c>
      <c r="Q6" s="3" t="s">
        <v>3084</v>
      </c>
      <c r="R6" s="3" t="s">
        <v>1374</v>
      </c>
      <c r="T6" s="3" t="s">
        <v>1375</v>
      </c>
      <c r="U6" s="3" t="s">
        <v>1376</v>
      </c>
      <c r="V6" s="3" t="s">
        <v>1377</v>
      </c>
      <c r="W6" s="3" t="s">
        <v>1374</v>
      </c>
      <c r="X6" s="3" t="s">
        <v>78</v>
      </c>
      <c r="Y6" s="3" t="s">
        <v>1378</v>
      </c>
      <c r="Z6" s="3" t="s">
        <v>1379</v>
      </c>
      <c r="AA6" s="29">
        <v>45883</v>
      </c>
      <c r="AB6" s="3" t="s">
        <v>181</v>
      </c>
      <c r="AC6" s="3" t="str">
        <f>VLOOKUP(A6,'[1]계산서(25하-대전)'!W$4:AI$150,2,FALSE)</f>
        <v>79kwohc@naver.com</v>
      </c>
      <c r="AD6" s="29">
        <f>VLOOKUP(A6,'[1]계산서(25하-대전)'!W$4:AI$150,3,FALSE)</f>
        <v>45860</v>
      </c>
      <c r="AE6" s="3">
        <f t="shared" si="0"/>
        <v>600000</v>
      </c>
      <c r="AF6" s="3">
        <f>VLOOKUP(A6,'[1]계산서(25하-대전)'!W$4:AI$150,4,FALSE)</f>
        <v>200000</v>
      </c>
      <c r="AG6" s="3">
        <f>VLOOKUP(A6,'[1]계산서(25하-대전)'!W$4:AI$150,5,FALSE)</f>
        <v>400000</v>
      </c>
      <c r="AH6" s="3">
        <f t="shared" si="1"/>
        <v>600000</v>
      </c>
      <c r="AI6" s="29">
        <f>VLOOKUP(A6,'[1]계산서(25하-대전)'!W$4:AI$150,8,FALSE)</f>
        <v>45866</v>
      </c>
      <c r="AJ6" s="3">
        <f>VLOOKUP(A6,'[1]계산서(25하-대전)'!W$4:AI$150,9,FALSE)</f>
        <v>200000</v>
      </c>
      <c r="AK6" s="29">
        <f>VLOOKUP(A6,'[1]계산서(25하-대전)'!W$4:AI$150,10,FALSE)</f>
        <v>45919</v>
      </c>
      <c r="AL6" s="3">
        <f>VLOOKUP(A6,'[1]계산서(25하-대전)'!W$4:AI$150,11,FALSE)</f>
        <v>400000</v>
      </c>
      <c r="AM6" s="3">
        <f>VLOOKUP(A6,'[1]계산서(25하-대전)'!W$4:AI$150,13,FALSE)</f>
        <v>0</v>
      </c>
    </row>
    <row r="7" spans="1:39" x14ac:dyDescent="0.3">
      <c r="A7" s="28" t="s">
        <v>1361</v>
      </c>
      <c r="B7" s="3">
        <v>2025</v>
      </c>
      <c r="C7" s="3" t="s">
        <v>2871</v>
      </c>
      <c r="D7" s="3" t="s">
        <v>94</v>
      </c>
      <c r="E7" s="3" t="s">
        <v>3533</v>
      </c>
      <c r="F7" s="3" t="s">
        <v>3085</v>
      </c>
      <c r="G7" s="12">
        <v>5</v>
      </c>
      <c r="H7" s="12" t="s">
        <v>83</v>
      </c>
      <c r="I7" s="29">
        <v>45859</v>
      </c>
      <c r="J7" s="29">
        <v>45859</v>
      </c>
      <c r="L7" s="3" t="s">
        <v>61</v>
      </c>
      <c r="M7" s="3" t="s">
        <v>3533</v>
      </c>
      <c r="N7" s="3" t="s">
        <v>1363</v>
      </c>
      <c r="O7" s="3">
        <v>11</v>
      </c>
      <c r="P7" s="3">
        <v>8235000387</v>
      </c>
      <c r="Q7" s="3" t="s">
        <v>3086</v>
      </c>
      <c r="R7" s="3" t="s">
        <v>1364</v>
      </c>
      <c r="T7" s="3" t="s">
        <v>1365</v>
      </c>
      <c r="U7" s="3" t="s">
        <v>1366</v>
      </c>
      <c r="V7" s="3" t="s">
        <v>1367</v>
      </c>
      <c r="W7" s="3" t="s">
        <v>1368</v>
      </c>
      <c r="X7" s="3" t="s">
        <v>78</v>
      </c>
      <c r="Y7" s="3" t="s">
        <v>1369</v>
      </c>
      <c r="Z7" s="3" t="s">
        <v>1370</v>
      </c>
      <c r="AA7" s="29">
        <v>45883</v>
      </c>
      <c r="AB7" s="3" t="s">
        <v>181</v>
      </c>
      <c r="AC7" s="3" t="str">
        <f>VLOOKUP(A7,'[1]계산서(25하-대전)'!W$4:AI$150,2,FALSE)</f>
        <v>korex2220@naver.com</v>
      </c>
      <c r="AD7" s="29">
        <f>VLOOKUP(A7,'[1]계산서(25하-대전)'!W$4:AI$150,3,FALSE)</f>
        <v>45860</v>
      </c>
      <c r="AE7" s="3">
        <f t="shared" si="0"/>
        <v>600000</v>
      </c>
      <c r="AF7" s="3">
        <f>VLOOKUP(A7,'[1]계산서(25하-대전)'!W$4:AI$150,4,FALSE)</f>
        <v>200000</v>
      </c>
      <c r="AG7" s="3">
        <f>VLOOKUP(A7,'[1]계산서(25하-대전)'!W$4:AI$150,5,FALSE)</f>
        <v>400000</v>
      </c>
      <c r="AH7" s="3">
        <f t="shared" si="1"/>
        <v>600000</v>
      </c>
      <c r="AI7" s="29">
        <f>VLOOKUP(A7,'[1]계산서(25하-대전)'!W$4:AI$150,8,FALSE)</f>
        <v>46007</v>
      </c>
      <c r="AJ7" s="3">
        <f>VLOOKUP(A7,'[1]계산서(25하-대전)'!W$4:AI$150,9,FALSE)</f>
        <v>200000</v>
      </c>
      <c r="AK7" s="29">
        <f>VLOOKUP(A7,'[1]계산서(25하-대전)'!W$4:AI$150,10,FALSE)</f>
        <v>45919</v>
      </c>
      <c r="AL7" s="3">
        <f>VLOOKUP(A7,'[1]계산서(25하-대전)'!W$4:AI$150,11,FALSE)</f>
        <v>400000</v>
      </c>
      <c r="AM7" s="3">
        <f>VLOOKUP(A7,'[1]계산서(25하-대전)'!W$4:AI$150,13,FALSE)</f>
        <v>0</v>
      </c>
    </row>
    <row r="8" spans="1:39" x14ac:dyDescent="0.3">
      <c r="A8" s="28" t="s">
        <v>1380</v>
      </c>
      <c r="B8" s="3">
        <v>2025</v>
      </c>
      <c r="C8" s="3" t="s">
        <v>2871</v>
      </c>
      <c r="D8" s="3" t="s">
        <v>94</v>
      </c>
      <c r="E8" s="3" t="s">
        <v>3533</v>
      </c>
      <c r="F8" s="3" t="s">
        <v>3087</v>
      </c>
      <c r="G8" s="12">
        <v>6</v>
      </c>
      <c r="H8" s="12" t="s">
        <v>96</v>
      </c>
      <c r="I8" s="29">
        <v>45859</v>
      </c>
      <c r="J8" s="29">
        <v>45859</v>
      </c>
      <c r="L8" s="3" t="s">
        <v>218</v>
      </c>
      <c r="M8" s="3" t="s">
        <v>3533</v>
      </c>
      <c r="N8" s="3" t="s">
        <v>1382</v>
      </c>
      <c r="O8" s="3">
        <v>18</v>
      </c>
      <c r="P8" s="3">
        <v>5678103213</v>
      </c>
      <c r="Q8" s="3">
        <v>56781032130</v>
      </c>
      <c r="R8" s="3" t="s">
        <v>1383</v>
      </c>
      <c r="T8" s="3" t="s">
        <v>1384</v>
      </c>
      <c r="U8" s="3" t="s">
        <v>1385</v>
      </c>
      <c r="V8" s="3" t="s">
        <v>1386</v>
      </c>
      <c r="W8" s="3" t="s">
        <v>1387</v>
      </c>
      <c r="X8" s="3" t="s">
        <v>1388</v>
      </c>
      <c r="Y8" s="3" t="s">
        <v>1389</v>
      </c>
      <c r="Z8" s="3" t="s">
        <v>1390</v>
      </c>
      <c r="AA8" s="29">
        <v>45883</v>
      </c>
      <c r="AB8" s="3" t="s">
        <v>181</v>
      </c>
      <c r="AC8" s="3" t="str">
        <f>VLOOKUP(A8,'[1]계산서(25하-대전)'!W$4:AI$150,2,FALSE)</f>
        <v>jjong2347@hanmail.net</v>
      </c>
      <c r="AD8" s="29">
        <f>VLOOKUP(A8,'[1]계산서(25하-대전)'!W$4:AI$150,3,FALSE)</f>
        <v>45860</v>
      </c>
      <c r="AE8" s="3">
        <f t="shared" si="0"/>
        <v>600000</v>
      </c>
      <c r="AF8" s="3">
        <f>VLOOKUP(A8,'[1]계산서(25하-대전)'!W$4:AI$150,4,FALSE)</f>
        <v>200000</v>
      </c>
      <c r="AG8" s="3">
        <f>VLOOKUP(A8,'[1]계산서(25하-대전)'!W$4:AI$150,5,FALSE)</f>
        <v>400000</v>
      </c>
      <c r="AH8" s="3">
        <f t="shared" si="1"/>
        <v>600000</v>
      </c>
      <c r="AI8" s="29">
        <f>VLOOKUP(A8,'[1]계산서(25하-대전)'!W$4:AI$150,8,FALSE)</f>
        <v>45897</v>
      </c>
      <c r="AJ8" s="3">
        <f>VLOOKUP(A8,'[1]계산서(25하-대전)'!W$4:AI$150,9,FALSE)</f>
        <v>200000</v>
      </c>
      <c r="AK8" s="29">
        <f>VLOOKUP(A8,'[1]계산서(25하-대전)'!W$4:AI$150,10,FALSE)</f>
        <v>45919</v>
      </c>
      <c r="AL8" s="3">
        <f>VLOOKUP(A8,'[1]계산서(25하-대전)'!W$4:AI$150,11,FALSE)</f>
        <v>400000</v>
      </c>
      <c r="AM8" s="3">
        <f>VLOOKUP(A8,'[1]계산서(25하-대전)'!W$4:AI$150,13,FALSE)</f>
        <v>0</v>
      </c>
    </row>
    <row r="9" spans="1:39" x14ac:dyDescent="0.3">
      <c r="A9" s="28" t="s">
        <v>1428</v>
      </c>
      <c r="B9" s="3">
        <v>2025</v>
      </c>
      <c r="C9" s="3" t="s">
        <v>2871</v>
      </c>
      <c r="D9" s="3" t="s">
        <v>94</v>
      </c>
      <c r="E9" s="3" t="s">
        <v>3533</v>
      </c>
      <c r="F9" s="3" t="s">
        <v>3088</v>
      </c>
      <c r="G9" s="12">
        <v>7</v>
      </c>
      <c r="H9" s="12" t="s">
        <v>106</v>
      </c>
      <c r="I9" s="29">
        <v>45860</v>
      </c>
      <c r="J9" s="29">
        <v>45860</v>
      </c>
      <c r="L9" s="3" t="s">
        <v>46</v>
      </c>
      <c r="M9" s="3" t="s">
        <v>3533</v>
      </c>
      <c r="N9" s="3" t="s">
        <v>1430</v>
      </c>
      <c r="O9" s="3">
        <v>5</v>
      </c>
      <c r="P9" s="3">
        <v>3063170903</v>
      </c>
      <c r="Q9" s="3" t="s">
        <v>3089</v>
      </c>
      <c r="R9" s="3" t="s">
        <v>1431</v>
      </c>
      <c r="T9" s="3" t="s">
        <v>1432</v>
      </c>
      <c r="U9" s="3" t="s">
        <v>1433</v>
      </c>
      <c r="V9" s="3" t="s">
        <v>1434</v>
      </c>
      <c r="W9" s="3" t="s">
        <v>1431</v>
      </c>
      <c r="X9" s="3" t="s">
        <v>78</v>
      </c>
      <c r="Y9" s="3" t="s">
        <v>1435</v>
      </c>
      <c r="Z9" s="3" t="s">
        <v>1436</v>
      </c>
      <c r="AA9" s="29"/>
      <c r="AC9" s="3" t="str">
        <f>VLOOKUP(A9,'[1]계산서(25하-대전)'!W$4:AI$150,2,FALSE)</f>
        <v>kanglimcar@hanmail.net</v>
      </c>
      <c r="AD9" s="29">
        <f>VLOOKUP(A9,'[1]계산서(25하-대전)'!W$4:AI$150,3,FALSE)</f>
        <v>45861</v>
      </c>
      <c r="AE9" s="3">
        <f t="shared" si="0"/>
        <v>600000</v>
      </c>
      <c r="AF9" s="3">
        <f>VLOOKUP(A9,'[1]계산서(25하-대전)'!W$4:AI$150,4,FALSE)</f>
        <v>200000</v>
      </c>
      <c r="AG9" s="3">
        <f>VLOOKUP(A9,'[1]계산서(25하-대전)'!W$4:AI$150,5,FALSE)</f>
        <v>400000</v>
      </c>
      <c r="AH9" s="3">
        <f t="shared" si="1"/>
        <v>600000</v>
      </c>
      <c r="AI9" s="29">
        <f>VLOOKUP(A9,'[1]계산서(25하-대전)'!W$4:AI$150,8,FALSE)</f>
        <v>45861</v>
      </c>
      <c r="AJ9" s="3">
        <f>VLOOKUP(A9,'[1]계산서(25하-대전)'!W$4:AI$150,9,FALSE)</f>
        <v>200000</v>
      </c>
      <c r="AK9" s="29">
        <f>VLOOKUP(A9,'[1]계산서(25하-대전)'!W$4:AI$150,10,FALSE)</f>
        <v>45919</v>
      </c>
      <c r="AL9" s="3">
        <f>VLOOKUP(A9,'[1]계산서(25하-대전)'!W$4:AI$150,11,FALSE)</f>
        <v>400000</v>
      </c>
      <c r="AM9" s="3">
        <f>VLOOKUP(A9,'[1]계산서(25하-대전)'!W$4:AI$150,13,FALSE)</f>
        <v>0</v>
      </c>
    </row>
    <row r="10" spans="1:39" x14ac:dyDescent="0.3">
      <c r="A10" s="28" t="s">
        <v>1437</v>
      </c>
      <c r="B10" s="3">
        <v>2025</v>
      </c>
      <c r="C10" s="3" t="s">
        <v>2871</v>
      </c>
      <c r="D10" s="3" t="s">
        <v>94</v>
      </c>
      <c r="E10" s="3" t="s">
        <v>3533</v>
      </c>
      <c r="F10" s="3" t="s">
        <v>3090</v>
      </c>
      <c r="G10" s="12">
        <v>8</v>
      </c>
      <c r="H10" s="12" t="s">
        <v>117</v>
      </c>
      <c r="I10" s="29">
        <v>45860</v>
      </c>
      <c r="J10" s="29">
        <v>45860</v>
      </c>
      <c r="L10" s="3" t="s">
        <v>97</v>
      </c>
      <c r="M10" s="3" t="s">
        <v>3533</v>
      </c>
      <c r="N10" s="3" t="s">
        <v>1439</v>
      </c>
      <c r="O10" s="3">
        <v>10</v>
      </c>
      <c r="P10" s="3">
        <v>3148626636</v>
      </c>
      <c r="Q10" s="3" t="s">
        <v>3091</v>
      </c>
      <c r="R10" s="3" t="s">
        <v>1440</v>
      </c>
      <c r="T10" s="3" t="s">
        <v>1441</v>
      </c>
      <c r="U10" s="3" t="s">
        <v>1442</v>
      </c>
      <c r="V10" s="3" t="s">
        <v>1443</v>
      </c>
      <c r="W10" s="3" t="s">
        <v>1444</v>
      </c>
      <c r="X10" s="3" t="s">
        <v>112</v>
      </c>
      <c r="Y10" s="3" t="s">
        <v>1445</v>
      </c>
      <c r="Z10" s="3" t="s">
        <v>1446</v>
      </c>
      <c r="AA10" s="29">
        <v>45883</v>
      </c>
      <c r="AB10" s="3" t="s">
        <v>181</v>
      </c>
      <c r="AC10" s="3" t="str">
        <f>VLOOKUP(A10,'[1]계산서(25하-대전)'!W$4:AI$150,2,FALSE)</f>
        <v>cyj1072@gmail.com</v>
      </c>
      <c r="AD10" s="29">
        <f>VLOOKUP(A10,'[1]계산서(25하-대전)'!W$4:AI$150,3,FALSE)</f>
        <v>45861</v>
      </c>
      <c r="AE10" s="3">
        <f t="shared" si="0"/>
        <v>600000</v>
      </c>
      <c r="AF10" s="3">
        <f>VLOOKUP(A10,'[1]계산서(25하-대전)'!W$4:AI$150,4,FALSE)</f>
        <v>200000</v>
      </c>
      <c r="AG10" s="3">
        <f>VLOOKUP(A10,'[1]계산서(25하-대전)'!W$4:AI$150,5,FALSE)</f>
        <v>400000</v>
      </c>
      <c r="AH10" s="3">
        <f t="shared" si="1"/>
        <v>600000</v>
      </c>
      <c r="AI10" s="29">
        <f>VLOOKUP(A10,'[1]계산서(25하-대전)'!W$4:AI$150,8,FALSE)</f>
        <v>45869</v>
      </c>
      <c r="AJ10" s="3">
        <f>VLOOKUP(A10,'[1]계산서(25하-대전)'!W$4:AI$150,9,FALSE)</f>
        <v>200000</v>
      </c>
      <c r="AK10" s="29">
        <f>VLOOKUP(A10,'[1]계산서(25하-대전)'!W$4:AI$150,10,FALSE)</f>
        <v>45919</v>
      </c>
      <c r="AL10" s="3">
        <f>VLOOKUP(A10,'[1]계산서(25하-대전)'!W$4:AI$150,11,FALSE)</f>
        <v>400000</v>
      </c>
      <c r="AM10" s="3">
        <f>VLOOKUP(A10,'[1]계산서(25하-대전)'!W$4:AI$150,13,FALSE)</f>
        <v>0</v>
      </c>
    </row>
    <row r="11" spans="1:39" x14ac:dyDescent="0.3">
      <c r="A11" s="28" t="s">
        <v>1447</v>
      </c>
      <c r="B11" s="3">
        <v>2025</v>
      </c>
      <c r="C11" s="3" t="s">
        <v>2871</v>
      </c>
      <c r="D11" s="3" t="s">
        <v>94</v>
      </c>
      <c r="E11" s="3" t="s">
        <v>3533</v>
      </c>
      <c r="F11" s="3" t="s">
        <v>3092</v>
      </c>
      <c r="G11" s="12">
        <v>9</v>
      </c>
      <c r="H11" s="12" t="s">
        <v>128</v>
      </c>
      <c r="I11" s="29">
        <v>45860</v>
      </c>
      <c r="J11" s="29">
        <v>45860</v>
      </c>
      <c r="L11" s="3" t="s">
        <v>181</v>
      </c>
      <c r="M11" s="3" t="s">
        <v>3533</v>
      </c>
      <c r="N11" s="3" t="s">
        <v>1449</v>
      </c>
      <c r="O11" s="3">
        <v>9</v>
      </c>
      <c r="P11" s="3">
        <v>3148134335</v>
      </c>
      <c r="Q11" s="3" t="s">
        <v>3093</v>
      </c>
      <c r="R11" s="3" t="s">
        <v>339</v>
      </c>
      <c r="T11" s="3" t="s">
        <v>1450</v>
      </c>
      <c r="U11" s="3" t="s">
        <v>1451</v>
      </c>
      <c r="V11" s="3" t="s">
        <v>1452</v>
      </c>
      <c r="W11" s="3" t="s">
        <v>1453</v>
      </c>
      <c r="X11" s="3" t="s">
        <v>112</v>
      </c>
      <c r="Y11" s="3" t="s">
        <v>1454</v>
      </c>
      <c r="Z11" s="3" t="s">
        <v>1455</v>
      </c>
      <c r="AA11" s="29">
        <v>45883</v>
      </c>
      <c r="AB11" s="3" t="s">
        <v>181</v>
      </c>
      <c r="AC11" s="3" t="str">
        <f>VLOOKUP(A11,'[1]계산서(25하-대전)'!W$4:AI$150,2,FALSE)</f>
        <v>bsd0298@naver.com</v>
      </c>
      <c r="AD11" s="29">
        <f>VLOOKUP(A11,'[1]계산서(25하-대전)'!W$4:AI$150,3,FALSE)</f>
        <v>45861</v>
      </c>
      <c r="AE11" s="3">
        <f t="shared" si="0"/>
        <v>600000</v>
      </c>
      <c r="AF11" s="3">
        <f>VLOOKUP(A11,'[1]계산서(25하-대전)'!W$4:AI$150,4,FALSE)</f>
        <v>200000</v>
      </c>
      <c r="AG11" s="3">
        <f>VLOOKUP(A11,'[1]계산서(25하-대전)'!W$4:AI$150,5,FALSE)</f>
        <v>400000</v>
      </c>
      <c r="AH11" s="3">
        <f t="shared" si="1"/>
        <v>600000</v>
      </c>
      <c r="AI11" s="29">
        <f>VLOOKUP(A11,'[1]계산서(25하-대전)'!W$4:AI$150,8,FALSE)</f>
        <v>45890</v>
      </c>
      <c r="AJ11" s="3">
        <f>VLOOKUP(A11,'[1]계산서(25하-대전)'!W$4:AI$150,9,FALSE)</f>
        <v>200000</v>
      </c>
      <c r="AK11" s="29">
        <f>VLOOKUP(A11,'[1]계산서(25하-대전)'!W$4:AI$150,10,FALSE)</f>
        <v>45919</v>
      </c>
      <c r="AL11" s="3">
        <f>VLOOKUP(A11,'[1]계산서(25하-대전)'!W$4:AI$150,11,FALSE)</f>
        <v>400000</v>
      </c>
      <c r="AM11" s="3">
        <f>VLOOKUP(A11,'[1]계산서(25하-대전)'!W$4:AI$150,13,FALSE)</f>
        <v>0</v>
      </c>
    </row>
    <row r="12" spans="1:39" x14ac:dyDescent="0.3">
      <c r="A12" s="28" t="s">
        <v>1400</v>
      </c>
      <c r="B12" s="3">
        <v>2025</v>
      </c>
      <c r="C12" s="3" t="s">
        <v>2871</v>
      </c>
      <c r="D12" s="3" t="s">
        <v>94</v>
      </c>
      <c r="E12" s="3" t="s">
        <v>3533</v>
      </c>
      <c r="F12" s="3" t="s">
        <v>3094</v>
      </c>
      <c r="G12" s="12">
        <v>10</v>
      </c>
      <c r="H12" s="12" t="s">
        <v>139</v>
      </c>
      <c r="I12" s="29">
        <v>45860</v>
      </c>
      <c r="J12" s="29">
        <v>45860</v>
      </c>
      <c r="L12" s="3" t="s">
        <v>73</v>
      </c>
      <c r="M12" s="3" t="s">
        <v>3533</v>
      </c>
      <c r="N12" s="3" t="s">
        <v>1402</v>
      </c>
      <c r="O12" s="3">
        <v>8</v>
      </c>
      <c r="P12" s="3">
        <v>3062971855</v>
      </c>
      <c r="Q12" s="3" t="s">
        <v>3095</v>
      </c>
      <c r="R12" s="3" t="s">
        <v>1403</v>
      </c>
      <c r="T12" s="3" t="s">
        <v>1404</v>
      </c>
      <c r="U12" s="3" t="s">
        <v>1405</v>
      </c>
      <c r="V12" s="3" t="s">
        <v>1406</v>
      </c>
      <c r="W12" s="3" t="s">
        <v>1407</v>
      </c>
      <c r="X12" s="3" t="s">
        <v>78</v>
      </c>
      <c r="Y12" s="3" t="s">
        <v>1408</v>
      </c>
      <c r="Z12" s="3" t="s">
        <v>1409</v>
      </c>
      <c r="AA12" s="29">
        <v>45889</v>
      </c>
      <c r="AB12" s="3" t="s">
        <v>218</v>
      </c>
      <c r="AC12" s="3" t="str">
        <f>VLOOKUP(A12,'[1]계산서(25하-대전)'!W$4:AI$150,2,FALSE)</f>
        <v>ds6247771@naver.com</v>
      </c>
      <c r="AD12" s="29">
        <f>VLOOKUP(A12,'[1]계산서(25하-대전)'!W$4:AI$150,3,FALSE)</f>
        <v>45861</v>
      </c>
      <c r="AE12" s="3">
        <f t="shared" si="0"/>
        <v>600000</v>
      </c>
      <c r="AF12" s="3">
        <f>VLOOKUP(A12,'[1]계산서(25하-대전)'!W$4:AI$150,4,FALSE)</f>
        <v>200000</v>
      </c>
      <c r="AG12" s="3">
        <f>VLOOKUP(A12,'[1]계산서(25하-대전)'!W$4:AI$150,5,FALSE)</f>
        <v>400000</v>
      </c>
      <c r="AH12" s="3">
        <f t="shared" si="1"/>
        <v>600000</v>
      </c>
      <c r="AI12" s="29">
        <f>VLOOKUP(A12,'[1]계산서(25하-대전)'!W$4:AI$150,8,FALSE)</f>
        <v>45912</v>
      </c>
      <c r="AJ12" s="3">
        <f>VLOOKUP(A12,'[1]계산서(25하-대전)'!W$4:AI$150,9,FALSE)</f>
        <v>200000</v>
      </c>
      <c r="AK12" s="29">
        <f>VLOOKUP(A12,'[1]계산서(25하-대전)'!W$4:AI$150,10,FALSE)</f>
        <v>45919</v>
      </c>
      <c r="AL12" s="3">
        <f>VLOOKUP(A12,'[1]계산서(25하-대전)'!W$4:AI$150,11,FALSE)</f>
        <v>400000</v>
      </c>
      <c r="AM12" s="3">
        <f>VLOOKUP(A12,'[1]계산서(25하-대전)'!W$4:AI$150,13,FALSE)</f>
        <v>0</v>
      </c>
    </row>
    <row r="13" spans="1:39" x14ac:dyDescent="0.3">
      <c r="A13" s="28" t="s">
        <v>1410</v>
      </c>
      <c r="B13" s="3">
        <v>2025</v>
      </c>
      <c r="C13" s="3" t="s">
        <v>2871</v>
      </c>
      <c r="D13" s="3" t="s">
        <v>94</v>
      </c>
      <c r="E13" s="3" t="s">
        <v>3533</v>
      </c>
      <c r="F13" s="3" t="s">
        <v>3096</v>
      </c>
      <c r="G13" s="12">
        <v>11</v>
      </c>
      <c r="H13" s="12" t="s">
        <v>139</v>
      </c>
      <c r="I13" s="29">
        <v>45860</v>
      </c>
      <c r="J13" s="29">
        <v>45860</v>
      </c>
      <c r="L13" s="3" t="s">
        <v>61</v>
      </c>
      <c r="M13" s="3" t="s">
        <v>3533</v>
      </c>
      <c r="N13" s="3" t="s">
        <v>1412</v>
      </c>
      <c r="O13" s="3">
        <v>3</v>
      </c>
      <c r="P13" s="3">
        <v>3051899553</v>
      </c>
      <c r="Q13" s="3" t="s">
        <v>3097</v>
      </c>
      <c r="R13" s="3" t="s">
        <v>1413</v>
      </c>
      <c r="T13" s="3" t="s">
        <v>1404</v>
      </c>
      <c r="U13" s="3" t="s">
        <v>1414</v>
      </c>
      <c r="V13" s="3" t="s">
        <v>1415</v>
      </c>
      <c r="W13" s="3" t="s">
        <v>1413</v>
      </c>
      <c r="X13" s="3" t="s">
        <v>78</v>
      </c>
      <c r="Y13" s="3" t="s">
        <v>1416</v>
      </c>
      <c r="Z13" s="3" t="s">
        <v>1417</v>
      </c>
      <c r="AA13" s="29">
        <v>45889</v>
      </c>
      <c r="AB13" s="3" t="s">
        <v>218</v>
      </c>
      <c r="AC13" s="3" t="str">
        <f>VLOOKUP(A13,'[1]계산서(25하-대전)'!W$4:AI$150,2,FALSE)</f>
        <v>pppt0364@hanmail.net</v>
      </c>
      <c r="AD13" s="29">
        <f>VLOOKUP(A13,'[1]계산서(25하-대전)'!W$4:AI$150,3,FALSE)</f>
        <v>45861</v>
      </c>
      <c r="AE13" s="3">
        <f t="shared" si="0"/>
        <v>600000</v>
      </c>
      <c r="AF13" s="3">
        <f>VLOOKUP(A13,'[1]계산서(25하-대전)'!W$4:AI$150,4,FALSE)</f>
        <v>200000</v>
      </c>
      <c r="AG13" s="3">
        <f>VLOOKUP(A13,'[1]계산서(25하-대전)'!W$4:AI$150,5,FALSE)</f>
        <v>400000</v>
      </c>
      <c r="AH13" s="3">
        <f t="shared" si="1"/>
        <v>600000</v>
      </c>
      <c r="AI13" s="29">
        <f>VLOOKUP(A13,'[1]계산서(25하-대전)'!W$4:AI$150,8,FALSE)</f>
        <v>45901</v>
      </c>
      <c r="AJ13" s="3">
        <f>VLOOKUP(A13,'[1]계산서(25하-대전)'!W$4:AI$150,9,FALSE)</f>
        <v>200000</v>
      </c>
      <c r="AK13" s="29">
        <f>VLOOKUP(A13,'[1]계산서(25하-대전)'!W$4:AI$150,10,FALSE)</f>
        <v>45919</v>
      </c>
      <c r="AL13" s="3">
        <f>VLOOKUP(A13,'[1]계산서(25하-대전)'!W$4:AI$150,11,FALSE)</f>
        <v>400000</v>
      </c>
      <c r="AM13" s="3">
        <f>VLOOKUP(A13,'[1]계산서(25하-대전)'!W$4:AI$150,13,FALSE)</f>
        <v>0</v>
      </c>
    </row>
    <row r="14" spans="1:39" x14ac:dyDescent="0.3">
      <c r="A14" s="28" t="s">
        <v>1391</v>
      </c>
      <c r="B14" s="3">
        <v>2025</v>
      </c>
      <c r="C14" s="3" t="s">
        <v>2871</v>
      </c>
      <c r="D14" s="3" t="s">
        <v>94</v>
      </c>
      <c r="E14" s="3" t="s">
        <v>3533</v>
      </c>
      <c r="F14" s="3" t="s">
        <v>3098</v>
      </c>
      <c r="G14" s="12">
        <v>12</v>
      </c>
      <c r="H14" s="12" t="s">
        <v>139</v>
      </c>
      <c r="I14" s="29">
        <v>45860</v>
      </c>
      <c r="J14" s="29">
        <v>45860</v>
      </c>
      <c r="L14" s="3" t="s">
        <v>218</v>
      </c>
      <c r="M14" s="3" t="s">
        <v>3533</v>
      </c>
      <c r="N14" s="3" t="s">
        <v>1393</v>
      </c>
      <c r="O14" s="3">
        <v>1</v>
      </c>
      <c r="P14" s="3">
        <v>3180131226</v>
      </c>
      <c r="Q14" s="3" t="s">
        <v>3099</v>
      </c>
      <c r="R14" s="3" t="s">
        <v>1394</v>
      </c>
      <c r="T14" s="3" t="s">
        <v>1395</v>
      </c>
      <c r="U14" s="3" t="s">
        <v>1396</v>
      </c>
      <c r="V14" s="3" t="s">
        <v>1397</v>
      </c>
      <c r="W14" s="3" t="s">
        <v>1394</v>
      </c>
      <c r="X14" s="3" t="s">
        <v>78</v>
      </c>
      <c r="Y14" s="3" t="s">
        <v>1398</v>
      </c>
      <c r="Z14" s="3" t="s">
        <v>1399</v>
      </c>
      <c r="AA14" s="29">
        <v>45889</v>
      </c>
      <c r="AB14" s="3" t="s">
        <v>218</v>
      </c>
      <c r="AC14" s="3" t="str">
        <f>VLOOKUP(A14,'[1]계산서(25하-대전)'!W$4:AI$150,2,FALSE)</f>
        <v>ddd0225@naver.com</v>
      </c>
      <c r="AD14" s="29">
        <f>VLOOKUP(A14,'[1]계산서(25하-대전)'!W$4:AI$150,3,FALSE)</f>
        <v>45861</v>
      </c>
      <c r="AE14" s="3">
        <f t="shared" si="0"/>
        <v>600000</v>
      </c>
      <c r="AF14" s="3">
        <f>VLOOKUP(A14,'[1]계산서(25하-대전)'!W$4:AI$150,4,FALSE)</f>
        <v>200000</v>
      </c>
      <c r="AG14" s="3">
        <f>VLOOKUP(A14,'[1]계산서(25하-대전)'!W$4:AI$150,5,FALSE)</f>
        <v>400000</v>
      </c>
      <c r="AH14" s="3">
        <f t="shared" si="1"/>
        <v>600000</v>
      </c>
      <c r="AI14" s="29">
        <f>VLOOKUP(A14,'[1]계산서(25하-대전)'!W$4:AI$150,8,FALSE)</f>
        <v>45862</v>
      </c>
      <c r="AJ14" s="3">
        <f>VLOOKUP(A14,'[1]계산서(25하-대전)'!W$4:AI$150,9,FALSE)</f>
        <v>200000</v>
      </c>
      <c r="AK14" s="29">
        <f>VLOOKUP(A14,'[1]계산서(25하-대전)'!W$4:AI$150,10,FALSE)</f>
        <v>45919</v>
      </c>
      <c r="AL14" s="3">
        <f>VLOOKUP(A14,'[1]계산서(25하-대전)'!W$4:AI$150,11,FALSE)</f>
        <v>400000</v>
      </c>
      <c r="AM14" s="3">
        <f>VLOOKUP(A14,'[1]계산서(25하-대전)'!W$4:AI$150,13,FALSE)</f>
        <v>0</v>
      </c>
    </row>
    <row r="15" spans="1:39" x14ac:dyDescent="0.3">
      <c r="A15" s="28" t="s">
        <v>1456</v>
      </c>
      <c r="B15" s="3">
        <v>2025</v>
      </c>
      <c r="C15" s="3" t="s">
        <v>2871</v>
      </c>
      <c r="D15" s="3" t="s">
        <v>94</v>
      </c>
      <c r="E15" s="3" t="s">
        <v>3533</v>
      </c>
      <c r="F15" s="3" t="s">
        <v>3100</v>
      </c>
      <c r="G15" s="12">
        <v>13</v>
      </c>
      <c r="H15" s="12" t="s">
        <v>148</v>
      </c>
      <c r="I15" s="29">
        <v>45861</v>
      </c>
      <c r="J15" s="29">
        <v>45861</v>
      </c>
      <c r="L15" s="3" t="s">
        <v>46</v>
      </c>
      <c r="M15" s="3" t="s">
        <v>3533</v>
      </c>
      <c r="N15" s="3" t="s">
        <v>3101</v>
      </c>
      <c r="O15" s="3">
        <v>9</v>
      </c>
      <c r="P15" s="3">
        <v>3058190707</v>
      </c>
      <c r="Q15" s="3" t="s">
        <v>3102</v>
      </c>
      <c r="R15" s="3" t="s">
        <v>1459</v>
      </c>
      <c r="T15" s="3" t="s">
        <v>1460</v>
      </c>
      <c r="U15" s="3" t="s">
        <v>1461</v>
      </c>
      <c r="V15" s="3" t="s">
        <v>1462</v>
      </c>
      <c r="W15" s="3" t="s">
        <v>1459</v>
      </c>
      <c r="X15" s="3" t="s">
        <v>78</v>
      </c>
      <c r="Y15" s="3" t="s">
        <v>1463</v>
      </c>
      <c r="Z15" s="3" t="s">
        <v>1464</v>
      </c>
      <c r="AA15" s="29"/>
      <c r="AC15" s="3" t="str">
        <f>VLOOKUP(A15,'[1]계산서(25하-대전)'!W$4:AI$150,2,FALSE)</f>
        <v>hyunwoo4210720@naver.com</v>
      </c>
      <c r="AD15" s="29">
        <f>VLOOKUP(A15,'[1]계산서(25하-대전)'!W$4:AI$150,3,FALSE)</f>
        <v>45862</v>
      </c>
      <c r="AE15" s="3">
        <f t="shared" si="0"/>
        <v>600000</v>
      </c>
      <c r="AF15" s="3">
        <f>VLOOKUP(A15,'[1]계산서(25하-대전)'!W$4:AI$150,4,FALSE)</f>
        <v>200000</v>
      </c>
      <c r="AG15" s="3">
        <f>VLOOKUP(A15,'[1]계산서(25하-대전)'!W$4:AI$150,5,FALSE)</f>
        <v>400000</v>
      </c>
      <c r="AH15" s="3">
        <f t="shared" si="1"/>
        <v>600000</v>
      </c>
      <c r="AI15" s="29">
        <f>VLOOKUP(A15,'[1]계산서(25하-대전)'!W$4:AI$150,8,FALSE)</f>
        <v>45869</v>
      </c>
      <c r="AJ15" s="3">
        <f>VLOOKUP(A15,'[1]계산서(25하-대전)'!W$4:AI$150,9,FALSE)</f>
        <v>200000</v>
      </c>
      <c r="AK15" s="29">
        <f>VLOOKUP(A15,'[1]계산서(25하-대전)'!W$4:AI$150,10,FALSE)</f>
        <v>45919</v>
      </c>
      <c r="AL15" s="3">
        <f>VLOOKUP(A15,'[1]계산서(25하-대전)'!W$4:AI$150,11,FALSE)</f>
        <v>400000</v>
      </c>
      <c r="AM15" s="3">
        <f>VLOOKUP(A15,'[1]계산서(25하-대전)'!W$4:AI$150,13,FALSE)</f>
        <v>0</v>
      </c>
    </row>
    <row r="16" spans="1:39" x14ac:dyDescent="0.3">
      <c r="A16" s="28" t="s">
        <v>1465</v>
      </c>
      <c r="B16" s="3">
        <v>2025</v>
      </c>
      <c r="C16" s="3" t="s">
        <v>2871</v>
      </c>
      <c r="D16" s="3" t="s">
        <v>94</v>
      </c>
      <c r="E16" s="3" t="s">
        <v>3533</v>
      </c>
      <c r="F16" s="3" t="s">
        <v>3103</v>
      </c>
      <c r="G16" s="12">
        <v>14</v>
      </c>
      <c r="H16" s="12" t="s">
        <v>158</v>
      </c>
      <c r="I16" s="29">
        <v>45861</v>
      </c>
      <c r="J16" s="29">
        <v>45861</v>
      </c>
      <c r="L16" s="3" t="s">
        <v>97</v>
      </c>
      <c r="M16" s="3" t="s">
        <v>3533</v>
      </c>
      <c r="N16" s="3" t="s">
        <v>1467</v>
      </c>
      <c r="O16" s="3">
        <v>21</v>
      </c>
      <c r="P16" s="3">
        <v>3058622015</v>
      </c>
      <c r="Q16" s="3" t="s">
        <v>3104</v>
      </c>
      <c r="R16" s="3" t="s">
        <v>1468</v>
      </c>
      <c r="T16" s="3" t="s">
        <v>1469</v>
      </c>
      <c r="U16" s="3" t="s">
        <v>1470</v>
      </c>
      <c r="V16" s="3" t="s">
        <v>1471</v>
      </c>
      <c r="W16" s="3" t="s">
        <v>1472</v>
      </c>
      <c r="X16" s="3" t="s">
        <v>123</v>
      </c>
      <c r="Y16" s="3" t="s">
        <v>1473</v>
      </c>
      <c r="Z16" s="3" t="s">
        <v>1474</v>
      </c>
      <c r="AA16" s="29"/>
      <c r="AC16" s="3" t="str">
        <f>VLOOKUP(A16,'[1]계산서(25하-대전)'!W$4:AI$150,2,FALSE)</f>
        <v>jyu9839@hanmail.net</v>
      </c>
      <c r="AD16" s="29">
        <f>VLOOKUP(A16,'[1]계산서(25하-대전)'!W$4:AI$150,3,FALSE)</f>
        <v>45862</v>
      </c>
      <c r="AE16" s="3">
        <f t="shared" si="0"/>
        <v>600000</v>
      </c>
      <c r="AF16" s="3">
        <f>VLOOKUP(A16,'[1]계산서(25하-대전)'!W$4:AI$150,4,FALSE)</f>
        <v>200000</v>
      </c>
      <c r="AG16" s="3">
        <f>VLOOKUP(A16,'[1]계산서(25하-대전)'!W$4:AI$150,5,FALSE)</f>
        <v>400000</v>
      </c>
      <c r="AH16" s="3">
        <f t="shared" si="1"/>
        <v>600000</v>
      </c>
      <c r="AI16" s="29">
        <f>VLOOKUP(A16,'[1]계산서(25하-대전)'!W$4:AI$150,8,FALSE)</f>
        <v>45888</v>
      </c>
      <c r="AJ16" s="3">
        <f>VLOOKUP(A16,'[1]계산서(25하-대전)'!W$4:AI$150,9,FALSE)</f>
        <v>200000</v>
      </c>
      <c r="AK16" s="29">
        <f>VLOOKUP(A16,'[1]계산서(25하-대전)'!W$4:AI$150,10,FALSE)</f>
        <v>45919</v>
      </c>
      <c r="AL16" s="3">
        <f>VLOOKUP(A16,'[1]계산서(25하-대전)'!W$4:AI$150,11,FALSE)</f>
        <v>400000</v>
      </c>
      <c r="AM16" s="3">
        <f>VLOOKUP(A16,'[1]계산서(25하-대전)'!W$4:AI$150,13,FALSE)</f>
        <v>0</v>
      </c>
    </row>
    <row r="17" spans="1:39" x14ac:dyDescent="0.3">
      <c r="A17" s="28" t="s">
        <v>1475</v>
      </c>
      <c r="B17" s="3">
        <v>2025</v>
      </c>
      <c r="C17" s="3" t="s">
        <v>2871</v>
      </c>
      <c r="D17" s="3" t="s">
        <v>94</v>
      </c>
      <c r="E17" s="3" t="s">
        <v>3533</v>
      </c>
      <c r="F17" s="3" t="s">
        <v>3105</v>
      </c>
      <c r="G17" s="12">
        <v>15</v>
      </c>
      <c r="H17" s="12" t="s">
        <v>158</v>
      </c>
      <c r="I17" s="29">
        <v>45861</v>
      </c>
      <c r="J17" s="29">
        <v>45861</v>
      </c>
      <c r="L17" s="3" t="s">
        <v>181</v>
      </c>
      <c r="M17" s="3" t="s">
        <v>3533</v>
      </c>
      <c r="N17" s="3" t="s">
        <v>1477</v>
      </c>
      <c r="O17" s="3">
        <v>3</v>
      </c>
      <c r="P17" s="3">
        <v>3053045802</v>
      </c>
      <c r="Q17" s="3" t="s">
        <v>3106</v>
      </c>
      <c r="R17" s="3" t="s">
        <v>1478</v>
      </c>
      <c r="T17" s="3" t="s">
        <v>1479</v>
      </c>
      <c r="U17" s="3" t="s">
        <v>1480</v>
      </c>
      <c r="V17" s="3" t="s">
        <v>1481</v>
      </c>
      <c r="W17" s="3" t="s">
        <v>1478</v>
      </c>
      <c r="X17" s="3" t="s">
        <v>78</v>
      </c>
      <c r="Y17" s="3" t="s">
        <v>1482</v>
      </c>
      <c r="Z17" s="3" t="s">
        <v>1483</v>
      </c>
      <c r="AA17" s="29"/>
      <c r="AC17" s="3" t="str">
        <f>VLOOKUP(A17,'[1]계산서(25하-대전)'!W$4:AI$150,2,FALSE)</f>
        <v>SE04394344@hometax.go.kr</v>
      </c>
      <c r="AD17" s="29">
        <f>VLOOKUP(A17,'[1]계산서(25하-대전)'!W$4:AI$150,3,FALSE)</f>
        <v>45862</v>
      </c>
      <c r="AE17" s="3">
        <f t="shared" si="0"/>
        <v>600000</v>
      </c>
      <c r="AF17" s="3">
        <f>VLOOKUP(A17,'[1]계산서(25하-대전)'!W$4:AI$150,4,FALSE)</f>
        <v>200000</v>
      </c>
      <c r="AG17" s="3">
        <f>VLOOKUP(A17,'[1]계산서(25하-대전)'!W$4:AI$150,5,FALSE)</f>
        <v>400000</v>
      </c>
      <c r="AH17" s="3">
        <f t="shared" si="1"/>
        <v>600000</v>
      </c>
      <c r="AI17" s="29">
        <f>VLOOKUP(A17,'[1]계산서(25하-대전)'!W$4:AI$150,8,FALSE)</f>
        <v>46017</v>
      </c>
      <c r="AJ17" s="3">
        <f>VLOOKUP(A17,'[1]계산서(25하-대전)'!W$4:AI$150,9,FALSE)</f>
        <v>200000</v>
      </c>
      <c r="AK17" s="29">
        <f>VLOOKUP(A17,'[1]계산서(25하-대전)'!W$4:AI$150,10,FALSE)</f>
        <v>45919</v>
      </c>
      <c r="AL17" s="3">
        <f>VLOOKUP(A17,'[1]계산서(25하-대전)'!W$4:AI$150,11,FALSE)</f>
        <v>400000</v>
      </c>
      <c r="AM17" s="3">
        <f>VLOOKUP(A17,'[1]계산서(25하-대전)'!W$4:AI$150,13,FALSE)</f>
        <v>0</v>
      </c>
    </row>
    <row r="18" spans="1:39" x14ac:dyDescent="0.3">
      <c r="A18" s="28" t="s">
        <v>1485</v>
      </c>
      <c r="B18" s="3">
        <v>2025</v>
      </c>
      <c r="C18" s="3" t="s">
        <v>2871</v>
      </c>
      <c r="D18" s="3" t="s">
        <v>94</v>
      </c>
      <c r="E18" s="3" t="s">
        <v>3533</v>
      </c>
      <c r="F18" s="3" t="s">
        <v>3107</v>
      </c>
      <c r="G18" s="12">
        <v>16</v>
      </c>
      <c r="H18" s="12" t="s">
        <v>162</v>
      </c>
      <c r="I18" s="29">
        <v>45861</v>
      </c>
      <c r="J18" s="29">
        <v>45861</v>
      </c>
      <c r="L18" s="3" t="s">
        <v>73</v>
      </c>
      <c r="M18" s="3" t="s">
        <v>3533</v>
      </c>
      <c r="N18" s="3" t="s">
        <v>1487</v>
      </c>
      <c r="O18" s="3">
        <v>12</v>
      </c>
      <c r="P18" s="3">
        <v>3068131720</v>
      </c>
      <c r="Q18" s="3" t="s">
        <v>3108</v>
      </c>
      <c r="R18" s="3" t="s">
        <v>1488</v>
      </c>
      <c r="T18" s="3" t="s">
        <v>1489</v>
      </c>
      <c r="U18" s="3" t="s">
        <v>1490</v>
      </c>
      <c r="V18" s="3" t="s">
        <v>1491</v>
      </c>
      <c r="W18" s="3" t="s">
        <v>1488</v>
      </c>
      <c r="X18" s="3" t="s">
        <v>78</v>
      </c>
      <c r="Y18" s="3" t="s">
        <v>1492</v>
      </c>
      <c r="Z18" s="3" t="s">
        <v>3109</v>
      </c>
      <c r="AA18" s="29">
        <v>45889</v>
      </c>
      <c r="AB18" s="3" t="s">
        <v>218</v>
      </c>
      <c r="AC18" s="3" t="str">
        <f>VLOOKUP(A18,'[1]계산서(25하-대전)'!W$4:AI$150,2,FALSE)</f>
        <v>cns5600@bill36524.com</v>
      </c>
      <c r="AD18" s="29">
        <f>VLOOKUP(A18,'[1]계산서(25하-대전)'!W$4:AI$150,3,FALSE)</f>
        <v>45862</v>
      </c>
      <c r="AE18" s="3">
        <f t="shared" si="0"/>
        <v>600000</v>
      </c>
      <c r="AF18" s="3">
        <f>VLOOKUP(A18,'[1]계산서(25하-대전)'!W$4:AI$150,4,FALSE)</f>
        <v>200000</v>
      </c>
      <c r="AG18" s="3">
        <f>VLOOKUP(A18,'[1]계산서(25하-대전)'!W$4:AI$150,5,FALSE)</f>
        <v>400000</v>
      </c>
      <c r="AH18" s="3">
        <f t="shared" si="1"/>
        <v>600000</v>
      </c>
      <c r="AI18" s="29">
        <f>VLOOKUP(A18,'[1]계산서(25하-대전)'!W$4:AI$150,8,FALSE)</f>
        <v>45887</v>
      </c>
      <c r="AJ18" s="3">
        <f>VLOOKUP(A18,'[1]계산서(25하-대전)'!W$4:AI$150,9,FALSE)</f>
        <v>200000</v>
      </c>
      <c r="AK18" s="29">
        <f>VLOOKUP(A18,'[1]계산서(25하-대전)'!W$4:AI$150,10,FALSE)</f>
        <v>45919</v>
      </c>
      <c r="AL18" s="3">
        <f>VLOOKUP(A18,'[1]계산서(25하-대전)'!W$4:AI$150,11,FALSE)</f>
        <v>400000</v>
      </c>
      <c r="AM18" s="3">
        <f>VLOOKUP(A18,'[1]계산서(25하-대전)'!W$4:AI$150,13,FALSE)</f>
        <v>0</v>
      </c>
    </row>
    <row r="19" spans="1:39" x14ac:dyDescent="0.3">
      <c r="A19" s="28" t="s">
        <v>1494</v>
      </c>
      <c r="B19" s="3">
        <v>2025</v>
      </c>
      <c r="C19" s="3" t="s">
        <v>2871</v>
      </c>
      <c r="D19" s="3" t="s">
        <v>94</v>
      </c>
      <c r="E19" s="3" t="s">
        <v>3533</v>
      </c>
      <c r="F19" s="3" t="s">
        <v>3110</v>
      </c>
      <c r="G19" s="12">
        <v>17</v>
      </c>
      <c r="H19" s="12" t="s">
        <v>186</v>
      </c>
      <c r="I19" s="29">
        <v>45861</v>
      </c>
      <c r="J19" s="29">
        <v>45861</v>
      </c>
      <c r="L19" s="3" t="s">
        <v>61</v>
      </c>
      <c r="M19" s="3" t="s">
        <v>3533</v>
      </c>
      <c r="N19" s="3" t="s">
        <v>1496</v>
      </c>
      <c r="O19" s="3">
        <v>5</v>
      </c>
      <c r="P19" s="3">
        <v>3141420824</v>
      </c>
      <c r="Q19" s="3" t="s">
        <v>3111</v>
      </c>
      <c r="R19" s="3" t="s">
        <v>1497</v>
      </c>
      <c r="T19" s="3" t="s">
        <v>1498</v>
      </c>
      <c r="U19" s="3" t="s">
        <v>1499</v>
      </c>
      <c r="V19" s="3" t="s">
        <v>1500</v>
      </c>
      <c r="W19" s="3" t="s">
        <v>1501</v>
      </c>
      <c r="X19" s="3" t="s">
        <v>134</v>
      </c>
      <c r="Y19" s="3" t="s">
        <v>1502</v>
      </c>
      <c r="Z19" s="3" t="s">
        <v>1503</v>
      </c>
      <c r="AA19" s="29">
        <v>45889</v>
      </c>
      <c r="AB19" s="3" t="s">
        <v>218</v>
      </c>
      <c r="AC19" s="3" t="str">
        <f>VLOOKUP(A19,'[1]계산서(25하-대전)'!W$4:AI$150,2,FALSE)</f>
        <v>jhg1128@hanmail.net</v>
      </c>
      <c r="AD19" s="29">
        <f>VLOOKUP(A19,'[1]계산서(25하-대전)'!W$4:AI$150,3,FALSE)</f>
        <v>45862</v>
      </c>
      <c r="AE19" s="3">
        <f t="shared" si="0"/>
        <v>600000</v>
      </c>
      <c r="AF19" s="3">
        <f>VLOOKUP(A19,'[1]계산서(25하-대전)'!W$4:AI$150,4,FALSE)</f>
        <v>200000</v>
      </c>
      <c r="AG19" s="3">
        <f>VLOOKUP(A19,'[1]계산서(25하-대전)'!W$4:AI$150,5,FALSE)</f>
        <v>400000</v>
      </c>
      <c r="AH19" s="3">
        <f t="shared" si="1"/>
        <v>600000</v>
      </c>
      <c r="AI19" s="29">
        <f>VLOOKUP(A19,'[1]계산서(25하-대전)'!W$4:AI$150,8,FALSE)</f>
        <v>45894</v>
      </c>
      <c r="AJ19" s="3">
        <f>VLOOKUP(A19,'[1]계산서(25하-대전)'!W$4:AI$150,9,FALSE)</f>
        <v>200000</v>
      </c>
      <c r="AK19" s="29">
        <f>VLOOKUP(A19,'[1]계산서(25하-대전)'!W$4:AI$150,10,FALSE)</f>
        <v>45919</v>
      </c>
      <c r="AL19" s="3">
        <f>VLOOKUP(A19,'[1]계산서(25하-대전)'!W$4:AI$150,11,FALSE)</f>
        <v>400000</v>
      </c>
      <c r="AM19" s="3">
        <f>VLOOKUP(A19,'[1]계산서(25하-대전)'!W$4:AI$150,13,FALSE)</f>
        <v>0</v>
      </c>
    </row>
    <row r="20" spans="1:39" x14ac:dyDescent="0.3">
      <c r="A20" s="28" t="s">
        <v>1504</v>
      </c>
      <c r="B20" s="3">
        <v>2025</v>
      </c>
      <c r="C20" s="3" t="s">
        <v>2871</v>
      </c>
      <c r="D20" s="3" t="s">
        <v>94</v>
      </c>
      <c r="E20" s="3" t="s">
        <v>3533</v>
      </c>
      <c r="F20" s="3" t="s">
        <v>3112</v>
      </c>
      <c r="G20" s="12">
        <v>18</v>
      </c>
      <c r="H20" s="12" t="s">
        <v>193</v>
      </c>
      <c r="I20" s="29">
        <v>45861</v>
      </c>
      <c r="J20" s="29">
        <v>45861</v>
      </c>
      <c r="L20" s="3" t="s">
        <v>218</v>
      </c>
      <c r="M20" s="3" t="s">
        <v>3533</v>
      </c>
      <c r="N20" s="3" t="s">
        <v>1506</v>
      </c>
      <c r="O20" s="3">
        <v>9</v>
      </c>
      <c r="P20" s="3">
        <v>3060321618</v>
      </c>
      <c r="Q20" s="3" t="s">
        <v>3113</v>
      </c>
      <c r="R20" s="3" t="s">
        <v>1507</v>
      </c>
      <c r="T20" s="3" t="s">
        <v>1508</v>
      </c>
      <c r="U20" s="3" t="s">
        <v>1509</v>
      </c>
      <c r="V20" s="3" t="s">
        <v>1510</v>
      </c>
      <c r="W20" s="3" t="s">
        <v>1507</v>
      </c>
      <c r="X20" s="3" t="s">
        <v>78</v>
      </c>
      <c r="Y20" s="3" t="s">
        <v>1511</v>
      </c>
      <c r="Z20" s="3" t="s">
        <v>1512</v>
      </c>
      <c r="AA20" s="29">
        <v>45889</v>
      </c>
      <c r="AB20" s="3" t="s">
        <v>218</v>
      </c>
      <c r="AC20" s="3" t="str">
        <f>VLOOKUP(A20,'[1]계산서(25하-대전)'!W$4:AI$150,2,FALSE)</f>
        <v>yhr2100@daum.net</v>
      </c>
      <c r="AD20" s="29">
        <f>VLOOKUP(A20,'[1]계산서(25하-대전)'!W$4:AI$150,3,FALSE)</f>
        <v>45862</v>
      </c>
      <c r="AE20" s="3">
        <f t="shared" si="0"/>
        <v>600000</v>
      </c>
      <c r="AF20" s="3">
        <f>VLOOKUP(A20,'[1]계산서(25하-대전)'!W$4:AI$150,4,FALSE)</f>
        <v>200000</v>
      </c>
      <c r="AG20" s="3">
        <f>VLOOKUP(A20,'[1]계산서(25하-대전)'!W$4:AI$150,5,FALSE)</f>
        <v>400000</v>
      </c>
      <c r="AH20" s="3">
        <f t="shared" si="1"/>
        <v>600000</v>
      </c>
      <c r="AI20" s="29">
        <f>VLOOKUP(A20,'[1]계산서(25하-대전)'!W$4:AI$150,8,FALSE)</f>
        <v>45894</v>
      </c>
      <c r="AJ20" s="3">
        <f>VLOOKUP(A20,'[1]계산서(25하-대전)'!W$4:AI$150,9,FALSE)</f>
        <v>200000</v>
      </c>
      <c r="AK20" s="29">
        <f>VLOOKUP(A20,'[1]계산서(25하-대전)'!W$4:AI$150,10,FALSE)</f>
        <v>45919</v>
      </c>
      <c r="AL20" s="3">
        <f>VLOOKUP(A20,'[1]계산서(25하-대전)'!W$4:AI$150,11,FALSE)</f>
        <v>400000</v>
      </c>
      <c r="AM20" s="3">
        <f>VLOOKUP(A20,'[1]계산서(25하-대전)'!W$4:AI$150,13,FALSE)</f>
        <v>0</v>
      </c>
    </row>
    <row r="21" spans="1:39" x14ac:dyDescent="0.3">
      <c r="A21" s="28" t="s">
        <v>1513</v>
      </c>
      <c r="B21" s="3">
        <v>2025</v>
      </c>
      <c r="C21" s="3" t="s">
        <v>2871</v>
      </c>
      <c r="D21" s="3" t="s">
        <v>94</v>
      </c>
      <c r="E21" s="3" t="s">
        <v>3533</v>
      </c>
      <c r="F21" s="3" t="s">
        <v>3114</v>
      </c>
      <c r="G21" s="12">
        <v>19</v>
      </c>
      <c r="H21" s="12" t="s">
        <v>193</v>
      </c>
      <c r="I21" s="29">
        <v>45862</v>
      </c>
      <c r="J21" s="29">
        <v>45862</v>
      </c>
      <c r="L21" s="3" t="s">
        <v>46</v>
      </c>
      <c r="M21" s="3" t="s">
        <v>3533</v>
      </c>
      <c r="N21" s="3" t="s">
        <v>1515</v>
      </c>
      <c r="O21" s="3">
        <v>4</v>
      </c>
      <c r="P21" s="3">
        <v>3180150543</v>
      </c>
      <c r="Q21" s="3" t="s">
        <v>3115</v>
      </c>
      <c r="R21" s="3" t="s">
        <v>1516</v>
      </c>
      <c r="T21" s="3" t="s">
        <v>1517</v>
      </c>
      <c r="U21" s="3" t="s">
        <v>1518</v>
      </c>
      <c r="V21" s="3" t="s">
        <v>1519</v>
      </c>
      <c r="W21" s="3" t="s">
        <v>1516</v>
      </c>
      <c r="X21" s="3" t="s">
        <v>78</v>
      </c>
      <c r="Y21" s="3" t="s">
        <v>1520</v>
      </c>
      <c r="Z21" s="3" t="s">
        <v>1521</v>
      </c>
      <c r="AA21" s="29"/>
      <c r="AC21" s="3" t="str">
        <f>VLOOKUP(A21,'[1]계산서(25하-대전)'!W$4:AI$150,2,FALSE)</f>
        <v>load2772@hometax.go.kr</v>
      </c>
      <c r="AD21" s="29">
        <f>VLOOKUP(A21,'[1]계산서(25하-대전)'!W$4:AI$150,3,FALSE)</f>
        <v>45863</v>
      </c>
      <c r="AE21" s="3">
        <f t="shared" si="0"/>
        <v>600000</v>
      </c>
      <c r="AF21" s="3">
        <f>VLOOKUP(A21,'[1]계산서(25하-대전)'!W$4:AI$150,4,FALSE)</f>
        <v>200000</v>
      </c>
      <c r="AG21" s="3">
        <f>VLOOKUP(A21,'[1]계산서(25하-대전)'!W$4:AI$150,5,FALSE)</f>
        <v>400000</v>
      </c>
      <c r="AH21" s="3">
        <f t="shared" si="1"/>
        <v>600000</v>
      </c>
      <c r="AI21" s="29">
        <f>VLOOKUP(A21,'[1]계산서(25하-대전)'!W$4:AI$150,8,FALSE)</f>
        <v>45873</v>
      </c>
      <c r="AJ21" s="3">
        <f>VLOOKUP(A21,'[1]계산서(25하-대전)'!W$4:AI$150,9,FALSE)</f>
        <v>200000</v>
      </c>
      <c r="AK21" s="29">
        <f>VLOOKUP(A21,'[1]계산서(25하-대전)'!W$4:AI$150,10,FALSE)</f>
        <v>45919</v>
      </c>
      <c r="AL21" s="3">
        <f>VLOOKUP(A21,'[1]계산서(25하-대전)'!W$4:AI$150,11,FALSE)</f>
        <v>400000</v>
      </c>
      <c r="AM21" s="3">
        <f>VLOOKUP(A21,'[1]계산서(25하-대전)'!W$4:AI$150,13,FALSE)</f>
        <v>0</v>
      </c>
    </row>
    <row r="22" spans="1:39" x14ac:dyDescent="0.3">
      <c r="A22" s="28" t="s">
        <v>1523</v>
      </c>
      <c r="B22" s="3">
        <v>2025</v>
      </c>
      <c r="C22" s="3" t="s">
        <v>2871</v>
      </c>
      <c r="D22" s="3" t="s">
        <v>94</v>
      </c>
      <c r="E22" s="3" t="s">
        <v>3533</v>
      </c>
      <c r="F22" s="3" t="s">
        <v>3116</v>
      </c>
      <c r="G22" s="12">
        <v>20</v>
      </c>
      <c r="H22" s="12" t="s">
        <v>193</v>
      </c>
      <c r="I22" s="29">
        <v>45862</v>
      </c>
      <c r="J22" s="29">
        <v>45862</v>
      </c>
      <c r="L22" s="3" t="s">
        <v>97</v>
      </c>
      <c r="M22" s="3" t="s">
        <v>3533</v>
      </c>
      <c r="N22" s="3" t="s">
        <v>1525</v>
      </c>
      <c r="O22" s="3">
        <v>3</v>
      </c>
      <c r="P22" s="3">
        <v>3142472092</v>
      </c>
      <c r="Q22" s="3" t="s">
        <v>3117</v>
      </c>
      <c r="R22" s="3" t="s">
        <v>1526</v>
      </c>
      <c r="T22" s="3" t="s">
        <v>1517</v>
      </c>
      <c r="U22" s="3" t="s">
        <v>1527</v>
      </c>
      <c r="V22" s="3" t="s">
        <v>1528</v>
      </c>
      <c r="W22" s="3" t="s">
        <v>1526</v>
      </c>
      <c r="X22" s="3" t="s">
        <v>78</v>
      </c>
      <c r="Y22" s="3" t="s">
        <v>1529</v>
      </c>
      <c r="Z22" s="3" t="s">
        <v>1530</v>
      </c>
      <c r="AA22" s="29"/>
      <c r="AC22" s="3" t="str">
        <f>VLOOKUP(A22,'[1]계산서(25하-대전)'!W$4:AI$150,2,FALSE)</f>
        <v>ds0014@bill36524.com</v>
      </c>
      <c r="AD22" s="29">
        <f>VLOOKUP(A22,'[1]계산서(25하-대전)'!W$4:AI$150,3,FALSE)</f>
        <v>45863</v>
      </c>
      <c r="AE22" s="3">
        <f t="shared" si="0"/>
        <v>600000</v>
      </c>
      <c r="AF22" s="3">
        <f>VLOOKUP(A22,'[1]계산서(25하-대전)'!W$4:AI$150,4,FALSE)</f>
        <v>200000</v>
      </c>
      <c r="AG22" s="3">
        <f>VLOOKUP(A22,'[1]계산서(25하-대전)'!W$4:AI$150,5,FALSE)</f>
        <v>400000</v>
      </c>
      <c r="AH22" s="3">
        <f t="shared" si="1"/>
        <v>600000</v>
      </c>
      <c r="AI22" s="29">
        <f>VLOOKUP(A22,'[1]계산서(25하-대전)'!W$4:AI$150,8,FALSE)</f>
        <v>45868</v>
      </c>
      <c r="AJ22" s="3">
        <f>VLOOKUP(A22,'[1]계산서(25하-대전)'!W$4:AI$150,9,FALSE)</f>
        <v>200000</v>
      </c>
      <c r="AK22" s="29">
        <f>VLOOKUP(A22,'[1]계산서(25하-대전)'!W$4:AI$150,10,FALSE)</f>
        <v>45919</v>
      </c>
      <c r="AL22" s="3">
        <f>VLOOKUP(A22,'[1]계산서(25하-대전)'!W$4:AI$150,11,FALSE)</f>
        <v>400000</v>
      </c>
      <c r="AM22" s="3">
        <f>VLOOKUP(A22,'[1]계산서(25하-대전)'!W$4:AI$150,13,FALSE)</f>
        <v>0</v>
      </c>
    </row>
    <row r="23" spans="1:39" x14ac:dyDescent="0.3">
      <c r="A23" s="28" t="s">
        <v>1532</v>
      </c>
      <c r="B23" s="3">
        <v>2025</v>
      </c>
      <c r="C23" s="3" t="s">
        <v>2871</v>
      </c>
      <c r="D23" s="3" t="s">
        <v>94</v>
      </c>
      <c r="E23" s="3" t="s">
        <v>3533</v>
      </c>
      <c r="F23" s="3" t="s">
        <v>3118</v>
      </c>
      <c r="G23" s="12">
        <v>21</v>
      </c>
      <c r="H23" s="12" t="s">
        <v>205</v>
      </c>
      <c r="I23" s="29">
        <v>45862</v>
      </c>
      <c r="J23" s="29">
        <v>45862</v>
      </c>
      <c r="L23" s="3" t="s">
        <v>181</v>
      </c>
      <c r="M23" s="3" t="s">
        <v>3533</v>
      </c>
      <c r="N23" s="3" t="s">
        <v>1534</v>
      </c>
      <c r="O23" s="3">
        <v>14</v>
      </c>
      <c r="P23" s="3">
        <v>3058137925</v>
      </c>
      <c r="Q23" s="3" t="s">
        <v>3119</v>
      </c>
      <c r="R23" s="3" t="s">
        <v>1535</v>
      </c>
      <c r="T23" s="3" t="s">
        <v>1536</v>
      </c>
      <c r="U23" s="3" t="s">
        <v>1537</v>
      </c>
      <c r="V23" s="3" t="s">
        <v>1538</v>
      </c>
      <c r="W23" s="3" t="s">
        <v>1539</v>
      </c>
      <c r="X23" s="3" t="s">
        <v>1540</v>
      </c>
      <c r="Y23" s="3" t="s">
        <v>1541</v>
      </c>
      <c r="Z23" s="3" t="s">
        <v>1542</v>
      </c>
      <c r="AA23" s="29"/>
      <c r="AC23" s="3" t="str">
        <f>VLOOKUP(A23,'[1]계산서(25하-대전)'!W$4:AI$150,2,FALSE)</f>
        <v>forkland@hanmail.net</v>
      </c>
      <c r="AD23" s="29">
        <f>VLOOKUP(A23,'[1]계산서(25하-대전)'!W$4:AI$150,3,FALSE)</f>
        <v>45863</v>
      </c>
      <c r="AE23" s="3">
        <f t="shared" si="0"/>
        <v>600000</v>
      </c>
      <c r="AF23" s="3">
        <f>VLOOKUP(A23,'[1]계산서(25하-대전)'!W$4:AI$150,4,FALSE)</f>
        <v>200000</v>
      </c>
      <c r="AG23" s="3">
        <f>VLOOKUP(A23,'[1]계산서(25하-대전)'!W$4:AI$150,5,FALSE)</f>
        <v>400000</v>
      </c>
      <c r="AH23" s="3">
        <f t="shared" si="1"/>
        <v>600000</v>
      </c>
      <c r="AI23" s="29">
        <f>VLOOKUP(A23,'[1]계산서(25하-대전)'!W$4:AI$150,8,FALSE)</f>
        <v>45880</v>
      </c>
      <c r="AJ23" s="3">
        <f>VLOOKUP(A23,'[1]계산서(25하-대전)'!W$4:AI$150,9,FALSE)</f>
        <v>200000</v>
      </c>
      <c r="AK23" s="29">
        <f>VLOOKUP(A23,'[1]계산서(25하-대전)'!W$4:AI$150,10,FALSE)</f>
        <v>45919</v>
      </c>
      <c r="AL23" s="3">
        <f>VLOOKUP(A23,'[1]계산서(25하-대전)'!W$4:AI$150,11,FALSE)</f>
        <v>400000</v>
      </c>
      <c r="AM23" s="3">
        <f>VLOOKUP(A23,'[1]계산서(25하-대전)'!W$4:AI$150,13,FALSE)</f>
        <v>0</v>
      </c>
    </row>
    <row r="24" spans="1:39" x14ac:dyDescent="0.3">
      <c r="A24" s="28" t="s">
        <v>1543</v>
      </c>
      <c r="B24" s="3">
        <v>2025</v>
      </c>
      <c r="C24" s="3" t="s">
        <v>2871</v>
      </c>
      <c r="D24" s="3" t="s">
        <v>94</v>
      </c>
      <c r="E24" s="3" t="s">
        <v>3533</v>
      </c>
      <c r="F24" s="3" t="s">
        <v>3120</v>
      </c>
      <c r="G24" s="12">
        <v>22</v>
      </c>
      <c r="H24" s="12" t="s">
        <v>217</v>
      </c>
      <c r="I24" s="29">
        <v>45862</v>
      </c>
      <c r="J24" s="29">
        <v>45862</v>
      </c>
      <c r="L24" s="3" t="s">
        <v>73</v>
      </c>
      <c r="M24" s="3" t="s">
        <v>3533</v>
      </c>
      <c r="N24" s="3" t="s">
        <v>3121</v>
      </c>
      <c r="O24" s="3">
        <v>17</v>
      </c>
      <c r="P24" s="3">
        <v>5248701151</v>
      </c>
      <c r="Q24" s="3" t="s">
        <v>3122</v>
      </c>
      <c r="R24" s="3" t="s">
        <v>1546</v>
      </c>
      <c r="T24" s="3" t="s">
        <v>1547</v>
      </c>
      <c r="U24" s="3" t="s">
        <v>1548</v>
      </c>
      <c r="V24" s="3" t="s">
        <v>1549</v>
      </c>
      <c r="W24" s="3" t="s">
        <v>1550</v>
      </c>
      <c r="Y24" s="3" t="s">
        <v>1551</v>
      </c>
      <c r="Z24" s="3" t="s">
        <v>1521</v>
      </c>
      <c r="AA24" s="29">
        <v>45890</v>
      </c>
      <c r="AB24" s="3" t="s">
        <v>218</v>
      </c>
      <c r="AC24" s="3" t="str">
        <f>VLOOKUP(A24,'[1]계산서(25하-대전)'!W$4:AI$150,2,FALSE)</f>
        <v>8800sun@hometax.go.kr</v>
      </c>
      <c r="AD24" s="29">
        <f>VLOOKUP(A24,'[1]계산서(25하-대전)'!W$4:AI$150,3,FALSE)</f>
        <v>45863</v>
      </c>
      <c r="AE24" s="3">
        <f t="shared" si="0"/>
        <v>600000</v>
      </c>
      <c r="AF24" s="3">
        <f>VLOOKUP(A24,'[1]계산서(25하-대전)'!W$4:AI$150,4,FALSE)</f>
        <v>200000</v>
      </c>
      <c r="AG24" s="3">
        <f>VLOOKUP(A24,'[1]계산서(25하-대전)'!W$4:AI$150,5,FALSE)</f>
        <v>400000</v>
      </c>
      <c r="AH24" s="3">
        <f t="shared" si="1"/>
        <v>600000</v>
      </c>
      <c r="AI24" s="29">
        <f>VLOOKUP(A24,'[1]계산서(25하-대전)'!W$4:AI$150,8,FALSE)</f>
        <v>45880</v>
      </c>
      <c r="AJ24" s="3">
        <f>VLOOKUP(A24,'[1]계산서(25하-대전)'!W$4:AI$150,9,FALSE)</f>
        <v>200000</v>
      </c>
      <c r="AK24" s="29">
        <f>VLOOKUP(A24,'[1]계산서(25하-대전)'!W$4:AI$150,10,FALSE)</f>
        <v>45919</v>
      </c>
      <c r="AL24" s="3">
        <f>VLOOKUP(A24,'[1]계산서(25하-대전)'!W$4:AI$150,11,FALSE)</f>
        <v>400000</v>
      </c>
      <c r="AM24" s="3">
        <f>VLOOKUP(A24,'[1]계산서(25하-대전)'!W$4:AI$150,13,FALSE)</f>
        <v>0</v>
      </c>
    </row>
    <row r="25" spans="1:39" x14ac:dyDescent="0.3">
      <c r="A25" s="28" t="s">
        <v>1553</v>
      </c>
      <c r="B25" s="3">
        <v>2025</v>
      </c>
      <c r="C25" s="3" t="s">
        <v>2871</v>
      </c>
      <c r="D25" s="3" t="s">
        <v>94</v>
      </c>
      <c r="E25" s="3" t="s">
        <v>3533</v>
      </c>
      <c r="F25" s="3" t="s">
        <v>3123</v>
      </c>
      <c r="G25" s="12">
        <v>23</v>
      </c>
      <c r="H25" s="12" t="s">
        <v>230</v>
      </c>
      <c r="I25" s="29">
        <v>45862</v>
      </c>
      <c r="J25" s="29">
        <v>45862</v>
      </c>
      <c r="L25" s="3" t="s">
        <v>61</v>
      </c>
      <c r="M25" s="3" t="s">
        <v>3533</v>
      </c>
      <c r="N25" s="3" t="s">
        <v>3124</v>
      </c>
      <c r="O25" s="3">
        <v>18</v>
      </c>
      <c r="P25" s="3">
        <v>3148622265</v>
      </c>
      <c r="Q25" s="3" t="s">
        <v>3125</v>
      </c>
      <c r="R25" s="3" t="s">
        <v>3126</v>
      </c>
      <c r="T25" s="3" t="s">
        <v>1557</v>
      </c>
      <c r="U25" s="3" t="s">
        <v>1558</v>
      </c>
      <c r="V25" s="3" t="s">
        <v>1559</v>
      </c>
      <c r="W25" s="3" t="s">
        <v>1560</v>
      </c>
      <c r="X25" s="3" t="s">
        <v>461</v>
      </c>
      <c r="Y25" s="3" t="s">
        <v>1561</v>
      </c>
      <c r="Z25" s="3" t="s">
        <v>1562</v>
      </c>
      <c r="AA25" s="29">
        <v>45890</v>
      </c>
      <c r="AB25" s="3" t="s">
        <v>218</v>
      </c>
      <c r="AC25" s="3" t="str">
        <f>VLOOKUP(A25,'[1]계산서(25하-대전)'!W$4:AI$150,2,FALSE)</f>
        <v>sdj7184@hometax.go.kr</v>
      </c>
      <c r="AD25" s="29">
        <f>VLOOKUP(A25,'[1]계산서(25하-대전)'!W$4:AI$150,3,FALSE)</f>
        <v>45863</v>
      </c>
      <c r="AE25" s="3">
        <f t="shared" si="0"/>
        <v>600000</v>
      </c>
      <c r="AF25" s="3">
        <f>VLOOKUP(A25,'[1]계산서(25하-대전)'!W$4:AI$150,4,FALSE)</f>
        <v>200000</v>
      </c>
      <c r="AG25" s="3">
        <f>VLOOKUP(A25,'[1]계산서(25하-대전)'!W$4:AI$150,5,FALSE)</f>
        <v>400000</v>
      </c>
      <c r="AH25" s="3">
        <f t="shared" si="1"/>
        <v>600000</v>
      </c>
      <c r="AI25" s="29">
        <f>VLOOKUP(A25,'[1]계산서(25하-대전)'!W$4:AI$150,8,FALSE)</f>
        <v>45988</v>
      </c>
      <c r="AJ25" s="3">
        <f>VLOOKUP(A25,'[1]계산서(25하-대전)'!W$4:AI$150,9,FALSE)</f>
        <v>200000</v>
      </c>
      <c r="AK25" s="29">
        <f>VLOOKUP(A25,'[1]계산서(25하-대전)'!W$4:AI$150,10,FALSE)</f>
        <v>45919</v>
      </c>
      <c r="AL25" s="3">
        <f>VLOOKUP(A25,'[1]계산서(25하-대전)'!W$4:AI$150,11,FALSE)</f>
        <v>400000</v>
      </c>
      <c r="AM25" s="3">
        <f>VLOOKUP(A25,'[1]계산서(25하-대전)'!W$4:AI$150,13,FALSE)</f>
        <v>0</v>
      </c>
    </row>
    <row r="26" spans="1:39" x14ac:dyDescent="0.3">
      <c r="A26" s="28" t="s">
        <v>1564</v>
      </c>
      <c r="B26" s="3">
        <v>2025</v>
      </c>
      <c r="C26" s="3" t="s">
        <v>2871</v>
      </c>
      <c r="D26" s="3" t="s">
        <v>94</v>
      </c>
      <c r="E26" s="3" t="s">
        <v>3533</v>
      </c>
      <c r="F26" s="3" t="s">
        <v>3127</v>
      </c>
      <c r="G26" s="12">
        <v>24</v>
      </c>
      <c r="H26" s="12" t="s">
        <v>240</v>
      </c>
      <c r="I26" s="29">
        <v>45862</v>
      </c>
      <c r="J26" s="29">
        <v>45862</v>
      </c>
      <c r="L26" s="3" t="s">
        <v>218</v>
      </c>
      <c r="M26" s="3" t="s">
        <v>3533</v>
      </c>
      <c r="N26" s="3" t="s">
        <v>1566</v>
      </c>
      <c r="O26" s="3">
        <v>22</v>
      </c>
      <c r="P26" s="3">
        <v>3141227371</v>
      </c>
      <c r="Q26" s="3" t="s">
        <v>3128</v>
      </c>
      <c r="R26" s="3" t="s">
        <v>1567</v>
      </c>
      <c r="T26" s="3" t="s">
        <v>1568</v>
      </c>
      <c r="U26" s="3" t="s">
        <v>1569</v>
      </c>
      <c r="V26" s="3" t="s">
        <v>1570</v>
      </c>
      <c r="W26" s="3" t="s">
        <v>1571</v>
      </c>
      <c r="X26" s="3" t="s">
        <v>134</v>
      </c>
      <c r="Y26" s="3" t="s">
        <v>1572</v>
      </c>
      <c r="Z26" s="3" t="s">
        <v>1573</v>
      </c>
      <c r="AA26" s="29">
        <v>45890</v>
      </c>
      <c r="AB26" s="3" t="s">
        <v>218</v>
      </c>
      <c r="AC26" s="3" t="str">
        <f>VLOOKUP(A26,'[1]계산서(25하-대전)'!W$4:AI$150,2,FALSE)</f>
        <v>3141227371@bestbill.co.kr</v>
      </c>
      <c r="AD26" s="29">
        <f>VLOOKUP(A26,'[1]계산서(25하-대전)'!W$4:AI$150,3,FALSE)</f>
        <v>45863</v>
      </c>
      <c r="AE26" s="3">
        <f t="shared" si="0"/>
        <v>750000</v>
      </c>
      <c r="AF26" s="3">
        <f>VLOOKUP(A26,'[1]계산서(25하-대전)'!W$4:AI$150,4,FALSE)</f>
        <v>350000</v>
      </c>
      <c r="AG26" s="3">
        <f>VLOOKUP(A26,'[1]계산서(25하-대전)'!W$4:AI$150,5,FALSE)</f>
        <v>400000</v>
      </c>
      <c r="AH26" s="3">
        <f t="shared" si="1"/>
        <v>750000</v>
      </c>
      <c r="AI26" s="29">
        <f>VLOOKUP(A26,'[1]계산서(25하-대전)'!W$4:AI$150,8,FALSE)</f>
        <v>45869</v>
      </c>
      <c r="AJ26" s="3">
        <f>VLOOKUP(A26,'[1]계산서(25하-대전)'!W$4:AI$150,9,FALSE)</f>
        <v>350000</v>
      </c>
      <c r="AK26" s="29">
        <f>VLOOKUP(A26,'[1]계산서(25하-대전)'!W$4:AI$150,10,FALSE)</f>
        <v>45919</v>
      </c>
      <c r="AL26" s="3">
        <f>VLOOKUP(A26,'[1]계산서(25하-대전)'!W$4:AI$150,11,FALSE)</f>
        <v>400000</v>
      </c>
      <c r="AM26" s="3">
        <f>VLOOKUP(A26,'[1]계산서(25하-대전)'!W$4:AI$150,13,FALSE)</f>
        <v>0</v>
      </c>
    </row>
    <row r="27" spans="1:39" x14ac:dyDescent="0.3">
      <c r="A27" s="28" t="s">
        <v>1661</v>
      </c>
      <c r="B27" s="3">
        <v>2025</v>
      </c>
      <c r="C27" s="3" t="s">
        <v>2871</v>
      </c>
      <c r="D27" s="3" t="s">
        <v>94</v>
      </c>
      <c r="E27" s="3" t="s">
        <v>3533</v>
      </c>
      <c r="F27" s="3" t="s">
        <v>3129</v>
      </c>
      <c r="G27" s="12">
        <v>25</v>
      </c>
      <c r="H27" s="12" t="s">
        <v>260</v>
      </c>
      <c r="I27" s="29">
        <v>45863</v>
      </c>
      <c r="J27" s="29">
        <v>45863</v>
      </c>
      <c r="L27" s="3" t="s">
        <v>61</v>
      </c>
      <c r="M27" s="3" t="s">
        <v>3533</v>
      </c>
      <c r="N27" s="3" t="s">
        <v>1663</v>
      </c>
      <c r="O27" s="3">
        <v>8</v>
      </c>
      <c r="P27" s="3">
        <v>3052481428</v>
      </c>
      <c r="Q27" s="3" t="s">
        <v>3130</v>
      </c>
      <c r="R27" s="3" t="s">
        <v>1664</v>
      </c>
      <c r="T27" s="3" t="s">
        <v>1665</v>
      </c>
      <c r="U27" s="3" t="s">
        <v>1666</v>
      </c>
      <c r="V27" s="3" t="s">
        <v>1667</v>
      </c>
      <c r="W27" s="3" t="s">
        <v>3131</v>
      </c>
      <c r="X27" s="3" t="s">
        <v>123</v>
      </c>
      <c r="Y27" s="3" t="s">
        <v>3132</v>
      </c>
      <c r="Z27" s="3" t="s">
        <v>1669</v>
      </c>
      <c r="AA27" s="29">
        <v>45890</v>
      </c>
      <c r="AB27" s="3" t="s">
        <v>61</v>
      </c>
      <c r="AC27" s="3" t="str">
        <f>VLOOKUP(A27,'[1]계산서(25하-대전)'!W$4:AI$150,2,FALSE)</f>
        <v>khssi@daum.net</v>
      </c>
      <c r="AD27" s="29">
        <f>VLOOKUP(A27,'[1]계산서(25하-대전)'!W$4:AI$150,3,FALSE)</f>
        <v>45866</v>
      </c>
      <c r="AE27" s="3">
        <f t="shared" si="0"/>
        <v>600000</v>
      </c>
      <c r="AF27" s="3">
        <f>VLOOKUP(A27,'[1]계산서(25하-대전)'!W$4:AI$150,4,FALSE)</f>
        <v>200000</v>
      </c>
      <c r="AG27" s="3">
        <f>VLOOKUP(A27,'[1]계산서(25하-대전)'!W$4:AI$150,5,FALSE)</f>
        <v>400000</v>
      </c>
      <c r="AH27" s="3">
        <f t="shared" si="1"/>
        <v>600000</v>
      </c>
      <c r="AI27" s="29">
        <f>VLOOKUP(A27,'[1]계산서(25하-대전)'!W$4:AI$150,8,FALSE)</f>
        <v>45867</v>
      </c>
      <c r="AJ27" s="3">
        <f>VLOOKUP(A27,'[1]계산서(25하-대전)'!W$4:AI$150,9,FALSE)</f>
        <v>200000</v>
      </c>
      <c r="AK27" s="29">
        <f>VLOOKUP(A27,'[1]계산서(25하-대전)'!W$4:AI$150,10,FALSE)</f>
        <v>45919</v>
      </c>
      <c r="AL27" s="3">
        <f>VLOOKUP(A27,'[1]계산서(25하-대전)'!W$4:AI$150,11,FALSE)</f>
        <v>400000</v>
      </c>
      <c r="AM27" s="3">
        <f>VLOOKUP(A27,'[1]계산서(25하-대전)'!W$4:AI$150,13,FALSE)</f>
        <v>0</v>
      </c>
    </row>
    <row r="28" spans="1:39" x14ac:dyDescent="0.3">
      <c r="A28" s="28" t="s">
        <v>1670</v>
      </c>
      <c r="B28" s="3">
        <v>2025</v>
      </c>
      <c r="C28" s="3" t="s">
        <v>2871</v>
      </c>
      <c r="D28" s="3" t="s">
        <v>94</v>
      </c>
      <c r="E28" s="3" t="s">
        <v>3533</v>
      </c>
      <c r="F28" s="3" t="s">
        <v>3133</v>
      </c>
      <c r="G28" s="12">
        <v>26</v>
      </c>
      <c r="H28" s="12" t="s">
        <v>273</v>
      </c>
      <c r="I28" s="29">
        <v>45863</v>
      </c>
      <c r="J28" s="29">
        <v>45863</v>
      </c>
      <c r="L28" s="3" t="s">
        <v>97</v>
      </c>
      <c r="M28" s="3" t="s">
        <v>3533</v>
      </c>
      <c r="N28" s="3" t="s">
        <v>1672</v>
      </c>
      <c r="O28" s="3">
        <v>11</v>
      </c>
      <c r="P28" s="3">
        <v>3052599003</v>
      </c>
      <c r="Q28" s="3" t="s">
        <v>3134</v>
      </c>
      <c r="R28" s="3" t="s">
        <v>1673</v>
      </c>
      <c r="T28" s="3" t="s">
        <v>1674</v>
      </c>
      <c r="U28" s="3" t="s">
        <v>1675</v>
      </c>
      <c r="V28" s="3" t="s">
        <v>1676</v>
      </c>
      <c r="W28" s="3" t="s">
        <v>1677</v>
      </c>
      <c r="X28" s="3" t="s">
        <v>461</v>
      </c>
      <c r="Y28" s="3" t="s">
        <v>1678</v>
      </c>
      <c r="Z28" s="3" t="s">
        <v>1679</v>
      </c>
      <c r="AA28" s="29">
        <v>45887</v>
      </c>
      <c r="AB28" s="3" t="s">
        <v>61</v>
      </c>
      <c r="AC28" s="3" t="str">
        <f>VLOOKUP(A28,'[1]계산서(25하-대전)'!W$4:AI$150,2,FALSE)</f>
        <v>sjh353000@hanmail.net</v>
      </c>
      <c r="AD28" s="29">
        <f>VLOOKUP(A28,'[1]계산서(25하-대전)'!W$4:AI$150,3,FALSE)</f>
        <v>45866</v>
      </c>
      <c r="AE28" s="3">
        <f t="shared" si="0"/>
        <v>600000</v>
      </c>
      <c r="AF28" s="3">
        <f>VLOOKUP(A28,'[1]계산서(25하-대전)'!W$4:AI$150,4,FALSE)</f>
        <v>200000</v>
      </c>
      <c r="AG28" s="3">
        <f>VLOOKUP(A28,'[1]계산서(25하-대전)'!W$4:AI$150,5,FALSE)</f>
        <v>400000</v>
      </c>
      <c r="AH28" s="3">
        <f t="shared" si="1"/>
        <v>600000</v>
      </c>
      <c r="AI28" s="29">
        <f>VLOOKUP(A28,'[1]계산서(25하-대전)'!W$4:AI$150,8,FALSE)</f>
        <v>45961</v>
      </c>
      <c r="AJ28" s="3">
        <f>VLOOKUP(A28,'[1]계산서(25하-대전)'!W$4:AI$150,9,FALSE)</f>
        <v>200000</v>
      </c>
      <c r="AK28" s="29">
        <f>VLOOKUP(A28,'[1]계산서(25하-대전)'!W$4:AI$150,10,FALSE)</f>
        <v>45919</v>
      </c>
      <c r="AL28" s="3">
        <f>VLOOKUP(A28,'[1]계산서(25하-대전)'!W$4:AI$150,11,FALSE)</f>
        <v>400000</v>
      </c>
      <c r="AM28" s="3">
        <f>VLOOKUP(A28,'[1]계산서(25하-대전)'!W$4:AI$150,13,FALSE)</f>
        <v>0</v>
      </c>
    </row>
    <row r="29" spans="1:39" x14ac:dyDescent="0.3">
      <c r="A29" s="28" t="s">
        <v>1680</v>
      </c>
      <c r="B29" s="3">
        <v>2025</v>
      </c>
      <c r="C29" s="3" t="s">
        <v>2871</v>
      </c>
      <c r="D29" s="3" t="s">
        <v>94</v>
      </c>
      <c r="E29" s="3" t="s">
        <v>3533</v>
      </c>
      <c r="F29" s="3" t="s">
        <v>3135</v>
      </c>
      <c r="G29" s="12">
        <v>27</v>
      </c>
      <c r="H29" s="12" t="s">
        <v>285</v>
      </c>
      <c r="I29" s="29">
        <v>45863</v>
      </c>
      <c r="J29" s="29">
        <v>45863</v>
      </c>
      <c r="L29" s="3" t="s">
        <v>181</v>
      </c>
      <c r="M29" s="3" t="s">
        <v>3533</v>
      </c>
      <c r="N29" s="3" t="s">
        <v>1682</v>
      </c>
      <c r="O29" s="3">
        <v>11</v>
      </c>
      <c r="P29" s="3">
        <v>7218800255</v>
      </c>
      <c r="Q29" s="3" t="s">
        <v>3136</v>
      </c>
      <c r="R29" s="3" t="s">
        <v>1683</v>
      </c>
      <c r="T29" s="3" t="s">
        <v>1684</v>
      </c>
      <c r="U29" s="3" t="s">
        <v>1685</v>
      </c>
      <c r="V29" s="3" t="s">
        <v>1686</v>
      </c>
      <c r="W29" s="3" t="s">
        <v>1687</v>
      </c>
      <c r="X29" s="3" t="s">
        <v>461</v>
      </c>
      <c r="Y29" s="3" t="s">
        <v>1688</v>
      </c>
      <c r="Z29" s="3" t="s">
        <v>3137</v>
      </c>
      <c r="AA29" s="29">
        <v>45885</v>
      </c>
      <c r="AB29" s="3" t="s">
        <v>61</v>
      </c>
      <c r="AC29" s="3" t="str">
        <f>VLOOKUP(A29,'[1]계산서(25하-대전)'!W$4:AI$150,2,FALSE)</f>
        <v>jim1811@daum.net</v>
      </c>
      <c r="AD29" s="29">
        <f>VLOOKUP(A29,'[1]계산서(25하-대전)'!W$4:AI$150,3,FALSE)</f>
        <v>45866</v>
      </c>
      <c r="AE29" s="3">
        <f t="shared" si="0"/>
        <v>600000</v>
      </c>
      <c r="AF29" s="3">
        <f>VLOOKUP(A29,'[1]계산서(25하-대전)'!W$4:AI$150,4,FALSE)</f>
        <v>200000</v>
      </c>
      <c r="AG29" s="3">
        <f>VLOOKUP(A29,'[1]계산서(25하-대전)'!W$4:AI$150,5,FALSE)</f>
        <v>400000</v>
      </c>
      <c r="AH29" s="3">
        <f t="shared" si="1"/>
        <v>600000</v>
      </c>
      <c r="AI29" s="29">
        <f>VLOOKUP(A29,'[1]계산서(25하-대전)'!W$4:AI$150,8,FALSE)</f>
        <v>45867</v>
      </c>
      <c r="AJ29" s="3">
        <f>VLOOKUP(A29,'[1]계산서(25하-대전)'!W$4:AI$150,9,FALSE)</f>
        <v>200000</v>
      </c>
      <c r="AK29" s="29">
        <f>VLOOKUP(A29,'[1]계산서(25하-대전)'!W$4:AI$150,10,FALSE)</f>
        <v>45919</v>
      </c>
      <c r="AL29" s="3">
        <f>VLOOKUP(A29,'[1]계산서(25하-대전)'!W$4:AI$150,11,FALSE)</f>
        <v>400000</v>
      </c>
      <c r="AM29" s="3">
        <f>VLOOKUP(A29,'[1]계산서(25하-대전)'!W$4:AI$150,13,FALSE)</f>
        <v>0</v>
      </c>
    </row>
    <row r="30" spans="1:39" x14ac:dyDescent="0.3">
      <c r="A30" s="28" t="s">
        <v>1632</v>
      </c>
      <c r="B30" s="3">
        <v>2025</v>
      </c>
      <c r="C30" s="3" t="s">
        <v>2871</v>
      </c>
      <c r="D30" s="3" t="s">
        <v>94</v>
      </c>
      <c r="E30" s="3" t="s">
        <v>3533</v>
      </c>
      <c r="F30" s="3" t="s">
        <v>3138</v>
      </c>
      <c r="G30" s="12">
        <v>28</v>
      </c>
      <c r="H30" s="12" t="s">
        <v>304</v>
      </c>
      <c r="I30" s="29">
        <v>45863</v>
      </c>
      <c r="J30" s="29">
        <v>45863</v>
      </c>
      <c r="L30" s="3" t="s">
        <v>73</v>
      </c>
      <c r="M30" s="3" t="s">
        <v>3533</v>
      </c>
      <c r="N30" s="3" t="s">
        <v>3139</v>
      </c>
      <c r="O30" s="3">
        <v>9</v>
      </c>
      <c r="P30" s="3">
        <v>3058165912</v>
      </c>
      <c r="Q30" s="3" t="s">
        <v>3140</v>
      </c>
      <c r="R30" s="3" t="s">
        <v>1635</v>
      </c>
      <c r="T30" s="3" t="s">
        <v>1636</v>
      </c>
      <c r="U30" s="3" t="s">
        <v>1637</v>
      </c>
      <c r="V30" s="3" t="s">
        <v>1638</v>
      </c>
      <c r="W30" s="3" t="s">
        <v>1635</v>
      </c>
      <c r="X30" s="3" t="s">
        <v>78</v>
      </c>
      <c r="Y30" s="3" t="s">
        <v>1639</v>
      </c>
      <c r="Z30" s="3" t="s">
        <v>1640</v>
      </c>
      <c r="AA30" s="29">
        <v>45890</v>
      </c>
      <c r="AB30" s="3" t="s">
        <v>218</v>
      </c>
      <c r="AC30" s="3" t="str">
        <f>VLOOKUP(A30,'[1]계산서(25하-대전)'!W$4:AI$150,2,FALSE)</f>
        <v>kh0020@hanmail.net</v>
      </c>
      <c r="AD30" s="29">
        <f>VLOOKUP(A30,'[1]계산서(25하-대전)'!W$4:AI$150,3,FALSE)</f>
        <v>45866</v>
      </c>
      <c r="AE30" s="3">
        <f t="shared" si="0"/>
        <v>600000</v>
      </c>
      <c r="AF30" s="3">
        <f>VLOOKUP(A30,'[1]계산서(25하-대전)'!W$4:AI$150,4,FALSE)</f>
        <v>200000</v>
      </c>
      <c r="AG30" s="3">
        <f>VLOOKUP(A30,'[1]계산서(25하-대전)'!W$4:AI$150,5,FALSE)</f>
        <v>400000</v>
      </c>
      <c r="AH30" s="3">
        <f t="shared" si="1"/>
        <v>600000</v>
      </c>
      <c r="AI30" s="29">
        <f>VLOOKUP(A30,'[1]계산서(25하-대전)'!W$4:AI$150,8,FALSE)</f>
        <v>45868</v>
      </c>
      <c r="AJ30" s="3">
        <f>VLOOKUP(A30,'[1]계산서(25하-대전)'!W$4:AI$150,9,FALSE)</f>
        <v>200000</v>
      </c>
      <c r="AK30" s="29">
        <f>VLOOKUP(A30,'[1]계산서(25하-대전)'!W$4:AI$150,10,FALSE)</f>
        <v>45919</v>
      </c>
      <c r="AL30" s="3">
        <f>VLOOKUP(A30,'[1]계산서(25하-대전)'!W$4:AI$150,11,FALSE)</f>
        <v>400000</v>
      </c>
      <c r="AM30" s="3">
        <f>VLOOKUP(A30,'[1]계산서(25하-대전)'!W$4:AI$150,13,FALSE)</f>
        <v>0</v>
      </c>
    </row>
    <row r="31" spans="1:39" x14ac:dyDescent="0.3">
      <c r="A31" s="28" t="s">
        <v>1641</v>
      </c>
      <c r="B31" s="3">
        <v>2025</v>
      </c>
      <c r="C31" s="3" t="s">
        <v>2871</v>
      </c>
      <c r="D31" s="3" t="s">
        <v>94</v>
      </c>
      <c r="E31" s="3" t="s">
        <v>3533</v>
      </c>
      <c r="F31" s="3" t="s">
        <v>3141</v>
      </c>
      <c r="G31" s="12">
        <v>29</v>
      </c>
      <c r="H31" s="12" t="s">
        <v>304</v>
      </c>
      <c r="I31" s="29">
        <v>45863</v>
      </c>
      <c r="J31" s="29">
        <v>45863</v>
      </c>
      <c r="L31" s="3" t="s">
        <v>46</v>
      </c>
      <c r="M31" s="3" t="s">
        <v>3533</v>
      </c>
      <c r="N31" s="3" t="s">
        <v>1643</v>
      </c>
      <c r="O31" s="3">
        <v>1</v>
      </c>
      <c r="P31" s="3">
        <v>4401900059</v>
      </c>
      <c r="Q31" s="3" t="s">
        <v>3142</v>
      </c>
      <c r="R31" s="3" t="s">
        <v>1644</v>
      </c>
      <c r="T31" s="3" t="s">
        <v>1636</v>
      </c>
      <c r="U31" s="3" t="s">
        <v>1645</v>
      </c>
      <c r="V31" s="3" t="s">
        <v>1646</v>
      </c>
      <c r="W31" s="3" t="s">
        <v>1647</v>
      </c>
      <c r="X31" s="3" t="s">
        <v>78</v>
      </c>
      <c r="Y31" s="3" t="s">
        <v>1648</v>
      </c>
      <c r="Z31" s="3" t="s">
        <v>1649</v>
      </c>
      <c r="AA31" s="29">
        <v>45890</v>
      </c>
      <c r="AB31" s="3" t="s">
        <v>218</v>
      </c>
      <c r="AC31" s="3" t="str">
        <f>VLOOKUP(A31,'[1]계산서(25하-대전)'!W$4:AI$150,2,FALSE)</f>
        <v>bmwjuni73@naver.com</v>
      </c>
      <c r="AD31" s="29">
        <f>VLOOKUP(A31,'[1]계산서(25하-대전)'!W$4:AI$150,3,FALSE)</f>
        <v>45866</v>
      </c>
      <c r="AE31" s="3">
        <f t="shared" si="0"/>
        <v>600000</v>
      </c>
      <c r="AF31" s="3">
        <f>VLOOKUP(A31,'[1]계산서(25하-대전)'!W$4:AI$150,4,FALSE)</f>
        <v>200000</v>
      </c>
      <c r="AG31" s="3">
        <f>VLOOKUP(A31,'[1]계산서(25하-대전)'!W$4:AI$150,5,FALSE)</f>
        <v>400000</v>
      </c>
      <c r="AH31" s="3">
        <f t="shared" si="1"/>
        <v>400000</v>
      </c>
      <c r="AI31" s="29"/>
      <c r="AJ31" s="3">
        <f>VLOOKUP(A31,'[1]계산서(25하-대전)'!W$4:AI$150,9,FALSE)</f>
        <v>0</v>
      </c>
      <c r="AK31" s="29">
        <f>VLOOKUP(A31,'[1]계산서(25하-대전)'!W$4:AI$150,10,FALSE)</f>
        <v>45919</v>
      </c>
      <c r="AL31" s="3">
        <f>VLOOKUP(A31,'[1]계산서(25하-대전)'!W$4:AI$150,11,FALSE)</f>
        <v>400000</v>
      </c>
      <c r="AM31" s="3">
        <f>VLOOKUP(A31,'[1]계산서(25하-대전)'!W$4:AI$150,13,FALSE)</f>
        <v>0</v>
      </c>
    </row>
    <row r="32" spans="1:39" x14ac:dyDescent="0.3">
      <c r="A32" s="28" t="s">
        <v>1650</v>
      </c>
      <c r="B32" s="3">
        <v>2025</v>
      </c>
      <c r="C32" s="3" t="s">
        <v>2871</v>
      </c>
      <c r="D32" s="3" t="s">
        <v>94</v>
      </c>
      <c r="E32" s="3" t="s">
        <v>3533</v>
      </c>
      <c r="F32" s="3" t="s">
        <v>3143</v>
      </c>
      <c r="G32" s="12">
        <v>30</v>
      </c>
      <c r="H32" s="12" t="s">
        <v>327</v>
      </c>
      <c r="I32" s="29">
        <v>45863</v>
      </c>
      <c r="J32" s="29">
        <v>45863</v>
      </c>
      <c r="L32" s="3" t="s">
        <v>218</v>
      </c>
      <c r="M32" s="3" t="s">
        <v>3533</v>
      </c>
      <c r="N32" s="3" t="s">
        <v>1652</v>
      </c>
      <c r="O32" s="3">
        <v>10</v>
      </c>
      <c r="P32" s="3">
        <v>1790302528</v>
      </c>
      <c r="Q32" s="3" t="s">
        <v>3144</v>
      </c>
      <c r="R32" s="3" t="s">
        <v>1653</v>
      </c>
      <c r="T32" s="3" t="s">
        <v>1654</v>
      </c>
      <c r="U32" s="3" t="s">
        <v>1655</v>
      </c>
      <c r="V32" s="3" t="s">
        <v>1656</v>
      </c>
      <c r="W32" s="3" t="s">
        <v>1657</v>
      </c>
      <c r="X32" s="3" t="s">
        <v>112</v>
      </c>
      <c r="Y32" s="3" t="s">
        <v>1658</v>
      </c>
      <c r="Z32" s="3" t="s">
        <v>3145</v>
      </c>
      <c r="AA32" s="29">
        <v>45890</v>
      </c>
      <c r="AB32" s="3" t="s">
        <v>218</v>
      </c>
      <c r="AC32" s="3" t="str">
        <f>VLOOKUP(A32,'[1]계산서(25하-대전)'!W$4:AI$150,2,FALSE)</f>
        <v>byi1162@naver.com</v>
      </c>
      <c r="AD32" s="29">
        <f>VLOOKUP(A32,'[1]계산서(25하-대전)'!W$4:AI$150,3,FALSE)</f>
        <v>45866</v>
      </c>
      <c r="AE32" s="3">
        <f t="shared" si="0"/>
        <v>600000</v>
      </c>
      <c r="AF32" s="3">
        <f>VLOOKUP(A32,'[1]계산서(25하-대전)'!W$4:AI$150,4,FALSE)</f>
        <v>200000</v>
      </c>
      <c r="AG32" s="3">
        <f>VLOOKUP(A32,'[1]계산서(25하-대전)'!W$4:AI$150,5,FALSE)</f>
        <v>400000</v>
      </c>
      <c r="AH32" s="3">
        <f t="shared" si="1"/>
        <v>600000</v>
      </c>
      <c r="AI32" s="29">
        <f>VLOOKUP(A32,'[1]계산서(25하-대전)'!W$4:AI$150,8,FALSE)</f>
        <v>45895</v>
      </c>
      <c r="AJ32" s="3">
        <f>VLOOKUP(A32,'[1]계산서(25하-대전)'!W$4:AI$150,9,FALSE)</f>
        <v>200000</v>
      </c>
      <c r="AK32" s="29">
        <f>VLOOKUP(A32,'[1]계산서(25하-대전)'!W$4:AI$150,10,FALSE)</f>
        <v>45919</v>
      </c>
      <c r="AL32" s="3">
        <f>VLOOKUP(A32,'[1]계산서(25하-대전)'!W$4:AI$150,11,FALSE)</f>
        <v>400000</v>
      </c>
      <c r="AM32" s="3">
        <f>VLOOKUP(A32,'[1]계산서(25하-대전)'!W$4:AI$150,13,FALSE)</f>
        <v>0</v>
      </c>
    </row>
    <row r="33" spans="1:39" x14ac:dyDescent="0.3">
      <c r="A33" s="28" t="s">
        <v>1691</v>
      </c>
      <c r="B33" s="3">
        <v>2025</v>
      </c>
      <c r="C33" s="3" t="s">
        <v>2871</v>
      </c>
      <c r="D33" s="3" t="s">
        <v>94</v>
      </c>
      <c r="E33" s="3" t="s">
        <v>3533</v>
      </c>
      <c r="F33" s="3" t="s">
        <v>3146</v>
      </c>
      <c r="G33" s="12">
        <v>31</v>
      </c>
      <c r="H33" s="12" t="s">
        <v>333</v>
      </c>
      <c r="I33" s="29">
        <v>45873</v>
      </c>
      <c r="J33" s="29">
        <v>45873</v>
      </c>
      <c r="L33" s="3" t="s">
        <v>61</v>
      </c>
      <c r="M33" s="3" t="s">
        <v>3533</v>
      </c>
      <c r="N33" s="3" t="s">
        <v>1693</v>
      </c>
      <c r="O33" s="3">
        <v>5</v>
      </c>
      <c r="P33" s="3">
        <v>3142901893</v>
      </c>
      <c r="Q33" s="3" t="s">
        <v>3147</v>
      </c>
      <c r="R33" s="3" t="s">
        <v>1694</v>
      </c>
      <c r="T33" s="3" t="s">
        <v>1695</v>
      </c>
      <c r="U33" s="3" t="s">
        <v>1696</v>
      </c>
      <c r="V33" s="3" t="s">
        <v>1697</v>
      </c>
      <c r="W33" s="3" t="s">
        <v>1698</v>
      </c>
      <c r="X33" s="3" t="s">
        <v>1699</v>
      </c>
      <c r="Y33" s="3" t="s">
        <v>1700</v>
      </c>
      <c r="Z33" s="3" t="s">
        <v>1701</v>
      </c>
      <c r="AA33" s="29">
        <v>45901</v>
      </c>
      <c r="AB33" s="3" t="s">
        <v>181</v>
      </c>
      <c r="AC33" s="3" t="str">
        <f>VLOOKUP(A33,'[1]계산서(25하-대전)'!W$4:AI$150,2,FALSE)</f>
        <v>cardh@hanmail.net</v>
      </c>
      <c r="AD33" s="29">
        <f>VLOOKUP(A33,'[1]계산서(25하-대전)'!W$4:AI$150,3,FALSE)</f>
        <v>45874</v>
      </c>
      <c r="AE33" s="3">
        <f t="shared" si="0"/>
        <v>600000</v>
      </c>
      <c r="AF33" s="3">
        <f>VLOOKUP(A33,'[1]계산서(25하-대전)'!W$4:AI$150,4,FALSE)</f>
        <v>200000</v>
      </c>
      <c r="AG33" s="3">
        <f>VLOOKUP(A33,'[1]계산서(25하-대전)'!W$4:AI$150,5,FALSE)</f>
        <v>400000</v>
      </c>
      <c r="AH33" s="3">
        <f t="shared" si="1"/>
        <v>600000</v>
      </c>
      <c r="AI33" s="29">
        <f>VLOOKUP(A33,'[1]계산서(25하-대전)'!W$4:AI$150,8,FALSE)</f>
        <v>45905</v>
      </c>
      <c r="AJ33" s="3">
        <f>VLOOKUP(A33,'[1]계산서(25하-대전)'!W$4:AI$150,9,FALSE)</f>
        <v>200000</v>
      </c>
      <c r="AK33" s="29">
        <f>VLOOKUP(A33,'[1]계산서(25하-대전)'!W$4:AI$150,10,FALSE)</f>
        <v>45919</v>
      </c>
      <c r="AL33" s="3">
        <f>VLOOKUP(A33,'[1]계산서(25하-대전)'!W$4:AI$150,11,FALSE)</f>
        <v>400000</v>
      </c>
      <c r="AM33" s="3">
        <f>VLOOKUP(A33,'[1]계산서(25하-대전)'!W$4:AI$150,13,FALSE)</f>
        <v>0</v>
      </c>
    </row>
    <row r="34" spans="1:39" x14ac:dyDescent="0.3">
      <c r="A34" s="28" t="s">
        <v>1702</v>
      </c>
      <c r="B34" s="3">
        <v>2025</v>
      </c>
      <c r="C34" s="3" t="s">
        <v>2871</v>
      </c>
      <c r="D34" s="3" t="s">
        <v>94</v>
      </c>
      <c r="E34" s="3" t="s">
        <v>3533</v>
      </c>
      <c r="F34" s="3" t="s">
        <v>3148</v>
      </c>
      <c r="G34" s="12">
        <v>32</v>
      </c>
      <c r="H34" s="12" t="s">
        <v>344</v>
      </c>
      <c r="I34" s="29">
        <v>45873</v>
      </c>
      <c r="J34" s="29">
        <v>45873</v>
      </c>
      <c r="L34" s="3" t="s">
        <v>97</v>
      </c>
      <c r="M34" s="3" t="s">
        <v>3533</v>
      </c>
      <c r="N34" s="3" t="s">
        <v>1704</v>
      </c>
      <c r="O34" s="3">
        <v>8</v>
      </c>
      <c r="P34" s="3">
        <v>3053238775</v>
      </c>
      <c r="Q34" s="3" t="s">
        <v>3149</v>
      </c>
      <c r="R34" s="3" t="s">
        <v>1705</v>
      </c>
      <c r="T34" s="3" t="s">
        <v>1706</v>
      </c>
      <c r="U34" s="3" t="s">
        <v>1707</v>
      </c>
      <c r="V34" s="3" t="s">
        <v>1708</v>
      </c>
      <c r="W34" s="3" t="s">
        <v>1705</v>
      </c>
      <c r="X34" s="3" t="s">
        <v>78</v>
      </c>
      <c r="Y34" s="3" t="s">
        <v>1709</v>
      </c>
      <c r="Z34" s="3" t="s">
        <v>1710</v>
      </c>
      <c r="AA34" s="29">
        <v>45901</v>
      </c>
      <c r="AB34" s="3" t="s">
        <v>181</v>
      </c>
      <c r="AC34" s="3" t="str">
        <f>VLOOKUP(A34,'[1]계산서(25하-대전)'!W$4:AI$150,2,FALSE)</f>
        <v>ls4972@hanmail.net</v>
      </c>
      <c r="AD34" s="29">
        <f>VLOOKUP(A34,'[1]계산서(25하-대전)'!W$4:AI$150,3,FALSE)</f>
        <v>45874</v>
      </c>
      <c r="AE34" s="3">
        <f t="shared" si="0"/>
        <v>600000</v>
      </c>
      <c r="AF34" s="3">
        <f>VLOOKUP(A34,'[1]계산서(25하-대전)'!W$4:AI$150,4,FALSE)</f>
        <v>200000</v>
      </c>
      <c r="AG34" s="3">
        <f>VLOOKUP(A34,'[1]계산서(25하-대전)'!W$4:AI$150,5,FALSE)</f>
        <v>400000</v>
      </c>
      <c r="AH34" s="3">
        <f t="shared" si="1"/>
        <v>600000</v>
      </c>
      <c r="AI34" s="29">
        <f>VLOOKUP(A34,'[1]계산서(25하-대전)'!W$4:AI$150,8,FALSE)</f>
        <v>45874</v>
      </c>
      <c r="AJ34" s="3">
        <f>VLOOKUP(A34,'[1]계산서(25하-대전)'!W$4:AI$150,9,FALSE)</f>
        <v>200000</v>
      </c>
      <c r="AK34" s="29">
        <f>VLOOKUP(A34,'[1]계산서(25하-대전)'!W$4:AI$150,10,FALSE)</f>
        <v>45919</v>
      </c>
      <c r="AL34" s="3">
        <f>VLOOKUP(A34,'[1]계산서(25하-대전)'!W$4:AI$150,11,FALSE)</f>
        <v>400000</v>
      </c>
      <c r="AM34" s="3">
        <f>VLOOKUP(A34,'[1]계산서(25하-대전)'!W$4:AI$150,13,FALSE)</f>
        <v>0</v>
      </c>
    </row>
    <row r="35" spans="1:39" x14ac:dyDescent="0.3">
      <c r="A35" s="28" t="s">
        <v>1711</v>
      </c>
      <c r="B35" s="3">
        <v>2025</v>
      </c>
      <c r="C35" s="3" t="s">
        <v>2871</v>
      </c>
      <c r="D35" s="3" t="s">
        <v>94</v>
      </c>
      <c r="E35" s="3" t="s">
        <v>3533</v>
      </c>
      <c r="F35" s="3" t="s">
        <v>3150</v>
      </c>
      <c r="G35" s="12">
        <v>33</v>
      </c>
      <c r="H35" s="12" t="s">
        <v>353</v>
      </c>
      <c r="I35" s="29">
        <v>45873</v>
      </c>
      <c r="J35" s="29">
        <v>45873</v>
      </c>
      <c r="L35" s="3" t="s">
        <v>181</v>
      </c>
      <c r="M35" s="3" t="s">
        <v>3533</v>
      </c>
      <c r="N35" s="3" t="s">
        <v>1713</v>
      </c>
      <c r="O35" s="3">
        <v>17</v>
      </c>
      <c r="P35" s="3">
        <v>3058189705</v>
      </c>
      <c r="Q35" s="3" t="s">
        <v>3151</v>
      </c>
      <c r="R35" s="3" t="s">
        <v>1714</v>
      </c>
      <c r="T35" s="3" t="s">
        <v>1715</v>
      </c>
      <c r="U35" s="3" t="s">
        <v>1716</v>
      </c>
      <c r="V35" s="3" t="s">
        <v>1717</v>
      </c>
      <c r="W35" s="3" t="s">
        <v>1718</v>
      </c>
      <c r="X35" s="3" t="s">
        <v>461</v>
      </c>
      <c r="Y35" s="3" t="s">
        <v>1719</v>
      </c>
      <c r="Z35" s="3" t="s">
        <v>1720</v>
      </c>
      <c r="AA35" s="29">
        <v>45901</v>
      </c>
      <c r="AB35" s="3" t="s">
        <v>181</v>
      </c>
      <c r="AC35" s="3" t="str">
        <f>VLOOKUP(A35,'[1]계산서(25하-대전)'!W$4:AI$150,2,FALSE)</f>
        <v>lovesy480@naver.com</v>
      </c>
      <c r="AD35" s="29">
        <f>VLOOKUP(A35,'[1]계산서(25하-대전)'!W$4:AI$150,3,FALSE)</f>
        <v>45874</v>
      </c>
      <c r="AE35" s="3">
        <f t="shared" si="0"/>
        <v>600000</v>
      </c>
      <c r="AF35" s="3">
        <f>VLOOKUP(A35,'[1]계산서(25하-대전)'!W$4:AI$150,4,FALSE)</f>
        <v>200000</v>
      </c>
      <c r="AG35" s="3">
        <f>VLOOKUP(A35,'[1]계산서(25하-대전)'!W$4:AI$150,5,FALSE)</f>
        <v>400000</v>
      </c>
      <c r="AH35" s="3">
        <f t="shared" si="1"/>
        <v>600000</v>
      </c>
      <c r="AI35" s="29">
        <f>VLOOKUP(A35,'[1]계산서(25하-대전)'!W$4:AI$150,8,FALSE)</f>
        <v>45874</v>
      </c>
      <c r="AJ35" s="3">
        <f>VLOOKUP(A35,'[1]계산서(25하-대전)'!W$4:AI$150,9,FALSE)</f>
        <v>200000</v>
      </c>
      <c r="AK35" s="29">
        <f>VLOOKUP(A35,'[1]계산서(25하-대전)'!W$4:AI$150,10,FALSE)</f>
        <v>45919</v>
      </c>
      <c r="AL35" s="3">
        <f>VLOOKUP(A35,'[1]계산서(25하-대전)'!W$4:AI$150,11,FALSE)</f>
        <v>400000</v>
      </c>
      <c r="AM35" s="3">
        <f>VLOOKUP(A35,'[1]계산서(25하-대전)'!W$4:AI$150,13,FALSE)</f>
        <v>0</v>
      </c>
    </row>
    <row r="36" spans="1:39" x14ac:dyDescent="0.3">
      <c r="A36" s="28" t="s">
        <v>3152</v>
      </c>
      <c r="B36" s="3">
        <v>2025</v>
      </c>
      <c r="C36" s="3" t="s">
        <v>2871</v>
      </c>
      <c r="E36" s="3" t="s">
        <v>3533</v>
      </c>
      <c r="F36" s="3" t="s">
        <v>3153</v>
      </c>
      <c r="G36" s="12">
        <v>34</v>
      </c>
      <c r="H36" s="12" t="s">
        <v>372</v>
      </c>
      <c r="I36" s="29">
        <v>45873</v>
      </c>
      <c r="J36" s="29">
        <v>45873</v>
      </c>
      <c r="L36" s="3" t="s">
        <v>73</v>
      </c>
      <c r="M36" s="3" t="s">
        <v>3533</v>
      </c>
      <c r="N36" s="3" t="s">
        <v>3154</v>
      </c>
      <c r="O36" s="3">
        <v>7</v>
      </c>
      <c r="P36" s="3">
        <v>3068120693</v>
      </c>
      <c r="Q36" s="3" t="s">
        <v>3155</v>
      </c>
      <c r="R36" s="3" t="s">
        <v>3156</v>
      </c>
      <c r="T36" s="3" t="s">
        <v>1609</v>
      </c>
      <c r="U36" s="3" t="s">
        <v>3157</v>
      </c>
      <c r="V36" s="3" t="s">
        <v>3158</v>
      </c>
      <c r="W36" s="3" t="s">
        <v>3159</v>
      </c>
      <c r="X36" s="3" t="s">
        <v>123</v>
      </c>
      <c r="Y36" s="3" t="s">
        <v>3160</v>
      </c>
      <c r="AA36" s="29">
        <v>45894</v>
      </c>
      <c r="AB36" s="3" t="s">
        <v>73</v>
      </c>
      <c r="AC36" s="3" t="str">
        <f>VLOOKUP(A36,'[1]계산서(25하-대전)'!W$4:AI$150,2,FALSE)</f>
        <v>jh279321@naver.com</v>
      </c>
      <c r="AD36" s="29" t="str">
        <f>VLOOKUP(A36,'[1]계산서(25하-대전)'!W$4:AI$150,3,FALSE)</f>
        <v>국고 전액</v>
      </c>
      <c r="AE36" s="3">
        <f t="shared" si="0"/>
        <v>400000</v>
      </c>
      <c r="AF36" s="3">
        <v>0</v>
      </c>
      <c r="AG36" s="3">
        <f>VLOOKUP(A36,'[1]계산서(25하-대전)'!W$4:AI$150,5,FALSE)</f>
        <v>400000</v>
      </c>
      <c r="AH36" s="3">
        <f t="shared" si="1"/>
        <v>400000</v>
      </c>
      <c r="AI36" s="29"/>
      <c r="AJ36" s="3">
        <v>0</v>
      </c>
      <c r="AK36" s="29">
        <f>VLOOKUP(A36,'[1]계산서(25하-대전)'!W$4:AI$150,10,FALSE)</f>
        <v>45919</v>
      </c>
      <c r="AL36" s="3">
        <f>VLOOKUP(A36,'[1]계산서(25하-대전)'!W$4:AI$150,11,FALSE)</f>
        <v>400000</v>
      </c>
    </row>
    <row r="37" spans="1:39" x14ac:dyDescent="0.3">
      <c r="A37" s="28" t="s">
        <v>1605</v>
      </c>
      <c r="B37" s="3">
        <v>2025</v>
      </c>
      <c r="C37" s="3" t="s">
        <v>2871</v>
      </c>
      <c r="D37" s="3" t="s">
        <v>94</v>
      </c>
      <c r="E37" s="3" t="s">
        <v>3533</v>
      </c>
      <c r="F37" s="3" t="s">
        <v>3162</v>
      </c>
      <c r="G37" s="12">
        <v>35</v>
      </c>
      <c r="H37" s="12" t="s">
        <v>382</v>
      </c>
      <c r="I37" s="29">
        <v>45873</v>
      </c>
      <c r="J37" s="29">
        <v>45873</v>
      </c>
      <c r="L37" s="3" t="s">
        <v>46</v>
      </c>
      <c r="M37" s="3" t="s">
        <v>3533</v>
      </c>
      <c r="N37" s="3" t="s">
        <v>1607</v>
      </c>
      <c r="O37" s="3">
        <v>8</v>
      </c>
      <c r="P37" s="3">
        <v>7382500675</v>
      </c>
      <c r="Q37" s="3" t="s">
        <v>3163</v>
      </c>
      <c r="R37" s="3" t="s">
        <v>1608</v>
      </c>
      <c r="T37" s="3" t="s">
        <v>1609</v>
      </c>
      <c r="U37" s="3" t="s">
        <v>1610</v>
      </c>
      <c r="V37" s="3" t="s">
        <v>1611</v>
      </c>
      <c r="W37" s="3" t="s">
        <v>1608</v>
      </c>
      <c r="X37" s="3" t="s">
        <v>78</v>
      </c>
      <c r="Y37" s="3" t="s">
        <v>1612</v>
      </c>
      <c r="Z37" s="3" t="s">
        <v>1613</v>
      </c>
      <c r="AA37" s="29">
        <v>45894</v>
      </c>
      <c r="AB37" s="3" t="s">
        <v>73</v>
      </c>
      <c r="AC37" s="3" t="str">
        <f>VLOOKUP(A37,'[1]계산서(25하-대전)'!W$4:AI$150,2,FALSE)</f>
        <v>rcn27x@nate.com</v>
      </c>
      <c r="AD37" s="29">
        <f>VLOOKUP(A37,'[1]계산서(25하-대전)'!W$4:AI$150,3,FALSE)</f>
        <v>45874</v>
      </c>
      <c r="AE37" s="3">
        <f t="shared" si="0"/>
        <v>600000</v>
      </c>
      <c r="AF37" s="3">
        <f>VLOOKUP(A37,'[1]계산서(25하-대전)'!W$4:AI$150,4,FALSE)</f>
        <v>200000</v>
      </c>
      <c r="AG37" s="3">
        <f>VLOOKUP(A37,'[1]계산서(25하-대전)'!W$4:AI$150,5,FALSE)</f>
        <v>400000</v>
      </c>
      <c r="AH37" s="3">
        <f t="shared" si="1"/>
        <v>600000</v>
      </c>
      <c r="AI37" s="29">
        <f>VLOOKUP(A37,'[1]계산서(25하-대전)'!W$4:AI$150,8,FALSE)</f>
        <v>46015</v>
      </c>
      <c r="AJ37" s="3">
        <f>VLOOKUP(A37,'[1]계산서(25하-대전)'!W$4:AI$150,9,FALSE)</f>
        <v>200000</v>
      </c>
      <c r="AK37" s="29">
        <f>VLOOKUP(A37,'[1]계산서(25하-대전)'!W$4:AI$150,10,FALSE)</f>
        <v>45919</v>
      </c>
      <c r="AL37" s="3">
        <f>VLOOKUP(A37,'[1]계산서(25하-대전)'!W$4:AI$150,11,FALSE)</f>
        <v>400000</v>
      </c>
      <c r="AM37" s="3">
        <f>VLOOKUP(A37,'[1]계산서(25하-대전)'!W$4:AI$150,13,FALSE)</f>
        <v>0</v>
      </c>
    </row>
    <row r="38" spans="1:39" x14ac:dyDescent="0.3">
      <c r="A38" s="28" t="s">
        <v>3164</v>
      </c>
      <c r="B38" s="3">
        <v>2025</v>
      </c>
      <c r="C38" s="3" t="s">
        <v>2871</v>
      </c>
      <c r="D38" s="3" t="s">
        <v>94</v>
      </c>
      <c r="E38" s="3" t="s">
        <v>3533</v>
      </c>
      <c r="F38" s="3" t="s">
        <v>3165</v>
      </c>
      <c r="G38" s="12">
        <v>36</v>
      </c>
      <c r="H38" s="12" t="s">
        <v>382</v>
      </c>
      <c r="I38" s="29">
        <v>45873</v>
      </c>
      <c r="J38" s="29">
        <v>45873</v>
      </c>
      <c r="L38" s="3" t="s">
        <v>218</v>
      </c>
      <c r="M38" s="3" t="s">
        <v>3533</v>
      </c>
      <c r="N38" s="3" t="s">
        <v>1617</v>
      </c>
      <c r="O38" s="3">
        <v>2</v>
      </c>
      <c r="P38" s="3">
        <v>8754600756</v>
      </c>
      <c r="Q38" s="3" t="s">
        <v>3166</v>
      </c>
      <c r="R38" s="3" t="s">
        <v>1618</v>
      </c>
      <c r="T38" s="3" t="s">
        <v>1619</v>
      </c>
      <c r="U38" s="3" t="s">
        <v>1620</v>
      </c>
      <c r="V38" s="3" t="s">
        <v>1620</v>
      </c>
      <c r="W38" s="3" t="s">
        <v>1618</v>
      </c>
      <c r="X38" s="3" t="s">
        <v>78</v>
      </c>
      <c r="Y38" s="3" t="s">
        <v>1621</v>
      </c>
      <c r="Z38" s="3" t="s">
        <v>1622</v>
      </c>
      <c r="AA38" s="29">
        <v>45896</v>
      </c>
      <c r="AB38" s="3" t="s">
        <v>73</v>
      </c>
      <c r="AC38" s="3" t="str">
        <f>VLOOKUP(A38,'[1]계산서(25하-대전)'!W$4:AI$150,2,FALSE)</f>
        <v>pst4972@naver.com</v>
      </c>
      <c r="AD38" s="29">
        <f>VLOOKUP(A38,'[1]계산서(25하-대전)'!W$4:AI$150,3,FALSE)</f>
        <v>45874</v>
      </c>
      <c r="AE38" s="3">
        <f t="shared" si="0"/>
        <v>600000</v>
      </c>
      <c r="AF38" s="3">
        <f>VLOOKUP(A38,'[1]계산서(25하-대전)'!W$4:AI$150,4,FALSE)</f>
        <v>200000</v>
      </c>
      <c r="AG38" s="3">
        <f>VLOOKUP(A38,'[1]계산서(25하-대전)'!W$4:AI$150,5,FALSE)</f>
        <v>400000</v>
      </c>
      <c r="AH38" s="3">
        <f t="shared" si="1"/>
        <v>600000</v>
      </c>
      <c r="AI38" s="29">
        <f>VLOOKUP(A38,'[1]계산서(25하-대전)'!W$4:AI$150,8,FALSE)</f>
        <v>46014</v>
      </c>
      <c r="AJ38" s="3">
        <f>VLOOKUP(A38,'[1]계산서(25하-대전)'!W$4:AI$150,9,FALSE)</f>
        <v>200000</v>
      </c>
      <c r="AK38" s="29">
        <f>VLOOKUP(A38,'[1]계산서(25하-대전)'!W$4:AI$150,10,FALSE)</f>
        <v>45919</v>
      </c>
      <c r="AL38" s="3">
        <f>VLOOKUP(A38,'[1]계산서(25하-대전)'!W$4:AI$150,11,FALSE)</f>
        <v>400000</v>
      </c>
      <c r="AM38" s="3">
        <f>VLOOKUP(A38,'[1]계산서(25하-대전)'!W$4:AI$150,13,FALSE)</f>
        <v>0</v>
      </c>
    </row>
    <row r="39" spans="1:39" x14ac:dyDescent="0.3">
      <c r="A39" s="28" t="s">
        <v>1741</v>
      </c>
      <c r="B39" s="3">
        <v>2025</v>
      </c>
      <c r="C39" s="3" t="s">
        <v>2871</v>
      </c>
      <c r="D39" s="3" t="s">
        <v>94</v>
      </c>
      <c r="E39" s="3" t="s">
        <v>3533</v>
      </c>
      <c r="F39" s="3" t="s">
        <v>3167</v>
      </c>
      <c r="G39" s="12">
        <v>37</v>
      </c>
      <c r="H39" s="12" t="s">
        <v>393</v>
      </c>
      <c r="I39" s="29">
        <v>45874</v>
      </c>
      <c r="J39" s="29">
        <v>45874</v>
      </c>
      <c r="L39" s="3" t="s">
        <v>61</v>
      </c>
      <c r="M39" s="3" t="s">
        <v>3533</v>
      </c>
      <c r="N39" s="3" t="s">
        <v>1743</v>
      </c>
      <c r="O39" s="3">
        <v>18</v>
      </c>
      <c r="P39" s="3">
        <v>3148654087</v>
      </c>
      <c r="Q39" s="3" t="s">
        <v>3168</v>
      </c>
      <c r="R39" s="3" t="s">
        <v>1744</v>
      </c>
      <c r="T39" s="3" t="s">
        <v>1745</v>
      </c>
      <c r="U39" s="3" t="s">
        <v>1746</v>
      </c>
      <c r="V39" s="3" t="s">
        <v>1747</v>
      </c>
      <c r="W39" s="3" t="s">
        <v>1748</v>
      </c>
      <c r="X39" s="3" t="s">
        <v>980</v>
      </c>
      <c r="Y39" s="3" t="s">
        <v>1749</v>
      </c>
      <c r="Z39" s="3" t="s">
        <v>1750</v>
      </c>
      <c r="AA39" s="29">
        <v>45901</v>
      </c>
      <c r="AB39" s="3" t="s">
        <v>181</v>
      </c>
      <c r="AC39" s="3" t="str">
        <f>VLOOKUP(A39,'[1]계산서(25하-대전)'!W$4:AI$150,2,FALSE)</f>
        <v>wp5289503@hanmail.net</v>
      </c>
      <c r="AD39" s="29">
        <f>VLOOKUP(A39,'[1]계산서(25하-대전)'!W$4:AI$150,3,FALSE)</f>
        <v>45875</v>
      </c>
      <c r="AE39" s="3">
        <f t="shared" si="0"/>
        <v>600000</v>
      </c>
      <c r="AF39" s="3">
        <f>VLOOKUP(A39,'[1]계산서(25하-대전)'!W$4:AI$150,4,FALSE)</f>
        <v>200000</v>
      </c>
      <c r="AG39" s="3">
        <f>VLOOKUP(A39,'[1]계산서(25하-대전)'!W$4:AI$150,5,FALSE)</f>
        <v>400000</v>
      </c>
      <c r="AH39" s="3">
        <f t="shared" si="1"/>
        <v>600000</v>
      </c>
      <c r="AI39" s="29">
        <f>VLOOKUP(A39,'[1]계산서(25하-대전)'!W$4:AI$150,8,FALSE)</f>
        <v>45906</v>
      </c>
      <c r="AJ39" s="3">
        <f>VLOOKUP(A39,'[1]계산서(25하-대전)'!W$4:AI$150,9,FALSE)</f>
        <v>200000</v>
      </c>
      <c r="AK39" s="29">
        <f>VLOOKUP(A39,'[1]계산서(25하-대전)'!W$4:AI$150,10,FALSE)</f>
        <v>45919</v>
      </c>
      <c r="AL39" s="3">
        <f>VLOOKUP(A39,'[1]계산서(25하-대전)'!W$4:AI$150,11,FALSE)</f>
        <v>400000</v>
      </c>
      <c r="AM39" s="3">
        <f>VLOOKUP(A39,'[1]계산서(25하-대전)'!W$4:AI$150,13,FALSE)</f>
        <v>0</v>
      </c>
    </row>
    <row r="40" spans="1:39" x14ac:dyDescent="0.3">
      <c r="A40" s="28" t="s">
        <v>1751</v>
      </c>
      <c r="B40" s="3">
        <v>2025</v>
      </c>
      <c r="C40" s="3" t="s">
        <v>2871</v>
      </c>
      <c r="D40" s="3" t="s">
        <v>94</v>
      </c>
      <c r="E40" s="3" t="s">
        <v>3533</v>
      </c>
      <c r="F40" s="3" t="s">
        <v>3169</v>
      </c>
      <c r="G40" s="12">
        <v>38</v>
      </c>
      <c r="H40" s="12" t="s">
        <v>404</v>
      </c>
      <c r="I40" s="29">
        <v>45874</v>
      </c>
      <c r="J40" s="29">
        <v>45874</v>
      </c>
      <c r="L40" s="3" t="s">
        <v>97</v>
      </c>
      <c r="M40" s="3" t="s">
        <v>3533</v>
      </c>
      <c r="N40" s="3" t="s">
        <v>1753</v>
      </c>
      <c r="O40" s="3">
        <v>10</v>
      </c>
      <c r="P40" s="3">
        <v>3148641578</v>
      </c>
      <c r="Q40" s="3" t="s">
        <v>3170</v>
      </c>
      <c r="R40" s="3" t="s">
        <v>1754</v>
      </c>
      <c r="T40" s="3" t="s">
        <v>1755</v>
      </c>
      <c r="U40" s="3" t="s">
        <v>1756</v>
      </c>
      <c r="V40" s="3" t="s">
        <v>1757</v>
      </c>
      <c r="W40" s="3" t="s">
        <v>1758</v>
      </c>
      <c r="X40" s="3" t="s">
        <v>78</v>
      </c>
      <c r="Y40" s="3" t="s">
        <v>1759</v>
      </c>
      <c r="Z40" s="3" t="s">
        <v>1760</v>
      </c>
      <c r="AA40" s="29">
        <v>45901</v>
      </c>
      <c r="AB40" s="3" t="s">
        <v>181</v>
      </c>
      <c r="AC40" s="3" t="str">
        <f>VLOOKUP(A40,'[1]계산서(25하-대전)'!W$4:AI$150,2,FALSE)</f>
        <v>kmhydr1@nate.com</v>
      </c>
      <c r="AD40" s="29">
        <f>VLOOKUP(A40,'[1]계산서(25하-대전)'!W$4:AI$150,3,FALSE)</f>
        <v>45875</v>
      </c>
      <c r="AE40" s="3">
        <f t="shared" si="0"/>
        <v>600000</v>
      </c>
      <c r="AF40" s="3">
        <f>VLOOKUP(A40,'[1]계산서(25하-대전)'!W$4:AI$150,4,FALSE)</f>
        <v>200000</v>
      </c>
      <c r="AG40" s="3">
        <f>VLOOKUP(A40,'[1]계산서(25하-대전)'!W$4:AI$150,5,FALSE)</f>
        <v>400000</v>
      </c>
      <c r="AH40" s="3">
        <f t="shared" si="1"/>
        <v>600000</v>
      </c>
      <c r="AI40" s="29">
        <f>VLOOKUP(A40,'[1]계산서(25하-대전)'!W$4:AI$150,8,FALSE)</f>
        <v>45908</v>
      </c>
      <c r="AJ40" s="3">
        <f>VLOOKUP(A40,'[1]계산서(25하-대전)'!W$4:AI$150,9,FALSE)</f>
        <v>200000</v>
      </c>
      <c r="AK40" s="29">
        <f>VLOOKUP(A40,'[1]계산서(25하-대전)'!W$4:AI$150,10,FALSE)</f>
        <v>45919</v>
      </c>
      <c r="AL40" s="3">
        <f>VLOOKUP(A40,'[1]계산서(25하-대전)'!W$4:AI$150,11,FALSE)</f>
        <v>400000</v>
      </c>
      <c r="AM40" s="3">
        <f>VLOOKUP(A40,'[1]계산서(25하-대전)'!W$4:AI$150,13,FALSE)</f>
        <v>0</v>
      </c>
    </row>
    <row r="41" spans="1:39" x14ac:dyDescent="0.3">
      <c r="A41" s="28" t="s">
        <v>1761</v>
      </c>
      <c r="B41" s="3">
        <v>2025</v>
      </c>
      <c r="C41" s="3" t="s">
        <v>2871</v>
      </c>
      <c r="D41" s="3" t="s">
        <v>94</v>
      </c>
      <c r="E41" s="3" t="s">
        <v>3533</v>
      </c>
      <c r="F41" s="3" t="s">
        <v>3171</v>
      </c>
      <c r="G41" s="12">
        <v>39</v>
      </c>
      <c r="H41" s="12" t="s">
        <v>410</v>
      </c>
      <c r="I41" s="29">
        <v>45874</v>
      </c>
      <c r="J41" s="29">
        <v>45874</v>
      </c>
      <c r="L41" s="3" t="s">
        <v>181</v>
      </c>
      <c r="M41" s="3" t="s">
        <v>3533</v>
      </c>
      <c r="N41" s="3" t="s">
        <v>1763</v>
      </c>
      <c r="O41" s="3">
        <v>16</v>
      </c>
      <c r="P41" s="3">
        <v>4188702122</v>
      </c>
      <c r="Q41" s="3" t="s">
        <v>3172</v>
      </c>
      <c r="R41" s="3" t="s">
        <v>1764</v>
      </c>
      <c r="T41" s="3" t="s">
        <v>1765</v>
      </c>
      <c r="U41" s="3" t="s">
        <v>1766</v>
      </c>
      <c r="V41" s="3" t="s">
        <v>1767</v>
      </c>
      <c r="W41" s="3" t="s">
        <v>1768</v>
      </c>
      <c r="X41" s="3" t="s">
        <v>134</v>
      </c>
      <c r="Y41" s="3" t="s">
        <v>1769</v>
      </c>
      <c r="Z41" s="3" t="s">
        <v>1770</v>
      </c>
      <c r="AA41" s="29">
        <v>45901</v>
      </c>
      <c r="AB41" s="3" t="s">
        <v>181</v>
      </c>
      <c r="AC41" s="3" t="str">
        <f>VLOOKUP(A41,'[1]계산서(25하-대전)'!W$4:AI$150,2,FALSE)</f>
        <v xml:space="preserve">mone2689@naver.com </v>
      </c>
      <c r="AD41" s="29">
        <f>VLOOKUP(A41,'[1]계산서(25하-대전)'!W$4:AI$150,3,FALSE)</f>
        <v>45875</v>
      </c>
      <c r="AE41" s="3">
        <f t="shared" si="0"/>
        <v>600000</v>
      </c>
      <c r="AF41" s="3">
        <f>VLOOKUP(A41,'[1]계산서(25하-대전)'!W$4:AI$150,4,FALSE)</f>
        <v>200000</v>
      </c>
      <c r="AG41" s="3">
        <f>VLOOKUP(A41,'[1]계산서(25하-대전)'!W$4:AI$150,5,FALSE)</f>
        <v>400000</v>
      </c>
      <c r="AH41" s="3">
        <f t="shared" si="1"/>
        <v>600000</v>
      </c>
      <c r="AI41" s="29">
        <f>VLOOKUP(A41,'[1]계산서(25하-대전)'!W$4:AI$150,8,FALSE)</f>
        <v>45924</v>
      </c>
      <c r="AJ41" s="3">
        <f>VLOOKUP(A41,'[1]계산서(25하-대전)'!W$4:AI$150,9,FALSE)</f>
        <v>200000</v>
      </c>
      <c r="AK41" s="29">
        <f>VLOOKUP(A41,'[1]계산서(25하-대전)'!W$4:AI$150,10,FALSE)</f>
        <v>45919</v>
      </c>
      <c r="AL41" s="3">
        <f>VLOOKUP(A41,'[1]계산서(25하-대전)'!W$4:AI$150,11,FALSE)</f>
        <v>400000</v>
      </c>
      <c r="AM41" s="3">
        <f>VLOOKUP(A41,'[1]계산서(25하-대전)'!W$4:AI$150,13,FALSE)</f>
        <v>0</v>
      </c>
    </row>
    <row r="42" spans="1:39" x14ac:dyDescent="0.3">
      <c r="A42" s="28" t="s">
        <v>2345</v>
      </c>
      <c r="B42" s="3">
        <v>2025</v>
      </c>
      <c r="C42" s="3" t="s">
        <v>2871</v>
      </c>
      <c r="D42" s="3" t="s">
        <v>94</v>
      </c>
      <c r="E42" s="3" t="s">
        <v>3533</v>
      </c>
      <c r="F42" s="3" t="s">
        <v>3173</v>
      </c>
      <c r="G42" s="12">
        <v>40</v>
      </c>
      <c r="H42" s="12" t="s">
        <v>423</v>
      </c>
      <c r="I42" s="29">
        <v>45874</v>
      </c>
      <c r="J42" s="29">
        <v>45874</v>
      </c>
      <c r="L42" s="3" t="s">
        <v>73</v>
      </c>
      <c r="M42" s="3" t="s">
        <v>3533</v>
      </c>
      <c r="N42" s="3" t="s">
        <v>2347</v>
      </c>
      <c r="O42" s="3">
        <v>16</v>
      </c>
      <c r="P42" s="3">
        <v>4698802369</v>
      </c>
      <c r="Q42" s="3">
        <v>46988023690</v>
      </c>
      <c r="R42" s="3" t="s">
        <v>2348</v>
      </c>
      <c r="T42" s="3" t="s">
        <v>2349</v>
      </c>
      <c r="U42" s="3" t="s">
        <v>2350</v>
      </c>
      <c r="V42" s="3" t="s">
        <v>2351</v>
      </c>
      <c r="W42" s="3" t="s">
        <v>2348</v>
      </c>
      <c r="X42" s="3" t="s">
        <v>78</v>
      </c>
      <c r="Y42" s="3" t="s">
        <v>2352</v>
      </c>
      <c r="Z42" s="3" t="s">
        <v>2353</v>
      </c>
      <c r="AA42" s="29">
        <v>45897</v>
      </c>
      <c r="AB42" s="3" t="s">
        <v>218</v>
      </c>
      <c r="AC42" s="3" t="str">
        <f>VLOOKUP(A42,'[1]계산서(25하-대전)'!W$4:AI$150,2,FALSE)</f>
        <v>bm9226@hanmail.net</v>
      </c>
      <c r="AD42" s="29">
        <f>VLOOKUP(A42,'[1]계산서(25하-대전)'!W$4:AI$150,3,FALSE)</f>
        <v>45875</v>
      </c>
      <c r="AE42" s="3">
        <f t="shared" si="0"/>
        <v>600000</v>
      </c>
      <c r="AF42" s="3">
        <f>VLOOKUP(A42,'[1]계산서(25하-대전)'!W$4:AI$150,4,FALSE)</f>
        <v>200000</v>
      </c>
      <c r="AG42" s="3">
        <f>VLOOKUP(A42,'[1]계산서(25하-대전)'!W$4:AI$150,5,FALSE)</f>
        <v>400000</v>
      </c>
      <c r="AH42" s="3">
        <f t="shared" si="1"/>
        <v>600000</v>
      </c>
      <c r="AI42" s="29">
        <f>VLOOKUP(A42,'[1]계산서(25하-대전)'!W$4:AI$150,8,FALSE)</f>
        <v>45950</v>
      </c>
      <c r="AJ42" s="3">
        <f>VLOOKUP(A42,'[1]계산서(25하-대전)'!W$4:AI$150,9,FALSE)</f>
        <v>200000</v>
      </c>
      <c r="AK42" s="29">
        <f>VLOOKUP(A42,'[1]계산서(25하-대전)'!W$4:AI$150,10,FALSE)</f>
        <v>45919</v>
      </c>
      <c r="AL42" s="3">
        <f>VLOOKUP(A42,'[1]계산서(25하-대전)'!W$4:AI$150,11,FALSE)</f>
        <v>400000</v>
      </c>
      <c r="AM42" s="3">
        <f>VLOOKUP(A42,'[1]계산서(25하-대전)'!W$4:AI$150,13,FALSE)</f>
        <v>0</v>
      </c>
    </row>
    <row r="43" spans="1:39" x14ac:dyDescent="0.3">
      <c r="A43" s="28" t="s">
        <v>2354</v>
      </c>
      <c r="B43" s="3">
        <v>2025</v>
      </c>
      <c r="C43" s="3" t="s">
        <v>2871</v>
      </c>
      <c r="D43" s="3" t="s">
        <v>94</v>
      </c>
      <c r="E43" s="3" t="s">
        <v>3533</v>
      </c>
      <c r="F43" s="3" t="s">
        <v>3174</v>
      </c>
      <c r="G43" s="12">
        <v>41</v>
      </c>
      <c r="H43" s="12" t="s">
        <v>434</v>
      </c>
      <c r="I43" s="29">
        <v>45874</v>
      </c>
      <c r="J43" s="29">
        <v>45874</v>
      </c>
      <c r="L43" s="3" t="s">
        <v>46</v>
      </c>
      <c r="M43" s="3" t="s">
        <v>3533</v>
      </c>
      <c r="N43" s="3" t="s">
        <v>2356</v>
      </c>
      <c r="O43" s="3">
        <v>9</v>
      </c>
      <c r="P43" s="3">
        <v>3148186997</v>
      </c>
      <c r="Q43" s="3" t="s">
        <v>3175</v>
      </c>
      <c r="R43" s="3" t="s">
        <v>2357</v>
      </c>
      <c r="T43" s="3" t="s">
        <v>2358</v>
      </c>
      <c r="U43" s="3" t="s">
        <v>2359</v>
      </c>
      <c r="V43" s="3" t="s">
        <v>2360</v>
      </c>
      <c r="W43" s="3" t="s">
        <v>2361</v>
      </c>
      <c r="X43" s="3" t="s">
        <v>78</v>
      </c>
      <c r="Y43" s="3" t="s">
        <v>2362</v>
      </c>
      <c r="Z43" s="3" t="s">
        <v>2363</v>
      </c>
      <c r="AA43" s="29">
        <v>45897</v>
      </c>
      <c r="AB43" s="3" t="s">
        <v>218</v>
      </c>
      <c r="AC43" s="3" t="str">
        <f>VLOOKUP(A43,'[1]계산서(25하-대전)'!W$4:AI$150,2,FALSE)</f>
        <v>chung911900@hanmail.net</v>
      </c>
      <c r="AD43" s="29">
        <f>VLOOKUP(A43,'[1]계산서(25하-대전)'!W$4:AI$150,3,FALSE)</f>
        <v>45875</v>
      </c>
      <c r="AE43" s="3">
        <f t="shared" si="0"/>
        <v>600000</v>
      </c>
      <c r="AF43" s="3">
        <f>VLOOKUP(A43,'[1]계산서(25하-대전)'!W$4:AI$150,4,FALSE)</f>
        <v>200000</v>
      </c>
      <c r="AG43" s="3">
        <f>VLOOKUP(A43,'[1]계산서(25하-대전)'!W$4:AI$150,5,FALSE)</f>
        <v>400000</v>
      </c>
      <c r="AH43" s="3">
        <f t="shared" si="1"/>
        <v>600000</v>
      </c>
      <c r="AI43" s="29">
        <f>VLOOKUP(A43,'[1]계산서(25하-대전)'!W$4:AI$150,8,FALSE)</f>
        <v>45897</v>
      </c>
      <c r="AJ43" s="3">
        <f>VLOOKUP(A43,'[1]계산서(25하-대전)'!W$4:AI$150,9,FALSE)</f>
        <v>200000</v>
      </c>
      <c r="AK43" s="29">
        <f>VLOOKUP(A43,'[1]계산서(25하-대전)'!W$4:AI$150,10,FALSE)</f>
        <v>45919</v>
      </c>
      <c r="AL43" s="3">
        <f>VLOOKUP(A43,'[1]계산서(25하-대전)'!W$4:AI$150,11,FALSE)</f>
        <v>400000</v>
      </c>
      <c r="AM43" s="3">
        <f>VLOOKUP(A43,'[1]계산서(25하-대전)'!W$4:AI$150,13,FALSE)</f>
        <v>0</v>
      </c>
    </row>
    <row r="44" spans="1:39" x14ac:dyDescent="0.3">
      <c r="A44" s="28" t="s">
        <v>1731</v>
      </c>
      <c r="B44" s="3">
        <v>2025</v>
      </c>
      <c r="C44" s="3" t="s">
        <v>2871</v>
      </c>
      <c r="D44" s="3" t="s">
        <v>94</v>
      </c>
      <c r="E44" s="3" t="s">
        <v>3533</v>
      </c>
      <c r="F44" s="3" t="s">
        <v>3176</v>
      </c>
      <c r="G44" s="12">
        <v>42</v>
      </c>
      <c r="H44" s="12" t="s">
        <v>455</v>
      </c>
      <c r="I44" s="29">
        <v>45874</v>
      </c>
      <c r="J44" s="29">
        <v>45874</v>
      </c>
      <c r="L44" s="3" t="s">
        <v>218</v>
      </c>
      <c r="M44" s="3" t="s">
        <v>3533</v>
      </c>
      <c r="N44" s="3" t="s">
        <v>1733</v>
      </c>
      <c r="O44" s="3">
        <v>8</v>
      </c>
      <c r="P44" s="3">
        <v>3141285352</v>
      </c>
      <c r="Q44" s="3" t="s">
        <v>3177</v>
      </c>
      <c r="R44" s="3" t="s">
        <v>1734</v>
      </c>
      <c r="T44" s="3" t="s">
        <v>1735</v>
      </c>
      <c r="U44" s="3" t="s">
        <v>1736</v>
      </c>
      <c r="V44" s="3" t="s">
        <v>1737</v>
      </c>
      <c r="W44" s="3" t="s">
        <v>1738</v>
      </c>
      <c r="X44" s="3" t="s">
        <v>78</v>
      </c>
      <c r="Y44" s="3" t="s">
        <v>1739</v>
      </c>
      <c r="Z44" s="3" t="s">
        <v>1740</v>
      </c>
      <c r="AA44" s="29">
        <v>45897</v>
      </c>
      <c r="AB44" s="3" t="s">
        <v>218</v>
      </c>
      <c r="AC44" s="3" t="str">
        <f>VLOOKUP(A44,'[1]계산서(25하-대전)'!W$4:AI$150,2,FALSE)</f>
        <v>jm85352@naver.com</v>
      </c>
      <c r="AD44" s="29">
        <f>VLOOKUP(A44,'[1]계산서(25하-대전)'!W$4:AI$150,3,FALSE)</f>
        <v>45875</v>
      </c>
      <c r="AE44" s="3">
        <f t="shared" si="0"/>
        <v>600000</v>
      </c>
      <c r="AF44" s="3">
        <f>VLOOKUP(A44,'[1]계산서(25하-대전)'!W$4:AI$150,4,FALSE)</f>
        <v>200000</v>
      </c>
      <c r="AG44" s="3">
        <f>VLOOKUP(A44,'[1]계산서(25하-대전)'!W$4:AI$150,5,FALSE)</f>
        <v>400000</v>
      </c>
      <c r="AH44" s="3">
        <f t="shared" si="1"/>
        <v>600000</v>
      </c>
      <c r="AI44" s="29">
        <f>VLOOKUP(A44,'[1]계산서(25하-대전)'!W$4:AI$150,8,FALSE)</f>
        <v>45880</v>
      </c>
      <c r="AJ44" s="3">
        <f>VLOOKUP(A44,'[1]계산서(25하-대전)'!W$4:AI$150,9,FALSE)</f>
        <v>200000</v>
      </c>
      <c r="AK44" s="29">
        <f>VLOOKUP(A44,'[1]계산서(25하-대전)'!W$4:AI$150,10,FALSE)</f>
        <v>45919</v>
      </c>
      <c r="AL44" s="3">
        <f>VLOOKUP(A44,'[1]계산서(25하-대전)'!W$4:AI$150,11,FALSE)</f>
        <v>400000</v>
      </c>
      <c r="AM44" s="3">
        <f>VLOOKUP(A44,'[1]계산서(25하-대전)'!W$4:AI$150,13,FALSE)</f>
        <v>0</v>
      </c>
    </row>
    <row r="45" spans="1:39" x14ac:dyDescent="0.3">
      <c r="A45" s="28" t="s">
        <v>1876</v>
      </c>
      <c r="B45" s="3">
        <v>2025</v>
      </c>
      <c r="C45" s="3" t="s">
        <v>2871</v>
      </c>
      <c r="D45" s="3" t="s">
        <v>94</v>
      </c>
      <c r="E45" s="3" t="s">
        <v>3533</v>
      </c>
      <c r="F45" s="3" t="s">
        <v>3178</v>
      </c>
      <c r="G45" s="12">
        <v>43</v>
      </c>
      <c r="H45" s="12" t="s">
        <v>455</v>
      </c>
      <c r="I45" s="29">
        <v>45875</v>
      </c>
      <c r="J45" s="29">
        <v>45875</v>
      </c>
      <c r="L45" s="3" t="s">
        <v>61</v>
      </c>
      <c r="M45" s="3" t="s">
        <v>3533</v>
      </c>
      <c r="N45" s="3" t="s">
        <v>1878</v>
      </c>
      <c r="O45" s="3">
        <v>3</v>
      </c>
      <c r="P45" s="3">
        <v>3052862491</v>
      </c>
      <c r="Q45" s="3" t="s">
        <v>3179</v>
      </c>
      <c r="R45" s="3" t="s">
        <v>1879</v>
      </c>
      <c r="T45" s="3" t="s">
        <v>1880</v>
      </c>
      <c r="U45" s="3" t="s">
        <v>1881</v>
      </c>
      <c r="V45" s="3" t="s">
        <v>1882</v>
      </c>
      <c r="W45" s="3" t="s">
        <v>1879</v>
      </c>
      <c r="X45" s="3" t="s">
        <v>78</v>
      </c>
      <c r="Y45" s="3" t="s">
        <v>1883</v>
      </c>
      <c r="Z45" s="3" t="s">
        <v>1884</v>
      </c>
      <c r="AA45" s="29">
        <v>45901</v>
      </c>
      <c r="AB45" s="3" t="s">
        <v>181</v>
      </c>
      <c r="AC45" s="3" t="str">
        <f>VLOOKUP(A45,'[1]계산서(25하-대전)'!W$4:AI$150,2,FALSE)</f>
        <v>mp4971@naver.com</v>
      </c>
      <c r="AD45" s="29">
        <f>VLOOKUP(A45,'[1]계산서(25하-대전)'!W$4:AI$150,3,FALSE)</f>
        <v>45876</v>
      </c>
      <c r="AE45" s="3">
        <f t="shared" si="0"/>
        <v>600000</v>
      </c>
      <c r="AF45" s="3">
        <f>VLOOKUP(A45,'[1]계산서(25하-대전)'!W$4:AI$150,4,FALSE)</f>
        <v>200000</v>
      </c>
      <c r="AG45" s="3">
        <f>VLOOKUP(A45,'[1]계산서(25하-대전)'!W$4:AI$150,5,FALSE)</f>
        <v>400000</v>
      </c>
      <c r="AH45" s="3">
        <f t="shared" si="1"/>
        <v>600000</v>
      </c>
      <c r="AI45" s="29">
        <f>VLOOKUP(A45,'[1]계산서(25하-대전)'!W$4:AI$150,8,FALSE)</f>
        <v>45995</v>
      </c>
      <c r="AJ45" s="3">
        <f>VLOOKUP(A45,'[1]계산서(25하-대전)'!W$4:AI$150,9,FALSE)</f>
        <v>200000</v>
      </c>
      <c r="AK45" s="29">
        <f>VLOOKUP(A45,'[1]계산서(25하-대전)'!W$4:AI$150,10,FALSE)</f>
        <v>45919</v>
      </c>
      <c r="AL45" s="3">
        <f>VLOOKUP(A45,'[1]계산서(25하-대전)'!W$4:AI$150,11,FALSE)</f>
        <v>400000</v>
      </c>
      <c r="AM45" s="3">
        <f>VLOOKUP(A45,'[1]계산서(25하-대전)'!W$4:AI$150,13,FALSE)</f>
        <v>0</v>
      </c>
    </row>
    <row r="46" spans="1:39" x14ac:dyDescent="0.3">
      <c r="A46" s="28" t="s">
        <v>1885</v>
      </c>
      <c r="B46" s="3">
        <v>2025</v>
      </c>
      <c r="C46" s="3" t="s">
        <v>2871</v>
      </c>
      <c r="D46" s="3" t="s">
        <v>94</v>
      </c>
      <c r="E46" s="3" t="s">
        <v>3533</v>
      </c>
      <c r="F46" s="3" t="s">
        <v>3180</v>
      </c>
      <c r="G46" s="12">
        <v>44</v>
      </c>
      <c r="H46" s="12" t="s">
        <v>455</v>
      </c>
      <c r="I46" s="29">
        <v>45875</v>
      </c>
      <c r="J46" s="29">
        <v>45875</v>
      </c>
      <c r="L46" s="3" t="s">
        <v>97</v>
      </c>
      <c r="M46" s="3" t="s">
        <v>3533</v>
      </c>
      <c r="N46" s="3" t="s">
        <v>1887</v>
      </c>
      <c r="O46" s="3">
        <v>3</v>
      </c>
      <c r="P46" s="3">
        <v>3053255662</v>
      </c>
      <c r="Q46" s="3" t="s">
        <v>3181</v>
      </c>
      <c r="R46" s="3" t="s">
        <v>1888</v>
      </c>
      <c r="T46" s="3" t="s">
        <v>1889</v>
      </c>
      <c r="U46" s="3" t="s">
        <v>1890</v>
      </c>
      <c r="V46" s="3" t="s">
        <v>1891</v>
      </c>
      <c r="W46" s="3" t="s">
        <v>1888</v>
      </c>
      <c r="X46" s="3" t="s">
        <v>78</v>
      </c>
      <c r="Y46" s="3" t="s">
        <v>1892</v>
      </c>
      <c r="Z46" s="3" t="s">
        <v>1893</v>
      </c>
      <c r="AA46" s="29">
        <v>45901</v>
      </c>
      <c r="AB46" s="3" t="s">
        <v>181</v>
      </c>
      <c r="AC46" s="3" t="str">
        <f>VLOOKUP(A46,'[1]계산서(25하-대전)'!W$4:AI$150,2,FALSE)</f>
        <v>lsyjump@naver.com</v>
      </c>
      <c r="AD46" s="29">
        <f>VLOOKUP(A46,'[1]계산서(25하-대전)'!W$4:AI$150,3,FALSE)</f>
        <v>45876</v>
      </c>
      <c r="AE46" s="3">
        <f t="shared" si="0"/>
        <v>600000</v>
      </c>
      <c r="AF46" s="3">
        <f>VLOOKUP(A46,'[1]계산서(25하-대전)'!W$4:AI$150,4,FALSE)</f>
        <v>200000</v>
      </c>
      <c r="AG46" s="3">
        <f>VLOOKUP(A46,'[1]계산서(25하-대전)'!W$4:AI$150,5,FALSE)</f>
        <v>400000</v>
      </c>
      <c r="AH46" s="3">
        <f t="shared" si="1"/>
        <v>600000</v>
      </c>
      <c r="AI46" s="29">
        <f>VLOOKUP(A46,'[1]계산서(25하-대전)'!W$4:AI$150,8,FALSE)</f>
        <v>45904</v>
      </c>
      <c r="AJ46" s="3">
        <f>VLOOKUP(A46,'[1]계산서(25하-대전)'!W$4:AI$150,9,FALSE)</f>
        <v>200000</v>
      </c>
      <c r="AK46" s="29">
        <f>VLOOKUP(A46,'[1]계산서(25하-대전)'!W$4:AI$150,10,FALSE)</f>
        <v>45919</v>
      </c>
      <c r="AL46" s="3">
        <f>VLOOKUP(A46,'[1]계산서(25하-대전)'!W$4:AI$150,11,FALSE)</f>
        <v>400000</v>
      </c>
      <c r="AM46" s="3">
        <f>VLOOKUP(A46,'[1]계산서(25하-대전)'!W$4:AI$150,13,FALSE)</f>
        <v>0</v>
      </c>
    </row>
    <row r="47" spans="1:39" x14ac:dyDescent="0.3">
      <c r="A47" s="28" t="s">
        <v>1894</v>
      </c>
      <c r="B47" s="3">
        <v>2025</v>
      </c>
      <c r="C47" s="3" t="s">
        <v>2871</v>
      </c>
      <c r="D47" s="3" t="s">
        <v>94</v>
      </c>
      <c r="E47" s="3" t="s">
        <v>3533</v>
      </c>
      <c r="F47" s="3" t="s">
        <v>3182</v>
      </c>
      <c r="G47" s="12">
        <v>45</v>
      </c>
      <c r="H47" s="12" t="s">
        <v>466</v>
      </c>
      <c r="I47" s="29">
        <v>45875</v>
      </c>
      <c r="J47" s="29">
        <v>45875</v>
      </c>
      <c r="L47" s="3" t="s">
        <v>181</v>
      </c>
      <c r="M47" s="3" t="s">
        <v>3533</v>
      </c>
      <c r="N47" s="3" t="s">
        <v>1896</v>
      </c>
      <c r="O47" s="3">
        <v>6</v>
      </c>
      <c r="P47" s="3">
        <v>3052331936</v>
      </c>
      <c r="Q47" s="3" t="s">
        <v>3183</v>
      </c>
      <c r="R47" s="3" t="s">
        <v>1897</v>
      </c>
      <c r="T47" s="3" t="s">
        <v>1898</v>
      </c>
      <c r="U47" s="3" t="s">
        <v>1899</v>
      </c>
      <c r="V47" s="3" t="s">
        <v>1900</v>
      </c>
      <c r="W47" s="3" t="s">
        <v>1897</v>
      </c>
      <c r="X47" s="3" t="s">
        <v>78</v>
      </c>
      <c r="Y47" s="3" t="s">
        <v>1901</v>
      </c>
      <c r="Z47" s="3" t="s">
        <v>1902</v>
      </c>
      <c r="AA47" s="29">
        <v>45901</v>
      </c>
      <c r="AB47" s="3" t="s">
        <v>181</v>
      </c>
      <c r="AC47" s="3" t="str">
        <f>VLOOKUP(A47,'[1]계산서(25하-대전)'!W$4:AI$150,2,FALSE)</f>
        <v>ckwndyd2548@naver.com</v>
      </c>
      <c r="AD47" s="29">
        <f>VLOOKUP(A47,'[1]계산서(25하-대전)'!W$4:AI$150,3,FALSE)</f>
        <v>45876</v>
      </c>
      <c r="AE47" s="3">
        <f t="shared" si="0"/>
        <v>600000</v>
      </c>
      <c r="AF47" s="3">
        <f>VLOOKUP(A47,'[1]계산서(25하-대전)'!W$4:AI$150,4,FALSE)</f>
        <v>200000</v>
      </c>
      <c r="AG47" s="3">
        <f>VLOOKUP(A47,'[1]계산서(25하-대전)'!W$4:AI$150,5,FALSE)</f>
        <v>400000</v>
      </c>
      <c r="AH47" s="3">
        <f t="shared" si="1"/>
        <v>400000</v>
      </c>
      <c r="AI47" s="29"/>
      <c r="AJ47" s="3">
        <f>VLOOKUP(A47,'[1]계산서(25하-대전)'!W$4:AI$150,9,FALSE)</f>
        <v>0</v>
      </c>
      <c r="AK47" s="29">
        <f>VLOOKUP(A47,'[1]계산서(25하-대전)'!W$4:AI$150,10,FALSE)</f>
        <v>45919</v>
      </c>
      <c r="AL47" s="3">
        <f>VLOOKUP(A47,'[1]계산서(25하-대전)'!W$4:AI$150,11,FALSE)</f>
        <v>400000</v>
      </c>
      <c r="AM47" s="3">
        <f>VLOOKUP(A47,'[1]계산서(25하-대전)'!W$4:AI$150,13,FALSE)</f>
        <v>0</v>
      </c>
    </row>
    <row r="48" spans="1:39" x14ac:dyDescent="0.3">
      <c r="A48" s="28" t="s">
        <v>1800</v>
      </c>
      <c r="B48" s="3">
        <v>2025</v>
      </c>
      <c r="C48" s="3" t="s">
        <v>2871</v>
      </c>
      <c r="D48" s="3" t="s">
        <v>94</v>
      </c>
      <c r="E48" s="3" t="s">
        <v>3533</v>
      </c>
      <c r="F48" s="3" t="s">
        <v>3184</v>
      </c>
      <c r="G48" s="12">
        <v>46</v>
      </c>
      <c r="H48" s="12" t="s">
        <v>476</v>
      </c>
      <c r="I48" s="29">
        <v>45875</v>
      </c>
      <c r="J48" s="29">
        <v>45875</v>
      </c>
      <c r="L48" s="3" t="s">
        <v>73</v>
      </c>
      <c r="M48" s="3" t="s">
        <v>3533</v>
      </c>
      <c r="N48" s="3" t="s">
        <v>1802</v>
      </c>
      <c r="O48" s="3">
        <v>12</v>
      </c>
      <c r="P48" s="3">
        <v>5903100375</v>
      </c>
      <c r="Q48" s="3" t="s">
        <v>3185</v>
      </c>
      <c r="R48" s="3" t="s">
        <v>1803</v>
      </c>
      <c r="T48" s="3" t="s">
        <v>1804</v>
      </c>
      <c r="U48" s="3" t="s">
        <v>1805</v>
      </c>
      <c r="V48" s="3" t="s">
        <v>1806</v>
      </c>
      <c r="W48" s="3" t="s">
        <v>1803</v>
      </c>
      <c r="X48" s="3" t="s">
        <v>78</v>
      </c>
      <c r="Y48" s="3" t="s">
        <v>1807</v>
      </c>
      <c r="Z48" s="3" t="s">
        <v>1808</v>
      </c>
      <c r="AA48" s="29">
        <v>45897</v>
      </c>
      <c r="AB48" s="3" t="s">
        <v>218</v>
      </c>
      <c r="AC48" s="3" t="str">
        <f>VLOOKUP(A48,'[1]계산서(25하-대전)'!W$4:AI$150,2,FALSE)</f>
        <v>rmaqlc1479@daum.net</v>
      </c>
      <c r="AD48" s="29">
        <f>VLOOKUP(A48,'[1]계산서(25하-대전)'!W$4:AI$150,3,FALSE)</f>
        <v>45876</v>
      </c>
      <c r="AE48" s="3">
        <f t="shared" si="0"/>
        <v>600000</v>
      </c>
      <c r="AF48" s="3">
        <f>VLOOKUP(A48,'[1]계산서(25하-대전)'!W$4:AI$150,4,FALSE)</f>
        <v>200000</v>
      </c>
      <c r="AG48" s="3">
        <f>VLOOKUP(A48,'[1]계산서(25하-대전)'!W$4:AI$150,5,FALSE)</f>
        <v>400000</v>
      </c>
      <c r="AH48" s="3">
        <f t="shared" si="1"/>
        <v>600000</v>
      </c>
      <c r="AI48" s="29">
        <f>VLOOKUP(A48,'[1]계산서(25하-대전)'!W$4:AI$150,8,FALSE)</f>
        <v>45877</v>
      </c>
      <c r="AJ48" s="3">
        <f>VLOOKUP(A48,'[1]계산서(25하-대전)'!W$4:AI$150,9,FALSE)</f>
        <v>200000</v>
      </c>
      <c r="AK48" s="29">
        <f>VLOOKUP(A48,'[1]계산서(25하-대전)'!W$4:AI$150,10,FALSE)</f>
        <v>45919</v>
      </c>
      <c r="AL48" s="3">
        <f>VLOOKUP(A48,'[1]계산서(25하-대전)'!W$4:AI$150,11,FALSE)</f>
        <v>400000</v>
      </c>
      <c r="AM48" s="3">
        <f>VLOOKUP(A48,'[1]계산서(25하-대전)'!W$4:AI$150,13,FALSE)</f>
        <v>0</v>
      </c>
    </row>
    <row r="49" spans="1:39" x14ac:dyDescent="0.3">
      <c r="A49" s="28" t="s">
        <v>1809</v>
      </c>
      <c r="B49" s="3">
        <v>2025</v>
      </c>
      <c r="C49" s="3" t="s">
        <v>2871</v>
      </c>
      <c r="D49" s="3" t="s">
        <v>94</v>
      </c>
      <c r="E49" s="3" t="s">
        <v>3533</v>
      </c>
      <c r="F49" s="3" t="s">
        <v>3186</v>
      </c>
      <c r="G49" s="12">
        <v>47</v>
      </c>
      <c r="H49" s="12" t="s">
        <v>486</v>
      </c>
      <c r="I49" s="29">
        <v>45875</v>
      </c>
      <c r="J49" s="29">
        <v>45875</v>
      </c>
      <c r="L49" s="3" t="s">
        <v>46</v>
      </c>
      <c r="M49" s="3" t="s">
        <v>3533</v>
      </c>
      <c r="N49" s="3" t="s">
        <v>1811</v>
      </c>
      <c r="O49" s="3">
        <v>7</v>
      </c>
      <c r="P49" s="3">
        <v>3140169550</v>
      </c>
      <c r="Q49" s="3" t="s">
        <v>3187</v>
      </c>
      <c r="R49" s="3" t="s">
        <v>1812</v>
      </c>
      <c r="T49" s="3" t="s">
        <v>1813</v>
      </c>
      <c r="U49" s="3" t="s">
        <v>1814</v>
      </c>
      <c r="V49" s="3" t="s">
        <v>1815</v>
      </c>
      <c r="W49" s="3" t="s">
        <v>1816</v>
      </c>
      <c r="X49" s="3" t="s">
        <v>66</v>
      </c>
      <c r="Y49" s="3" t="s">
        <v>1817</v>
      </c>
      <c r="Z49" s="3" t="s">
        <v>1818</v>
      </c>
      <c r="AA49" s="29">
        <v>45897</v>
      </c>
      <c r="AB49" s="3" t="s">
        <v>218</v>
      </c>
      <c r="AC49" s="3" t="str">
        <f>VLOOKUP(A49,'[1]계산서(25하-대전)'!W$4:AI$150,2,FALSE)</f>
        <v>liftcha@hanmail,net</v>
      </c>
      <c r="AD49" s="29">
        <f>VLOOKUP(A49,'[1]계산서(25하-대전)'!W$4:AI$150,3,FALSE)</f>
        <v>45876</v>
      </c>
      <c r="AE49" s="3">
        <f t="shared" si="0"/>
        <v>600000</v>
      </c>
      <c r="AF49" s="3">
        <f>VLOOKUP(A49,'[1]계산서(25하-대전)'!W$4:AI$150,4,FALSE)</f>
        <v>200000</v>
      </c>
      <c r="AG49" s="3">
        <f>VLOOKUP(A49,'[1]계산서(25하-대전)'!W$4:AI$150,5,FALSE)</f>
        <v>400000</v>
      </c>
      <c r="AH49" s="3">
        <f t="shared" si="1"/>
        <v>600000</v>
      </c>
      <c r="AI49" s="29">
        <f>VLOOKUP(A49,'[1]계산서(25하-대전)'!W$4:AI$150,8,FALSE)</f>
        <v>45905</v>
      </c>
      <c r="AJ49" s="3">
        <f>VLOOKUP(A49,'[1]계산서(25하-대전)'!W$4:AI$150,9,FALSE)</f>
        <v>200000</v>
      </c>
      <c r="AK49" s="29">
        <f>VLOOKUP(A49,'[1]계산서(25하-대전)'!W$4:AI$150,10,FALSE)</f>
        <v>45919</v>
      </c>
      <c r="AL49" s="3">
        <f>VLOOKUP(A49,'[1]계산서(25하-대전)'!W$4:AI$150,11,FALSE)</f>
        <v>400000</v>
      </c>
      <c r="AM49" s="3">
        <f>VLOOKUP(A49,'[1]계산서(25하-대전)'!W$4:AI$150,13,FALSE)</f>
        <v>0</v>
      </c>
    </row>
    <row r="50" spans="1:39" x14ac:dyDescent="0.3">
      <c r="A50" s="28" t="s">
        <v>1819</v>
      </c>
      <c r="B50" s="3">
        <v>2025</v>
      </c>
      <c r="C50" s="3" t="s">
        <v>2871</v>
      </c>
      <c r="D50" s="3" t="s">
        <v>94</v>
      </c>
      <c r="E50" s="3" t="s">
        <v>3533</v>
      </c>
      <c r="F50" s="3" t="s">
        <v>3188</v>
      </c>
      <c r="G50" s="12">
        <v>48</v>
      </c>
      <c r="H50" s="12" t="s">
        <v>498</v>
      </c>
      <c r="I50" s="29">
        <v>45875</v>
      </c>
      <c r="J50" s="29">
        <v>45875</v>
      </c>
      <c r="L50" s="3" t="s">
        <v>218</v>
      </c>
      <c r="M50" s="3" t="s">
        <v>3533</v>
      </c>
      <c r="N50" s="3" t="s">
        <v>1821</v>
      </c>
      <c r="O50" s="3">
        <v>7</v>
      </c>
      <c r="P50" s="3">
        <v>4274100625</v>
      </c>
      <c r="Q50" s="3" t="s">
        <v>3189</v>
      </c>
      <c r="R50" s="3" t="s">
        <v>1822</v>
      </c>
      <c r="T50" s="3" t="s">
        <v>1804</v>
      </c>
      <c r="U50" s="3" t="s">
        <v>1823</v>
      </c>
      <c r="V50" s="3" t="s">
        <v>1824</v>
      </c>
      <c r="W50" s="3" t="s">
        <v>1825</v>
      </c>
      <c r="X50" s="3" t="s">
        <v>1594</v>
      </c>
      <c r="Y50" s="3" t="s">
        <v>1826</v>
      </c>
      <c r="Z50" s="3" t="s">
        <v>1827</v>
      </c>
      <c r="AA50" s="29">
        <v>45897</v>
      </c>
      <c r="AB50" s="3" t="s">
        <v>218</v>
      </c>
      <c r="AC50" s="3" t="str">
        <f>VLOOKUP(A50,'[1]계산서(25하-대전)'!W$4:AI$150,2,FALSE)</f>
        <v>kjs-motors@daum.net</v>
      </c>
      <c r="AD50" s="29">
        <f>VLOOKUP(A50,'[1]계산서(25하-대전)'!W$4:AI$150,3,FALSE)</f>
        <v>45876</v>
      </c>
      <c r="AE50" s="3">
        <f t="shared" si="0"/>
        <v>600000</v>
      </c>
      <c r="AF50" s="3">
        <f>VLOOKUP(A50,'[1]계산서(25하-대전)'!W$4:AI$150,4,FALSE)</f>
        <v>200000</v>
      </c>
      <c r="AG50" s="3">
        <f>VLOOKUP(A50,'[1]계산서(25하-대전)'!W$4:AI$150,5,FALSE)</f>
        <v>400000</v>
      </c>
      <c r="AH50" s="3">
        <f t="shared" si="1"/>
        <v>600000</v>
      </c>
      <c r="AI50" s="29">
        <f>VLOOKUP(A50,'[1]계산서(25하-대전)'!W$4:AI$150,8,FALSE)</f>
        <v>45897</v>
      </c>
      <c r="AJ50" s="3">
        <f>VLOOKUP(A50,'[1]계산서(25하-대전)'!W$4:AI$150,9,FALSE)</f>
        <v>200000</v>
      </c>
      <c r="AK50" s="29">
        <f>VLOOKUP(A50,'[1]계산서(25하-대전)'!W$4:AI$150,10,FALSE)</f>
        <v>45919</v>
      </c>
      <c r="AL50" s="3">
        <f>VLOOKUP(A50,'[1]계산서(25하-대전)'!W$4:AI$150,11,FALSE)</f>
        <v>400000</v>
      </c>
      <c r="AM50" s="3">
        <f>VLOOKUP(A50,'[1]계산서(25하-대전)'!W$4:AI$150,13,FALSE)</f>
        <v>0</v>
      </c>
    </row>
    <row r="51" spans="1:39" x14ac:dyDescent="0.3">
      <c r="A51" s="28" t="s">
        <v>1847</v>
      </c>
      <c r="B51" s="3">
        <v>2025</v>
      </c>
      <c r="C51" s="3" t="s">
        <v>2871</v>
      </c>
      <c r="D51" s="3" t="s">
        <v>94</v>
      </c>
      <c r="E51" s="3" t="s">
        <v>3533</v>
      </c>
      <c r="F51" s="3" t="s">
        <v>3190</v>
      </c>
      <c r="G51" s="12">
        <v>49</v>
      </c>
      <c r="H51" s="12" t="s">
        <v>506</v>
      </c>
      <c r="I51" s="29">
        <v>45876</v>
      </c>
      <c r="J51" s="29">
        <v>45876</v>
      </c>
      <c r="L51" s="3" t="s">
        <v>61</v>
      </c>
      <c r="M51" s="3" t="s">
        <v>3533</v>
      </c>
      <c r="N51" s="3" t="s">
        <v>1849</v>
      </c>
      <c r="O51" s="3">
        <v>10</v>
      </c>
      <c r="P51" s="3">
        <v>3142451985</v>
      </c>
      <c r="Q51" s="3" t="s">
        <v>3191</v>
      </c>
      <c r="R51" s="3" t="s">
        <v>1850</v>
      </c>
      <c r="T51" s="3" t="s">
        <v>1851</v>
      </c>
      <c r="U51" s="3" t="s">
        <v>1852</v>
      </c>
      <c r="V51" s="3" t="s">
        <v>1853</v>
      </c>
      <c r="W51" s="3" t="s">
        <v>1854</v>
      </c>
      <c r="Y51" s="3" t="s">
        <v>1855</v>
      </c>
      <c r="Z51" s="3" t="s">
        <v>1856</v>
      </c>
      <c r="AA51" s="29">
        <v>45903</v>
      </c>
      <c r="AB51" s="3" t="s">
        <v>181</v>
      </c>
      <c r="AC51" s="3" t="str">
        <f>VLOOKUP(A51,'[1]계산서(25하-대전)'!W$4:AI$150,2,FALSE)</f>
        <v>dh20110714@daum.net</v>
      </c>
      <c r="AD51" s="29">
        <f>VLOOKUP(A51,'[1]계산서(25하-대전)'!W$4:AI$150,3,FALSE)</f>
        <v>45877</v>
      </c>
      <c r="AE51" s="3">
        <f t="shared" si="0"/>
        <v>600000</v>
      </c>
      <c r="AF51" s="3">
        <f>VLOOKUP(A51,'[1]계산서(25하-대전)'!W$4:AI$150,4,FALSE)</f>
        <v>200000</v>
      </c>
      <c r="AG51" s="3">
        <f>VLOOKUP(A51,'[1]계산서(25하-대전)'!W$4:AI$150,5,FALSE)</f>
        <v>400000</v>
      </c>
      <c r="AH51" s="3">
        <f t="shared" si="1"/>
        <v>600000</v>
      </c>
      <c r="AI51" s="29">
        <f>VLOOKUP(A51,'[1]계산서(25하-대전)'!W$4:AI$150,8,FALSE)</f>
        <v>45877</v>
      </c>
      <c r="AJ51" s="3">
        <f>VLOOKUP(A51,'[1]계산서(25하-대전)'!W$4:AI$150,9,FALSE)</f>
        <v>200000</v>
      </c>
      <c r="AK51" s="29">
        <f>VLOOKUP(A51,'[1]계산서(25하-대전)'!W$4:AI$150,10,FALSE)</f>
        <v>45919</v>
      </c>
      <c r="AL51" s="3">
        <f>VLOOKUP(A51,'[1]계산서(25하-대전)'!W$4:AI$150,11,FALSE)</f>
        <v>400000</v>
      </c>
      <c r="AM51" s="3">
        <f>VLOOKUP(A51,'[1]계산서(25하-대전)'!W$4:AI$150,13,FALSE)</f>
        <v>0</v>
      </c>
    </row>
    <row r="52" spans="1:39" x14ac:dyDescent="0.3">
      <c r="A52" s="28" t="s">
        <v>1857</v>
      </c>
      <c r="B52" s="3">
        <v>2025</v>
      </c>
      <c r="C52" s="3" t="s">
        <v>2871</v>
      </c>
      <c r="D52" s="3" t="s">
        <v>94</v>
      </c>
      <c r="E52" s="3" t="s">
        <v>3533</v>
      </c>
      <c r="F52" s="3" t="s">
        <v>3192</v>
      </c>
      <c r="G52" s="12">
        <v>50</v>
      </c>
      <c r="H52" s="12" t="s">
        <v>506</v>
      </c>
      <c r="I52" s="29">
        <v>45876</v>
      </c>
      <c r="J52" s="29">
        <v>45876</v>
      </c>
      <c r="L52" s="3" t="s">
        <v>97</v>
      </c>
      <c r="M52" s="3" t="s">
        <v>3533</v>
      </c>
      <c r="N52" s="3" t="s">
        <v>1859</v>
      </c>
      <c r="O52" s="3">
        <v>2</v>
      </c>
      <c r="P52" s="3">
        <v>5554400256</v>
      </c>
      <c r="Q52" s="3" t="s">
        <v>3193</v>
      </c>
      <c r="R52" s="3" t="s">
        <v>1860</v>
      </c>
      <c r="T52" s="3" t="s">
        <v>1861</v>
      </c>
      <c r="U52" s="3" t="s">
        <v>1862</v>
      </c>
      <c r="V52" s="3" t="s">
        <v>1863</v>
      </c>
      <c r="W52" s="3" t="s">
        <v>1860</v>
      </c>
      <c r="X52" s="3" t="s">
        <v>78</v>
      </c>
      <c r="Y52" s="3" t="s">
        <v>1864</v>
      </c>
      <c r="Z52" s="3" t="s">
        <v>1865</v>
      </c>
      <c r="AA52" s="29">
        <v>45903</v>
      </c>
      <c r="AB52" s="3" t="s">
        <v>181</v>
      </c>
      <c r="AC52" s="3" t="str">
        <f>VLOOKUP(A52,'[1]계산서(25하-대전)'!W$4:AI$150,2,FALSE)</f>
        <v>jgw7226@naver.com</v>
      </c>
      <c r="AD52" s="29">
        <f>VLOOKUP(A52,'[1]계산서(25하-대전)'!W$4:AI$150,3,FALSE)</f>
        <v>45877</v>
      </c>
      <c r="AE52" s="3">
        <f t="shared" si="0"/>
        <v>600000</v>
      </c>
      <c r="AF52" s="3">
        <f>VLOOKUP(A52,'[1]계산서(25하-대전)'!W$4:AI$150,4,FALSE)</f>
        <v>200000</v>
      </c>
      <c r="AG52" s="3">
        <f>VLOOKUP(A52,'[1]계산서(25하-대전)'!W$4:AI$150,5,FALSE)</f>
        <v>400000</v>
      </c>
      <c r="AH52" s="3">
        <f t="shared" si="1"/>
        <v>600000</v>
      </c>
      <c r="AI52" s="29">
        <f>VLOOKUP(A52,'[1]계산서(25하-대전)'!W$4:AI$150,8,FALSE)</f>
        <v>46007</v>
      </c>
      <c r="AJ52" s="3">
        <f>VLOOKUP(A52,'[1]계산서(25하-대전)'!W$4:AI$150,9,FALSE)</f>
        <v>200000</v>
      </c>
      <c r="AK52" s="29">
        <f>VLOOKUP(A52,'[1]계산서(25하-대전)'!W$4:AI$150,10,FALSE)</f>
        <v>45919</v>
      </c>
      <c r="AL52" s="3">
        <f>VLOOKUP(A52,'[1]계산서(25하-대전)'!W$4:AI$150,11,FALSE)</f>
        <v>400000</v>
      </c>
      <c r="AM52" s="3">
        <f>VLOOKUP(A52,'[1]계산서(25하-대전)'!W$4:AI$150,13,FALSE)</f>
        <v>0</v>
      </c>
    </row>
    <row r="53" spans="1:39" x14ac:dyDescent="0.3">
      <c r="A53" s="28" t="s">
        <v>2294</v>
      </c>
      <c r="B53" s="3">
        <v>2025</v>
      </c>
      <c r="C53" s="3" t="s">
        <v>2871</v>
      </c>
      <c r="D53" s="3" t="s">
        <v>94</v>
      </c>
      <c r="E53" s="3" t="s">
        <v>3533</v>
      </c>
      <c r="F53" s="3" t="s">
        <v>3194</v>
      </c>
      <c r="G53" s="12">
        <v>51</v>
      </c>
      <c r="H53" s="12" t="s">
        <v>517</v>
      </c>
      <c r="I53" s="29">
        <v>45876</v>
      </c>
      <c r="J53" s="29">
        <v>45876</v>
      </c>
      <c r="L53" s="3" t="s">
        <v>181</v>
      </c>
      <c r="M53" s="3" t="s">
        <v>3533</v>
      </c>
      <c r="N53" s="3" t="s">
        <v>2297</v>
      </c>
      <c r="O53" s="3">
        <v>7</v>
      </c>
      <c r="P53" s="3">
        <v>3080333274</v>
      </c>
      <c r="Q53" s="3" t="s">
        <v>3195</v>
      </c>
      <c r="R53" s="3" t="s">
        <v>2298</v>
      </c>
      <c r="T53" s="3" t="s">
        <v>2299</v>
      </c>
      <c r="U53" s="3" t="s">
        <v>2300</v>
      </c>
      <c r="V53" s="3" t="s">
        <v>2301</v>
      </c>
      <c r="W53" s="3" t="s">
        <v>2298</v>
      </c>
      <c r="X53" s="3" t="s">
        <v>78</v>
      </c>
      <c r="Y53" s="3" t="s">
        <v>2302</v>
      </c>
      <c r="Z53" s="3" t="s">
        <v>2303</v>
      </c>
      <c r="AA53" s="29">
        <v>45903</v>
      </c>
      <c r="AB53" s="3" t="s">
        <v>181</v>
      </c>
      <c r="AC53" s="3" t="str">
        <f>VLOOKUP(A53,'[1]계산서(25하-대전)'!W$4:AI$150,2,FALSE)</f>
        <v>sbtjsdn@naver.com</v>
      </c>
      <c r="AD53" s="29">
        <f>VLOOKUP(A53,'[1]계산서(25하-대전)'!W$4:AI$150,3,FALSE)</f>
        <v>45877</v>
      </c>
      <c r="AE53" s="3">
        <f t="shared" si="0"/>
        <v>600000</v>
      </c>
      <c r="AF53" s="3">
        <f>VLOOKUP(A53,'[1]계산서(25하-대전)'!W$4:AI$150,4,FALSE)</f>
        <v>200000</v>
      </c>
      <c r="AG53" s="3">
        <f>VLOOKUP(A53,'[1]계산서(25하-대전)'!W$4:AI$150,5,FALSE)</f>
        <v>400000</v>
      </c>
      <c r="AH53" s="3">
        <f t="shared" si="1"/>
        <v>600000</v>
      </c>
      <c r="AI53" s="29">
        <f>VLOOKUP(A53,'[1]계산서(25하-대전)'!W$4:AI$150,8,FALSE)</f>
        <v>45877</v>
      </c>
      <c r="AJ53" s="3">
        <f>VLOOKUP(A53,'[1]계산서(25하-대전)'!W$4:AI$150,9,FALSE)</f>
        <v>200000</v>
      </c>
      <c r="AK53" s="29">
        <f>VLOOKUP(A53,'[1]계산서(25하-대전)'!W$4:AI$150,10,FALSE)</f>
        <v>45919</v>
      </c>
      <c r="AL53" s="3">
        <f>VLOOKUP(A53,'[1]계산서(25하-대전)'!W$4:AI$150,11,FALSE)</f>
        <v>400000</v>
      </c>
      <c r="AM53" s="3">
        <f>VLOOKUP(A53,'[1]계산서(25하-대전)'!W$4:AI$150,13,FALSE)</f>
        <v>0</v>
      </c>
    </row>
    <row r="54" spans="1:39" x14ac:dyDescent="0.3">
      <c r="A54" s="28" t="s">
        <v>1586</v>
      </c>
      <c r="B54" s="3">
        <v>2025</v>
      </c>
      <c r="C54" s="3" t="s">
        <v>2871</v>
      </c>
      <c r="D54" s="3" t="s">
        <v>94</v>
      </c>
      <c r="E54" s="3" t="s">
        <v>3533</v>
      </c>
      <c r="F54" s="3" t="s">
        <v>3196</v>
      </c>
      <c r="G54" s="12">
        <v>52</v>
      </c>
      <c r="H54" s="12" t="s">
        <v>528</v>
      </c>
      <c r="I54" s="29">
        <v>45876</v>
      </c>
      <c r="J54" s="29">
        <v>45876</v>
      </c>
      <c r="L54" s="3" t="s">
        <v>73</v>
      </c>
      <c r="M54" s="3" t="s">
        <v>3533</v>
      </c>
      <c r="N54" s="3" t="s">
        <v>1588</v>
      </c>
      <c r="O54" s="3">
        <v>10</v>
      </c>
      <c r="P54" s="3">
        <v>3142266015</v>
      </c>
      <c r="Q54" s="3" t="s">
        <v>3197</v>
      </c>
      <c r="R54" s="3" t="s">
        <v>1589</v>
      </c>
      <c r="T54" s="3" t="s">
        <v>1590</v>
      </c>
      <c r="U54" s="3" t="s">
        <v>1591</v>
      </c>
      <c r="V54" s="3" t="s">
        <v>1592</v>
      </c>
      <c r="W54" s="3" t="s">
        <v>1593</v>
      </c>
      <c r="X54" s="3" t="s">
        <v>1594</v>
      </c>
      <c r="Y54" s="3" t="s">
        <v>1595</v>
      </c>
      <c r="Z54" s="3" t="s">
        <v>1596</v>
      </c>
      <c r="AA54" s="29">
        <v>45897</v>
      </c>
      <c r="AB54" s="3" t="s">
        <v>218</v>
      </c>
      <c r="AC54" s="3" t="str">
        <f>VLOOKUP(A54,'[1]계산서(25하-대전)'!W$4:AI$150,2,FALSE)</f>
        <v>oho0322@naver.com</v>
      </c>
      <c r="AD54" s="29">
        <f>VLOOKUP(A54,'[1]계산서(25하-대전)'!W$4:AI$150,3,FALSE)</f>
        <v>45877</v>
      </c>
      <c r="AE54" s="3">
        <f t="shared" si="0"/>
        <v>600000</v>
      </c>
      <c r="AF54" s="3">
        <f>VLOOKUP(A54,'[1]계산서(25하-대전)'!W$4:AI$150,4,FALSE)</f>
        <v>200000</v>
      </c>
      <c r="AG54" s="3">
        <f>VLOOKUP(A54,'[1]계산서(25하-대전)'!W$4:AI$150,5,FALSE)</f>
        <v>400000</v>
      </c>
      <c r="AH54" s="3">
        <f t="shared" si="1"/>
        <v>600000</v>
      </c>
      <c r="AI54" s="29">
        <f>VLOOKUP(A54,'[1]계산서(25하-대전)'!W$4:AI$150,8,FALSE)</f>
        <v>45916</v>
      </c>
      <c r="AJ54" s="3">
        <f>VLOOKUP(A54,'[1]계산서(25하-대전)'!W$4:AI$150,9,FALSE)</f>
        <v>200000</v>
      </c>
      <c r="AK54" s="29">
        <f>VLOOKUP(A54,'[1]계산서(25하-대전)'!W$4:AI$150,10,FALSE)</f>
        <v>45919</v>
      </c>
      <c r="AL54" s="3">
        <f>VLOOKUP(A54,'[1]계산서(25하-대전)'!W$4:AI$150,11,FALSE)</f>
        <v>400000</v>
      </c>
      <c r="AM54" s="3">
        <f>VLOOKUP(A54,'[1]계산서(25하-대전)'!W$4:AI$150,13,FALSE)</f>
        <v>0</v>
      </c>
    </row>
    <row r="55" spans="1:39" x14ac:dyDescent="0.3">
      <c r="A55" s="28" t="s">
        <v>1597</v>
      </c>
      <c r="B55" s="3">
        <v>2025</v>
      </c>
      <c r="C55" s="3" t="s">
        <v>2871</v>
      </c>
      <c r="D55" s="3" t="s">
        <v>94</v>
      </c>
      <c r="E55" s="3" t="s">
        <v>3533</v>
      </c>
      <c r="F55" s="3" t="s">
        <v>3198</v>
      </c>
      <c r="G55" s="12">
        <v>53</v>
      </c>
      <c r="H55" s="12" t="s">
        <v>538</v>
      </c>
      <c r="I55" s="29">
        <v>45876</v>
      </c>
      <c r="J55" s="29">
        <v>45876</v>
      </c>
      <c r="L55" s="3" t="s">
        <v>46</v>
      </c>
      <c r="M55" s="3" t="s">
        <v>3533</v>
      </c>
      <c r="N55" s="3" t="s">
        <v>1599</v>
      </c>
      <c r="O55" s="3">
        <v>5</v>
      </c>
      <c r="P55" s="3">
        <v>7428601937</v>
      </c>
      <c r="Q55" s="3" t="s">
        <v>3199</v>
      </c>
      <c r="R55" s="3" t="s">
        <v>1600</v>
      </c>
      <c r="T55" s="3" t="s">
        <v>1579</v>
      </c>
      <c r="U55" s="3" t="s">
        <v>1601</v>
      </c>
      <c r="V55" s="3" t="s">
        <v>1602</v>
      </c>
      <c r="W55" s="3" t="s">
        <v>1600</v>
      </c>
      <c r="X55" s="3" t="s">
        <v>78</v>
      </c>
      <c r="Y55" s="3" t="s">
        <v>1603</v>
      </c>
      <c r="Z55" s="3" t="s">
        <v>1604</v>
      </c>
      <c r="AA55" s="29">
        <v>45897</v>
      </c>
      <c r="AB55" s="3" t="s">
        <v>218</v>
      </c>
      <c r="AC55" s="3" t="str">
        <f>VLOOKUP(A55,'[1]계산서(25하-대전)'!W$4:AI$150,2,FALSE)</f>
        <v>kcy4130@naver.com</v>
      </c>
      <c r="AD55" s="29">
        <f>VLOOKUP(A55,'[1]계산서(25하-대전)'!W$4:AI$150,3,FALSE)</f>
        <v>45877</v>
      </c>
      <c r="AE55" s="3">
        <f t="shared" si="0"/>
        <v>600000</v>
      </c>
      <c r="AF55" s="3">
        <f>VLOOKUP(A55,'[1]계산서(25하-대전)'!W$4:AI$150,4,FALSE)</f>
        <v>200000</v>
      </c>
      <c r="AG55" s="3">
        <f>VLOOKUP(A55,'[1]계산서(25하-대전)'!W$4:AI$150,5,FALSE)</f>
        <v>400000</v>
      </c>
      <c r="AH55" s="3">
        <f t="shared" si="1"/>
        <v>600000</v>
      </c>
      <c r="AI55" s="29">
        <f>VLOOKUP(A55,'[1]계산서(25하-대전)'!W$4:AI$150,8,FALSE)</f>
        <v>45897</v>
      </c>
      <c r="AJ55" s="3">
        <f>VLOOKUP(A55,'[1]계산서(25하-대전)'!W$4:AI$150,9,FALSE)</f>
        <v>200000</v>
      </c>
      <c r="AK55" s="29">
        <f>VLOOKUP(A55,'[1]계산서(25하-대전)'!W$4:AI$150,10,FALSE)</f>
        <v>45919</v>
      </c>
      <c r="AL55" s="3">
        <f>VLOOKUP(A55,'[1]계산서(25하-대전)'!W$4:AI$150,11,FALSE)</f>
        <v>400000</v>
      </c>
      <c r="AM55" s="3">
        <f>VLOOKUP(A55,'[1]계산서(25하-대전)'!W$4:AI$150,13,FALSE)</f>
        <v>0</v>
      </c>
    </row>
    <row r="56" spans="1:39" x14ac:dyDescent="0.3">
      <c r="A56" s="28" t="s">
        <v>2246</v>
      </c>
      <c r="B56" s="3">
        <v>2025</v>
      </c>
      <c r="C56" s="3" t="s">
        <v>2871</v>
      </c>
      <c r="D56" s="3" t="s">
        <v>94</v>
      </c>
      <c r="E56" s="3" t="s">
        <v>3533</v>
      </c>
      <c r="F56" s="3" t="s">
        <v>3200</v>
      </c>
      <c r="G56" s="12">
        <v>54</v>
      </c>
      <c r="H56" s="12" t="s">
        <v>546</v>
      </c>
      <c r="I56" s="29">
        <v>45876</v>
      </c>
      <c r="J56" s="29">
        <v>45876</v>
      </c>
      <c r="L56" s="3" t="s">
        <v>218</v>
      </c>
      <c r="M56" s="3" t="s">
        <v>3533</v>
      </c>
      <c r="N56" s="3" t="s">
        <v>2248</v>
      </c>
      <c r="O56" s="3">
        <v>12</v>
      </c>
      <c r="P56" s="3">
        <v>3148624512</v>
      </c>
      <c r="Q56" s="3" t="s">
        <v>3201</v>
      </c>
      <c r="R56" s="3" t="s">
        <v>2249</v>
      </c>
      <c r="T56" s="3" t="s">
        <v>2250</v>
      </c>
      <c r="U56" s="3" t="s">
        <v>2251</v>
      </c>
      <c r="V56" s="3" t="s">
        <v>2252</v>
      </c>
      <c r="W56" s="3" t="s">
        <v>2253</v>
      </c>
      <c r="X56" s="3" t="s">
        <v>1388</v>
      </c>
      <c r="Y56" s="3" t="s">
        <v>2254</v>
      </c>
      <c r="Z56" s="3" t="s">
        <v>2255</v>
      </c>
      <c r="AA56" s="29">
        <v>45897</v>
      </c>
      <c r="AB56" s="3" t="s">
        <v>218</v>
      </c>
      <c r="AC56" s="3" t="str">
        <f>VLOOKUP(A56,'[1]계산서(25하-대전)'!W$4:AI$150,2,FALSE)</f>
        <v>daejin24512@hanmail.net</v>
      </c>
      <c r="AD56" s="29">
        <f>VLOOKUP(A56,'[1]계산서(25하-대전)'!W$4:AI$150,3,FALSE)</f>
        <v>45877</v>
      </c>
      <c r="AE56" s="3">
        <f t="shared" si="0"/>
        <v>600000</v>
      </c>
      <c r="AF56" s="3">
        <f>VLOOKUP(A56,'[1]계산서(25하-대전)'!W$4:AI$150,4,FALSE)</f>
        <v>200000</v>
      </c>
      <c r="AG56" s="3">
        <f>VLOOKUP(A56,'[1]계산서(25하-대전)'!W$4:AI$150,5,FALSE)</f>
        <v>400000</v>
      </c>
      <c r="AH56" s="3">
        <f t="shared" si="1"/>
        <v>600000</v>
      </c>
      <c r="AI56" s="29">
        <f>VLOOKUP(A56,'[1]계산서(25하-대전)'!W$4:AI$150,8,FALSE)</f>
        <v>46006</v>
      </c>
      <c r="AJ56" s="3">
        <f>VLOOKUP(A56,'[1]계산서(25하-대전)'!W$4:AI$150,9,FALSE)</f>
        <v>200000</v>
      </c>
      <c r="AK56" s="29">
        <f>VLOOKUP(A56,'[1]계산서(25하-대전)'!W$4:AI$150,10,FALSE)</f>
        <v>45919</v>
      </c>
      <c r="AL56" s="3">
        <f>VLOOKUP(A56,'[1]계산서(25하-대전)'!W$4:AI$150,11,FALSE)</f>
        <v>400000</v>
      </c>
      <c r="AM56" s="3">
        <f>VLOOKUP(A56,'[1]계산서(25하-대전)'!W$4:AI$150,13,FALSE)</f>
        <v>0</v>
      </c>
    </row>
    <row r="57" spans="1:39" x14ac:dyDescent="0.3">
      <c r="A57" s="28" t="s">
        <v>2008</v>
      </c>
      <c r="B57" s="3">
        <v>2025</v>
      </c>
      <c r="C57" s="3" t="s">
        <v>2871</v>
      </c>
      <c r="D57" s="3" t="s">
        <v>94</v>
      </c>
      <c r="E57" s="3" t="s">
        <v>3533</v>
      </c>
      <c r="F57" s="3" t="s">
        <v>3202</v>
      </c>
      <c r="G57" s="12">
        <v>55</v>
      </c>
      <c r="H57" s="12" t="s">
        <v>546</v>
      </c>
      <c r="I57" s="29">
        <v>45877</v>
      </c>
      <c r="J57" s="29">
        <v>45877</v>
      </c>
      <c r="L57" s="3" t="s">
        <v>61</v>
      </c>
      <c r="M57" s="3" t="s">
        <v>3533</v>
      </c>
      <c r="N57" s="3" t="s">
        <v>2010</v>
      </c>
      <c r="O57" s="3">
        <v>3</v>
      </c>
      <c r="P57" s="3">
        <v>6520601379</v>
      </c>
      <c r="Q57" s="3" t="s">
        <v>3203</v>
      </c>
      <c r="R57" s="3" t="s">
        <v>2011</v>
      </c>
      <c r="T57" s="3" t="s">
        <v>2012</v>
      </c>
      <c r="U57" s="3" t="s">
        <v>2013</v>
      </c>
      <c r="V57" s="3" t="s">
        <v>2014</v>
      </c>
      <c r="W57" s="3" t="s">
        <v>2011</v>
      </c>
      <c r="X57" s="3" t="s">
        <v>1425</v>
      </c>
      <c r="Y57" s="3" t="s">
        <v>2015</v>
      </c>
      <c r="Z57" s="3" t="s">
        <v>2016</v>
      </c>
      <c r="AA57" s="29"/>
      <c r="AC57" s="3" t="str">
        <f>VLOOKUP(A57,'[1]계산서(25하-대전)'!W$4:AI$150,2,FALSE)</f>
        <v>mimimi3281@hanmail.net</v>
      </c>
      <c r="AD57" s="29">
        <f>VLOOKUP(A57,'[1]계산서(25하-대전)'!W$4:AI$150,3,FALSE)</f>
        <v>45880</v>
      </c>
      <c r="AE57" s="3">
        <f t="shared" si="0"/>
        <v>600000</v>
      </c>
      <c r="AF57" s="3">
        <f>VLOOKUP(A57,'[1]계산서(25하-대전)'!W$4:AI$150,4,FALSE)</f>
        <v>200000</v>
      </c>
      <c r="AG57" s="3">
        <f>VLOOKUP(A57,'[1]계산서(25하-대전)'!W$4:AI$150,5,FALSE)</f>
        <v>400000</v>
      </c>
      <c r="AH57" s="3">
        <f t="shared" si="1"/>
        <v>400000</v>
      </c>
      <c r="AI57" s="29"/>
      <c r="AJ57" s="3">
        <f>VLOOKUP(A57,'[1]계산서(25하-대전)'!W$4:AI$150,9,FALSE)</f>
        <v>0</v>
      </c>
      <c r="AK57" s="29">
        <f>VLOOKUP(A57,'[1]계산서(25하-대전)'!W$4:AI$150,10,FALSE)</f>
        <v>45919</v>
      </c>
      <c r="AL57" s="3">
        <f>VLOOKUP(A57,'[1]계산서(25하-대전)'!W$4:AI$150,11,FALSE)</f>
        <v>400000</v>
      </c>
      <c r="AM57" s="3">
        <f>VLOOKUP(A57,'[1]계산서(25하-대전)'!W$4:AI$150,13,FALSE)</f>
        <v>0</v>
      </c>
    </row>
    <row r="58" spans="1:39" x14ac:dyDescent="0.3">
      <c r="A58" s="28" t="s">
        <v>1998</v>
      </c>
      <c r="B58" s="3">
        <v>2025</v>
      </c>
      <c r="C58" s="3" t="s">
        <v>2871</v>
      </c>
      <c r="D58" s="3" t="s">
        <v>94</v>
      </c>
      <c r="E58" s="3" t="s">
        <v>3533</v>
      </c>
      <c r="F58" s="3" t="s">
        <v>3204</v>
      </c>
      <c r="G58" s="12">
        <v>56</v>
      </c>
      <c r="H58" s="12" t="s">
        <v>557</v>
      </c>
      <c r="I58" s="29">
        <v>45877</v>
      </c>
      <c r="J58" s="29">
        <v>45877</v>
      </c>
      <c r="L58" s="3" t="s">
        <v>97</v>
      </c>
      <c r="M58" s="3" t="s">
        <v>3533</v>
      </c>
      <c r="N58" s="3" t="s">
        <v>2000</v>
      </c>
      <c r="O58" s="3">
        <v>8</v>
      </c>
      <c r="P58" s="3">
        <v>4454100448</v>
      </c>
      <c r="Q58" s="3" t="s">
        <v>3205</v>
      </c>
      <c r="R58" s="3" t="s">
        <v>2001</v>
      </c>
      <c r="T58" s="3" t="s">
        <v>2002</v>
      </c>
      <c r="U58" s="3" t="s">
        <v>2003</v>
      </c>
      <c r="V58" s="3" t="s">
        <v>2004</v>
      </c>
      <c r="W58" s="3" t="s">
        <v>2005</v>
      </c>
      <c r="X58" s="3" t="s">
        <v>980</v>
      </c>
      <c r="Y58" s="3" t="s">
        <v>2006</v>
      </c>
      <c r="Z58" s="3" t="s">
        <v>2007</v>
      </c>
      <c r="AA58" s="29"/>
      <c r="AC58" s="3" t="str">
        <f>VLOOKUP(A58,'[1]계산서(25하-대전)'!W$4:AI$150,2,FALSE)</f>
        <v>song9852@nate.com</v>
      </c>
      <c r="AD58" s="29">
        <f>VLOOKUP(A58,'[1]계산서(25하-대전)'!W$4:AI$150,3,FALSE)</f>
        <v>45880</v>
      </c>
      <c r="AE58" s="3">
        <f t="shared" si="0"/>
        <v>600000</v>
      </c>
      <c r="AF58" s="3">
        <f>VLOOKUP(A58,'[1]계산서(25하-대전)'!W$4:AI$150,4,FALSE)</f>
        <v>200000</v>
      </c>
      <c r="AG58" s="3">
        <f>VLOOKUP(A58,'[1]계산서(25하-대전)'!W$4:AI$150,5,FALSE)</f>
        <v>400000</v>
      </c>
      <c r="AH58" s="3">
        <f t="shared" si="1"/>
        <v>600000</v>
      </c>
      <c r="AI58" s="29">
        <f>VLOOKUP(A58,'[1]계산서(25하-대전)'!W$4:AI$150,8,FALSE)</f>
        <v>45901</v>
      </c>
      <c r="AJ58" s="3">
        <f>VLOOKUP(A58,'[1]계산서(25하-대전)'!W$4:AI$150,9,FALSE)</f>
        <v>200000</v>
      </c>
      <c r="AK58" s="29">
        <f>VLOOKUP(A58,'[1]계산서(25하-대전)'!W$4:AI$150,10,FALSE)</f>
        <v>45919</v>
      </c>
      <c r="AL58" s="3">
        <f>VLOOKUP(A58,'[1]계산서(25하-대전)'!W$4:AI$150,11,FALSE)</f>
        <v>400000</v>
      </c>
      <c r="AM58" s="3">
        <f>VLOOKUP(A58,'[1]계산서(25하-대전)'!W$4:AI$150,13,FALSE)</f>
        <v>0</v>
      </c>
    </row>
    <row r="59" spans="1:39" x14ac:dyDescent="0.3">
      <c r="A59" s="28" t="s">
        <v>1951</v>
      </c>
      <c r="B59" s="3">
        <v>2025</v>
      </c>
      <c r="C59" s="3" t="s">
        <v>2871</v>
      </c>
      <c r="D59" s="3" t="s">
        <v>94</v>
      </c>
      <c r="E59" s="3" t="s">
        <v>3533</v>
      </c>
      <c r="F59" s="3" t="s">
        <v>3206</v>
      </c>
      <c r="G59" s="12">
        <v>57</v>
      </c>
      <c r="H59" s="12" t="s">
        <v>569</v>
      </c>
      <c r="I59" s="29">
        <v>45877</v>
      </c>
      <c r="J59" s="29">
        <v>45877</v>
      </c>
      <c r="L59" s="3" t="s">
        <v>181</v>
      </c>
      <c r="M59" s="3" t="s">
        <v>3533</v>
      </c>
      <c r="N59" s="3" t="s">
        <v>1953</v>
      </c>
      <c r="O59" s="3">
        <v>17</v>
      </c>
      <c r="P59" s="3">
        <v>3718703195</v>
      </c>
      <c r="Q59" s="3">
        <v>37187031950</v>
      </c>
      <c r="R59" s="3" t="s">
        <v>1954</v>
      </c>
      <c r="T59" s="3" t="s">
        <v>1955</v>
      </c>
      <c r="U59" s="3" t="s">
        <v>1956</v>
      </c>
      <c r="V59" s="3" t="s">
        <v>1957</v>
      </c>
      <c r="W59" s="3" t="s">
        <v>1958</v>
      </c>
      <c r="X59" s="3" t="s">
        <v>112</v>
      </c>
      <c r="Y59" s="3" t="s">
        <v>1959</v>
      </c>
      <c r="Z59" s="3" t="s">
        <v>1960</v>
      </c>
      <c r="AA59" s="29">
        <v>45903</v>
      </c>
      <c r="AB59" s="3" t="s">
        <v>181</v>
      </c>
      <c r="AC59" s="3" t="str">
        <f>VLOOKUP(A59,'[1]계산서(25하-대전)'!W$4:AI$150,2,FALSE)</f>
        <v>jsmotorsdj@naver.com</v>
      </c>
      <c r="AD59" s="29">
        <f>VLOOKUP(A59,'[1]계산서(25하-대전)'!W$4:AI$150,3,FALSE)</f>
        <v>45880</v>
      </c>
      <c r="AE59" s="3">
        <f t="shared" si="0"/>
        <v>600000</v>
      </c>
      <c r="AF59" s="3">
        <f>VLOOKUP(A59,'[1]계산서(25하-대전)'!W$4:AI$150,4,FALSE)</f>
        <v>200000</v>
      </c>
      <c r="AG59" s="3">
        <f>VLOOKUP(A59,'[1]계산서(25하-대전)'!W$4:AI$150,5,FALSE)</f>
        <v>400000</v>
      </c>
      <c r="AH59" s="3">
        <f t="shared" si="1"/>
        <v>400000</v>
      </c>
      <c r="AI59" s="29"/>
      <c r="AJ59" s="3">
        <f>VLOOKUP(A59,'[1]계산서(25하-대전)'!W$4:AI$150,9,FALSE)</f>
        <v>0</v>
      </c>
      <c r="AK59" s="29">
        <f>VLOOKUP(A59,'[1]계산서(25하-대전)'!W$4:AI$150,10,FALSE)</f>
        <v>45919</v>
      </c>
      <c r="AL59" s="3">
        <f>VLOOKUP(A59,'[1]계산서(25하-대전)'!W$4:AI$150,11,FALSE)</f>
        <v>400000</v>
      </c>
      <c r="AM59" s="3">
        <f>VLOOKUP(A59,'[1]계산서(25하-대전)'!W$4:AI$150,13,FALSE)</f>
        <v>0</v>
      </c>
    </row>
    <row r="60" spans="1:39" x14ac:dyDescent="0.3">
      <c r="A60" s="28" t="s">
        <v>2039</v>
      </c>
      <c r="B60" s="3">
        <v>2025</v>
      </c>
      <c r="C60" s="3" t="s">
        <v>2871</v>
      </c>
      <c r="D60" s="3" t="s">
        <v>94</v>
      </c>
      <c r="E60" s="3" t="s">
        <v>3533</v>
      </c>
      <c r="F60" s="3" t="s">
        <v>3207</v>
      </c>
      <c r="G60" s="12">
        <v>58</v>
      </c>
      <c r="H60" s="12" t="s">
        <v>580</v>
      </c>
      <c r="I60" s="29">
        <v>45877</v>
      </c>
      <c r="J60" s="29">
        <v>45877</v>
      </c>
      <c r="L60" s="3" t="s">
        <v>73</v>
      </c>
      <c r="M60" s="3" t="s">
        <v>3533</v>
      </c>
      <c r="N60" s="3" t="s">
        <v>2041</v>
      </c>
      <c r="O60" s="3">
        <v>29</v>
      </c>
      <c r="P60" s="3">
        <v>3148177921</v>
      </c>
      <c r="Q60" s="3" t="s">
        <v>3208</v>
      </c>
      <c r="R60" s="3" t="s">
        <v>2042</v>
      </c>
      <c r="T60" s="3" t="s">
        <v>2043</v>
      </c>
      <c r="U60" s="3" t="s">
        <v>2044</v>
      </c>
      <c r="V60" s="3" t="s">
        <v>2045</v>
      </c>
      <c r="W60" s="3" t="s">
        <v>1906</v>
      </c>
      <c r="X60" s="3" t="s">
        <v>112</v>
      </c>
      <c r="Y60" s="3" t="s">
        <v>2046</v>
      </c>
      <c r="Z60" s="3" t="s">
        <v>2047</v>
      </c>
      <c r="AA60" s="29">
        <v>45897</v>
      </c>
      <c r="AB60" s="3" t="s">
        <v>218</v>
      </c>
      <c r="AC60" s="3" t="str">
        <f>VLOOKUP(A60,'[1]계산서(25하-대전)'!W$4:AI$150,2,FALSE)</f>
        <v>jjs2627@hanmail.net</v>
      </c>
      <c r="AD60" s="29">
        <f>VLOOKUP(A60,'[1]계산서(25하-대전)'!W$4:AI$150,3,FALSE)</f>
        <v>45880</v>
      </c>
      <c r="AE60" s="3">
        <f t="shared" si="0"/>
        <v>750000</v>
      </c>
      <c r="AF60" s="3">
        <f>VLOOKUP(A60,'[1]계산서(25하-대전)'!W$4:AI$150,4,FALSE)</f>
        <v>350000</v>
      </c>
      <c r="AG60" s="3">
        <f>VLOOKUP(A60,'[1]계산서(25하-대전)'!W$4:AI$150,5,FALSE)</f>
        <v>400000</v>
      </c>
      <c r="AH60" s="3">
        <f t="shared" si="1"/>
        <v>750000</v>
      </c>
      <c r="AI60" s="29">
        <f>VLOOKUP(A60,'[1]계산서(25하-대전)'!W$4:AI$150,8,FALSE)</f>
        <v>45902</v>
      </c>
      <c r="AJ60" s="3">
        <f>VLOOKUP(A60,'[1]계산서(25하-대전)'!W$4:AI$150,9,FALSE)</f>
        <v>350000</v>
      </c>
      <c r="AK60" s="29">
        <f>VLOOKUP(A60,'[1]계산서(25하-대전)'!W$4:AI$150,10,FALSE)</f>
        <v>45919</v>
      </c>
      <c r="AL60" s="3">
        <f>VLOOKUP(A60,'[1]계산서(25하-대전)'!W$4:AI$150,11,FALSE)</f>
        <v>400000</v>
      </c>
      <c r="AM60" s="3">
        <f>VLOOKUP(A60,'[1]계산서(25하-대전)'!W$4:AI$150,13,FALSE)</f>
        <v>0</v>
      </c>
    </row>
    <row r="61" spans="1:39" x14ac:dyDescent="0.3">
      <c r="A61" s="28" t="s">
        <v>2028</v>
      </c>
      <c r="B61" s="3">
        <v>2025</v>
      </c>
      <c r="C61" s="3" t="s">
        <v>2871</v>
      </c>
      <c r="D61" s="3" t="s">
        <v>94</v>
      </c>
      <c r="E61" s="3" t="s">
        <v>3533</v>
      </c>
      <c r="F61" s="3" t="s">
        <v>3209</v>
      </c>
      <c r="G61" s="12">
        <v>59</v>
      </c>
      <c r="H61" s="12" t="s">
        <v>588</v>
      </c>
      <c r="I61" s="29">
        <v>45877</v>
      </c>
      <c r="J61" s="29">
        <v>45877</v>
      </c>
      <c r="L61" s="3" t="s">
        <v>46</v>
      </c>
      <c r="M61" s="3" t="s">
        <v>3533</v>
      </c>
      <c r="N61" s="3" t="s">
        <v>2030</v>
      </c>
      <c r="O61" s="3">
        <v>9</v>
      </c>
      <c r="P61" s="3">
        <v>7390501913</v>
      </c>
      <c r="Q61" s="3" t="s">
        <v>3210</v>
      </c>
      <c r="R61" s="3" t="s">
        <v>2031</v>
      </c>
      <c r="T61" s="3" t="s">
        <v>2032</v>
      </c>
      <c r="U61" s="3" t="s">
        <v>2033</v>
      </c>
      <c r="V61" s="3" t="s">
        <v>2034</v>
      </c>
      <c r="W61" s="3" t="s">
        <v>2035</v>
      </c>
      <c r="X61" s="3" t="s">
        <v>2036</v>
      </c>
      <c r="Y61" s="3" t="s">
        <v>2037</v>
      </c>
      <c r="Z61" s="3" t="s">
        <v>2038</v>
      </c>
      <c r="AA61" s="29">
        <v>45897</v>
      </c>
      <c r="AB61" s="3" t="s">
        <v>218</v>
      </c>
      <c r="AC61" s="3" t="str">
        <f>VLOOKUP(A61,'[1]계산서(25하-대전)'!W$4:AI$150,2,FALSE)</f>
        <v>tltmm1212@naver.com</v>
      </c>
      <c r="AD61" s="29">
        <f>VLOOKUP(A61,'[1]계산서(25하-대전)'!W$4:AI$150,3,FALSE)</f>
        <v>45880</v>
      </c>
      <c r="AE61" s="3">
        <f t="shared" si="0"/>
        <v>600000</v>
      </c>
      <c r="AF61" s="3">
        <f>VLOOKUP(A61,'[1]계산서(25하-대전)'!W$4:AI$150,4,FALSE)</f>
        <v>200000</v>
      </c>
      <c r="AG61" s="3">
        <f>VLOOKUP(A61,'[1]계산서(25하-대전)'!W$4:AI$150,5,FALSE)</f>
        <v>400000</v>
      </c>
      <c r="AH61" s="3">
        <f t="shared" si="1"/>
        <v>600000</v>
      </c>
      <c r="AI61" s="29">
        <f>VLOOKUP(A61,'[1]계산서(25하-대전)'!W$4:AI$150,8,FALSE)</f>
        <v>45901</v>
      </c>
      <c r="AJ61" s="3">
        <f>VLOOKUP(A61,'[1]계산서(25하-대전)'!W$4:AI$150,9,FALSE)</f>
        <v>200000</v>
      </c>
      <c r="AK61" s="29">
        <f>VLOOKUP(A61,'[1]계산서(25하-대전)'!W$4:AI$150,10,FALSE)</f>
        <v>45919</v>
      </c>
      <c r="AL61" s="3">
        <f>VLOOKUP(A61,'[1]계산서(25하-대전)'!W$4:AI$150,11,FALSE)</f>
        <v>400000</v>
      </c>
      <c r="AM61" s="3">
        <f>VLOOKUP(A61,'[1]계산서(25하-대전)'!W$4:AI$150,13,FALSE)</f>
        <v>0</v>
      </c>
    </row>
    <row r="62" spans="1:39" x14ac:dyDescent="0.3">
      <c r="A62" s="28" t="s">
        <v>2018</v>
      </c>
      <c r="B62" s="3">
        <v>2025</v>
      </c>
      <c r="C62" s="3" t="s">
        <v>2871</v>
      </c>
      <c r="D62" s="3" t="s">
        <v>94</v>
      </c>
      <c r="E62" s="3" t="s">
        <v>3533</v>
      </c>
      <c r="F62" s="3" t="s">
        <v>3211</v>
      </c>
      <c r="G62" s="12">
        <v>60</v>
      </c>
      <c r="H62" s="12" t="s">
        <v>600</v>
      </c>
      <c r="I62" s="29">
        <v>45877</v>
      </c>
      <c r="J62" s="29">
        <v>45877</v>
      </c>
      <c r="L62" s="3" t="s">
        <v>218</v>
      </c>
      <c r="M62" s="3" t="s">
        <v>3533</v>
      </c>
      <c r="N62" s="3" t="s">
        <v>2020</v>
      </c>
      <c r="O62" s="3">
        <v>25</v>
      </c>
      <c r="P62" s="3">
        <v>3148625321</v>
      </c>
      <c r="Q62" s="3" t="s">
        <v>3212</v>
      </c>
      <c r="R62" s="3" t="s">
        <v>2021</v>
      </c>
      <c r="T62" s="3" t="s">
        <v>2022</v>
      </c>
      <c r="U62" s="3" t="s">
        <v>2023</v>
      </c>
      <c r="V62" s="3" t="s">
        <v>2024</v>
      </c>
      <c r="W62" s="3" t="s">
        <v>2025</v>
      </c>
      <c r="X62" s="3" t="s">
        <v>224</v>
      </c>
      <c r="Y62" s="3" t="s">
        <v>2026</v>
      </c>
      <c r="Z62" s="3" t="s">
        <v>2027</v>
      </c>
      <c r="AA62" s="29">
        <v>45897</v>
      </c>
      <c r="AB62" s="3" t="s">
        <v>218</v>
      </c>
      <c r="AC62" s="3" t="str">
        <f>VLOOKUP(A62,'[1]계산서(25하-대전)'!W$4:AI$150,2,FALSE)</f>
        <v>kjyim2000@hanmail.net</v>
      </c>
      <c r="AD62" s="29">
        <f>VLOOKUP(A62,'[1]계산서(25하-대전)'!W$4:AI$150,3,FALSE)</f>
        <v>45880</v>
      </c>
      <c r="AE62" s="3">
        <f t="shared" si="0"/>
        <v>750000</v>
      </c>
      <c r="AF62" s="3">
        <f>VLOOKUP(A62,'[1]계산서(25하-대전)'!W$4:AI$150,4,FALSE)</f>
        <v>350000</v>
      </c>
      <c r="AG62" s="3">
        <f>VLOOKUP(A62,'[1]계산서(25하-대전)'!W$4:AI$150,5,FALSE)</f>
        <v>400000</v>
      </c>
      <c r="AH62" s="3">
        <f t="shared" si="1"/>
        <v>750000</v>
      </c>
      <c r="AI62" s="29">
        <f>VLOOKUP(A62,'[1]계산서(25하-대전)'!W$4:AI$150,8,FALSE)</f>
        <v>45905</v>
      </c>
      <c r="AJ62" s="3">
        <f>VLOOKUP(A62,'[1]계산서(25하-대전)'!W$4:AI$150,9,FALSE)</f>
        <v>350000</v>
      </c>
      <c r="AK62" s="29">
        <f>VLOOKUP(A62,'[1]계산서(25하-대전)'!W$4:AI$150,10,FALSE)</f>
        <v>45919</v>
      </c>
      <c r="AL62" s="3">
        <f>VLOOKUP(A62,'[1]계산서(25하-대전)'!W$4:AI$150,11,FALSE)</f>
        <v>400000</v>
      </c>
      <c r="AM62" s="3">
        <f>VLOOKUP(A62,'[1]계산서(25하-대전)'!W$4:AI$150,13,FALSE)</f>
        <v>0</v>
      </c>
    </row>
    <row r="63" spans="1:39" x14ac:dyDescent="0.3">
      <c r="A63" s="28" t="s">
        <v>1903</v>
      </c>
      <c r="B63" s="3">
        <v>2025</v>
      </c>
      <c r="C63" s="3" t="s">
        <v>2871</v>
      </c>
      <c r="D63" s="3" t="s">
        <v>94</v>
      </c>
      <c r="E63" s="3" t="s">
        <v>3533</v>
      </c>
      <c r="F63" s="3" t="s">
        <v>3213</v>
      </c>
      <c r="G63" s="12">
        <v>61</v>
      </c>
      <c r="H63" s="12" t="s">
        <v>611</v>
      </c>
      <c r="I63" s="29">
        <v>45880</v>
      </c>
      <c r="J63" s="29">
        <v>45880</v>
      </c>
      <c r="L63" s="3" t="s">
        <v>61</v>
      </c>
      <c r="M63" s="3" t="s">
        <v>3533</v>
      </c>
      <c r="N63" s="3" t="s">
        <v>1905</v>
      </c>
      <c r="O63" s="3">
        <v>43</v>
      </c>
      <c r="P63" s="3">
        <v>3728802425</v>
      </c>
      <c r="Q63" s="3" t="s">
        <v>3214</v>
      </c>
      <c r="R63" s="3" t="s">
        <v>1906</v>
      </c>
      <c r="T63" s="3" t="s">
        <v>1907</v>
      </c>
      <c r="U63" s="3" t="s">
        <v>1908</v>
      </c>
      <c r="V63" s="3" t="s">
        <v>1909</v>
      </c>
      <c r="W63" s="3" t="s">
        <v>1910</v>
      </c>
      <c r="X63" s="3" t="s">
        <v>66</v>
      </c>
      <c r="Y63" s="3" t="s">
        <v>1911</v>
      </c>
      <c r="Z63" s="3" t="s">
        <v>1912</v>
      </c>
      <c r="AA63" s="29"/>
      <c r="AC63" s="3" t="str">
        <f>VLOOKUP(A63,'[1]계산서(25하-대전)'!W$4:AI$150,2,FALSE)</f>
        <v>bdj3728@naver.com</v>
      </c>
      <c r="AD63" s="29">
        <f>VLOOKUP(A63,'[1]계산서(25하-대전)'!W$4:AI$150,3,FALSE)</f>
        <v>45881</v>
      </c>
      <c r="AE63" s="3">
        <f t="shared" si="0"/>
        <v>750000</v>
      </c>
      <c r="AF63" s="3">
        <f>VLOOKUP(A63,'[1]계산서(25하-대전)'!W$4:AI$150,4,FALSE)</f>
        <v>350000</v>
      </c>
      <c r="AG63" s="3">
        <f>VLOOKUP(A63,'[1]계산서(25하-대전)'!W$4:AI$150,5,FALSE)</f>
        <v>400000</v>
      </c>
      <c r="AH63" s="3">
        <f t="shared" si="1"/>
        <v>750000</v>
      </c>
      <c r="AI63" s="29">
        <f>VLOOKUP(A63,'[1]계산서(25하-대전)'!W$4:AI$150,8,FALSE)</f>
        <v>45881</v>
      </c>
      <c r="AJ63" s="3">
        <f>VLOOKUP(A63,'[1]계산서(25하-대전)'!W$4:AI$150,9,FALSE)</f>
        <v>350000</v>
      </c>
      <c r="AK63" s="29">
        <f>VLOOKUP(A63,'[1]계산서(25하-대전)'!W$4:AI$150,10,FALSE)</f>
        <v>45958</v>
      </c>
      <c r="AL63" s="3">
        <f>VLOOKUP(A63,'[1]계산서(25하-대전)'!W$4:AI$150,11,FALSE)</f>
        <v>400000</v>
      </c>
      <c r="AM63" s="3">
        <f>VLOOKUP(A63,'[1]계산서(25하-대전)'!W$4:AI$150,13,FALSE)</f>
        <v>0</v>
      </c>
    </row>
    <row r="64" spans="1:39" x14ac:dyDescent="0.3">
      <c r="A64" s="28" t="s">
        <v>1913</v>
      </c>
      <c r="B64" s="3">
        <v>2025</v>
      </c>
      <c r="C64" s="3" t="s">
        <v>2871</v>
      </c>
      <c r="D64" s="3" t="s">
        <v>94</v>
      </c>
      <c r="E64" s="3" t="s">
        <v>3533</v>
      </c>
      <c r="F64" s="3" t="s">
        <v>3215</v>
      </c>
      <c r="G64" s="12">
        <v>62</v>
      </c>
      <c r="H64" s="12" t="s">
        <v>624</v>
      </c>
      <c r="I64" s="29">
        <v>45880</v>
      </c>
      <c r="J64" s="29">
        <v>45880</v>
      </c>
      <c r="L64" s="3" t="s">
        <v>97</v>
      </c>
      <c r="M64" s="3" t="s">
        <v>3533</v>
      </c>
      <c r="N64" s="3" t="s">
        <v>1915</v>
      </c>
      <c r="O64" s="3">
        <v>8</v>
      </c>
      <c r="P64" s="3">
        <v>3210400394</v>
      </c>
      <c r="Q64" s="3" t="s">
        <v>3216</v>
      </c>
      <c r="R64" s="3" t="s">
        <v>1916</v>
      </c>
      <c r="T64" s="3" t="s">
        <v>1917</v>
      </c>
      <c r="U64" s="3" t="s">
        <v>1918</v>
      </c>
      <c r="V64" s="3" t="s">
        <v>1919</v>
      </c>
      <c r="W64" s="3" t="s">
        <v>1916</v>
      </c>
      <c r="X64" s="3" t="s">
        <v>78</v>
      </c>
      <c r="Y64" s="3" t="s">
        <v>1920</v>
      </c>
      <c r="Z64" s="3" t="s">
        <v>1921</v>
      </c>
      <c r="AA64" s="29"/>
      <c r="AC64" s="3" t="str">
        <f>VLOOKUP(A64,'[1]계산서(25하-대전)'!W$4:AI$150,2,FALSE)</f>
        <v>tk0359@hanmail.net</v>
      </c>
      <c r="AD64" s="29">
        <f>VLOOKUP(A64,'[1]계산서(25하-대전)'!W$4:AI$150,3,FALSE)</f>
        <v>45881</v>
      </c>
      <c r="AE64" s="3">
        <f t="shared" si="0"/>
        <v>600000</v>
      </c>
      <c r="AF64" s="3">
        <f>VLOOKUP(A64,'[1]계산서(25하-대전)'!W$4:AI$150,4,FALSE)</f>
        <v>200000</v>
      </c>
      <c r="AG64" s="3">
        <f>VLOOKUP(A64,'[1]계산서(25하-대전)'!W$4:AI$150,5,FALSE)</f>
        <v>400000</v>
      </c>
      <c r="AH64" s="3">
        <f t="shared" si="1"/>
        <v>600000</v>
      </c>
      <c r="AI64" s="29">
        <f>VLOOKUP(A64,'[1]계산서(25하-대전)'!W$4:AI$150,8,FALSE)</f>
        <v>45926</v>
      </c>
      <c r="AJ64" s="3">
        <f>VLOOKUP(A64,'[1]계산서(25하-대전)'!W$4:AI$150,9,FALSE)</f>
        <v>200000</v>
      </c>
      <c r="AK64" s="29">
        <f>VLOOKUP(A64,'[1]계산서(25하-대전)'!W$4:AI$150,10,FALSE)</f>
        <v>45958</v>
      </c>
      <c r="AL64" s="3">
        <f>VLOOKUP(A64,'[1]계산서(25하-대전)'!W$4:AI$150,11,FALSE)</f>
        <v>400000</v>
      </c>
      <c r="AM64" s="3">
        <f>VLOOKUP(A64,'[1]계산서(25하-대전)'!W$4:AI$150,13,FALSE)</f>
        <v>0</v>
      </c>
    </row>
    <row r="65" spans="1:39" x14ac:dyDescent="0.3">
      <c r="A65" s="28" t="s">
        <v>1922</v>
      </c>
      <c r="B65" s="3">
        <v>2025</v>
      </c>
      <c r="C65" s="3" t="s">
        <v>2871</v>
      </c>
      <c r="D65" s="3" t="s">
        <v>94</v>
      </c>
      <c r="E65" s="3" t="s">
        <v>3533</v>
      </c>
      <c r="F65" s="3" t="s">
        <v>3217</v>
      </c>
      <c r="G65" s="12">
        <v>63</v>
      </c>
      <c r="H65" s="12" t="s">
        <v>633</v>
      </c>
      <c r="I65" s="29">
        <v>45880</v>
      </c>
      <c r="J65" s="29">
        <v>45880</v>
      </c>
      <c r="L65" s="3" t="s">
        <v>181</v>
      </c>
      <c r="M65" s="3" t="s">
        <v>3533</v>
      </c>
      <c r="N65" s="3" t="s">
        <v>1924</v>
      </c>
      <c r="O65" s="3">
        <v>6</v>
      </c>
      <c r="P65" s="3">
        <v>3140522586</v>
      </c>
      <c r="Q65" s="3" t="s">
        <v>3218</v>
      </c>
      <c r="R65" s="3" t="s">
        <v>1925</v>
      </c>
      <c r="T65" s="3" t="s">
        <v>1926</v>
      </c>
      <c r="U65" s="3" t="s">
        <v>1927</v>
      </c>
      <c r="V65" s="3" t="s">
        <v>1928</v>
      </c>
      <c r="W65" s="3" t="s">
        <v>1929</v>
      </c>
      <c r="X65" s="3" t="s">
        <v>78</v>
      </c>
      <c r="Y65" s="3" t="s">
        <v>1930</v>
      </c>
      <c r="Z65" s="3" t="s">
        <v>1931</v>
      </c>
      <c r="AA65" s="29"/>
      <c r="AC65" s="3" t="str">
        <f>VLOOKUP(A65,'[1]계산서(25하-대전)'!W$4:AI$150,2,FALSE)</f>
        <v>duk6515@hanmail.net</v>
      </c>
      <c r="AD65" s="29">
        <f>VLOOKUP(A65,'[1]계산서(25하-대전)'!W$4:AI$150,3,FALSE)</f>
        <v>45881</v>
      </c>
      <c r="AE65" s="3">
        <f t="shared" si="0"/>
        <v>600000</v>
      </c>
      <c r="AF65" s="3">
        <f>VLOOKUP(A65,'[1]계산서(25하-대전)'!W$4:AI$150,4,FALSE)</f>
        <v>200000</v>
      </c>
      <c r="AG65" s="3">
        <f>VLOOKUP(A65,'[1]계산서(25하-대전)'!W$4:AI$150,5,FALSE)</f>
        <v>400000</v>
      </c>
      <c r="AH65" s="3">
        <f t="shared" si="1"/>
        <v>600000</v>
      </c>
      <c r="AI65" s="29">
        <f>VLOOKUP(A65,'[1]계산서(25하-대전)'!W$4:AI$150,8,FALSE)</f>
        <v>46008</v>
      </c>
      <c r="AJ65" s="3">
        <f>VLOOKUP(A65,'[1]계산서(25하-대전)'!W$4:AI$150,9,FALSE)</f>
        <v>200000</v>
      </c>
      <c r="AK65" s="29">
        <f>VLOOKUP(A65,'[1]계산서(25하-대전)'!W$4:AI$150,10,FALSE)</f>
        <v>45958</v>
      </c>
      <c r="AL65" s="3">
        <f>VLOOKUP(A65,'[1]계산서(25하-대전)'!W$4:AI$150,11,FALSE)</f>
        <v>400000</v>
      </c>
      <c r="AM65" s="3">
        <f>VLOOKUP(A65,'[1]계산서(25하-대전)'!W$4:AI$150,13,FALSE)</f>
        <v>0</v>
      </c>
    </row>
    <row r="66" spans="1:39" x14ac:dyDescent="0.3">
      <c r="A66" s="28" t="s">
        <v>2447</v>
      </c>
      <c r="B66" s="3">
        <v>2025</v>
      </c>
      <c r="C66" s="3" t="s">
        <v>2871</v>
      </c>
      <c r="D66" s="3" t="s">
        <v>94</v>
      </c>
      <c r="E66" s="3" t="s">
        <v>3533</v>
      </c>
      <c r="F66" s="3" t="s">
        <v>3219</v>
      </c>
      <c r="G66" s="12">
        <v>64</v>
      </c>
      <c r="H66" s="12" t="s">
        <v>644</v>
      </c>
      <c r="I66" s="29">
        <v>45880</v>
      </c>
      <c r="J66" s="29">
        <v>45880</v>
      </c>
      <c r="L66" s="3" t="s">
        <v>73</v>
      </c>
      <c r="M66" s="3" t="s">
        <v>3533</v>
      </c>
      <c r="N66" s="3" t="s">
        <v>2449</v>
      </c>
      <c r="O66" s="3">
        <v>19</v>
      </c>
      <c r="P66" s="3">
        <v>3148633423</v>
      </c>
      <c r="Q66" s="3" t="s">
        <v>3220</v>
      </c>
      <c r="R66" s="3" t="s">
        <v>2450</v>
      </c>
      <c r="T66" s="3" t="s">
        <v>2451</v>
      </c>
      <c r="U66" s="3" t="s">
        <v>2452</v>
      </c>
      <c r="V66" s="3" t="s">
        <v>2453</v>
      </c>
      <c r="W66" s="3" t="s">
        <v>2450</v>
      </c>
      <c r="X66" s="3" t="s">
        <v>1425</v>
      </c>
      <c r="Y66" s="3" t="s">
        <v>2454</v>
      </c>
      <c r="Z66" s="3" t="s">
        <v>2455</v>
      </c>
      <c r="AA66" s="29">
        <v>45909</v>
      </c>
      <c r="AB66" s="3" t="s">
        <v>46</v>
      </c>
      <c r="AC66" s="3" t="str">
        <f>VLOOKUP(A66,'[1]계산서(25하-대전)'!W$4:AI$150,2,FALSE)</f>
        <v>yyh4477@hanmail.net</v>
      </c>
      <c r="AD66" s="29">
        <f>VLOOKUP(A66,'[1]계산서(25하-대전)'!W$4:AI$150,3,FALSE)</f>
        <v>45881</v>
      </c>
      <c r="AE66" s="3">
        <f t="shared" si="0"/>
        <v>600000</v>
      </c>
      <c r="AF66" s="3">
        <f>VLOOKUP(A66,'[1]계산서(25하-대전)'!W$4:AI$150,4,FALSE)</f>
        <v>200000</v>
      </c>
      <c r="AG66" s="3">
        <f>VLOOKUP(A66,'[1]계산서(25하-대전)'!W$4:AI$150,5,FALSE)</f>
        <v>400000</v>
      </c>
      <c r="AH66" s="3">
        <f t="shared" si="1"/>
        <v>600000</v>
      </c>
      <c r="AI66" s="29">
        <f>VLOOKUP(A66,'[1]계산서(25하-대전)'!W$4:AI$150,8,FALSE)</f>
        <v>46009</v>
      </c>
      <c r="AJ66" s="3">
        <f>VLOOKUP(A66,'[1]계산서(25하-대전)'!W$4:AI$150,9,FALSE)</f>
        <v>200000</v>
      </c>
      <c r="AK66" s="29">
        <f>VLOOKUP(A66,'[1]계산서(25하-대전)'!W$4:AI$150,10,FALSE)</f>
        <v>45958</v>
      </c>
      <c r="AL66" s="3">
        <f>VLOOKUP(A66,'[1]계산서(25하-대전)'!W$4:AI$150,11,FALSE)</f>
        <v>400000</v>
      </c>
      <c r="AM66" s="3">
        <f>VLOOKUP(A66,'[1]계산서(25하-대전)'!W$4:AI$150,13,FALSE)</f>
        <v>0</v>
      </c>
    </row>
    <row r="67" spans="1:39" x14ac:dyDescent="0.3">
      <c r="A67" s="28" t="s">
        <v>2163</v>
      </c>
      <c r="B67" s="3">
        <v>2025</v>
      </c>
      <c r="C67" s="3" t="s">
        <v>2871</v>
      </c>
      <c r="D67" s="3" t="s">
        <v>94</v>
      </c>
      <c r="E67" s="3" t="s">
        <v>3533</v>
      </c>
      <c r="F67" s="3" t="s">
        <v>3221</v>
      </c>
      <c r="G67" s="12">
        <v>65</v>
      </c>
      <c r="H67" s="12" t="s">
        <v>654</v>
      </c>
      <c r="I67" s="29">
        <v>45880</v>
      </c>
      <c r="J67" s="29">
        <v>45880</v>
      </c>
      <c r="L67" s="3" t="s">
        <v>46</v>
      </c>
      <c r="M67" s="3" t="s">
        <v>3533</v>
      </c>
      <c r="N67" s="3" t="s">
        <v>2165</v>
      </c>
      <c r="O67" s="3">
        <v>9</v>
      </c>
      <c r="P67" s="3">
        <v>4988500295</v>
      </c>
      <c r="Q67" s="3" t="s">
        <v>3222</v>
      </c>
      <c r="R67" s="3" t="s">
        <v>2166</v>
      </c>
      <c r="T67" s="3" t="s">
        <v>2167</v>
      </c>
      <c r="U67" s="3" t="s">
        <v>2168</v>
      </c>
      <c r="V67" s="3" t="s">
        <v>2169</v>
      </c>
      <c r="W67" s="3" t="s">
        <v>2170</v>
      </c>
      <c r="X67" s="3" t="s">
        <v>178</v>
      </c>
      <c r="Y67" s="3" t="s">
        <v>2171</v>
      </c>
      <c r="Z67" s="3" t="s">
        <v>2172</v>
      </c>
      <c r="AA67" s="29">
        <v>45909</v>
      </c>
      <c r="AB67" s="3" t="s">
        <v>46</v>
      </c>
      <c r="AC67" s="3" t="str">
        <f>VLOOKUP(A67,'[1]계산서(25하-대전)'!W$4:AI$150,2,FALSE)</f>
        <v>toyotajb1@hometax.go.kr</v>
      </c>
      <c r="AD67" s="29">
        <f>VLOOKUP(A67,'[1]계산서(25하-대전)'!W$4:AI$150,3,FALSE)</f>
        <v>45881</v>
      </c>
      <c r="AE67" s="3">
        <f t="shared" si="0"/>
        <v>750000</v>
      </c>
      <c r="AF67" s="3">
        <f>VLOOKUP(A67,'[1]계산서(25하-대전)'!W$4:AI$150,4,FALSE)</f>
        <v>750000</v>
      </c>
      <c r="AG67" s="3">
        <v>0</v>
      </c>
      <c r="AH67" s="3">
        <f t="shared" si="1"/>
        <v>750000</v>
      </c>
      <c r="AI67" s="29">
        <f>VLOOKUP(A67,'[1]계산서(25하-대전)'!W$4:AI$150,8,FALSE)</f>
        <v>45925</v>
      </c>
      <c r="AJ67" s="3">
        <f>VLOOKUP(A67,'[1]계산서(25하-대전)'!W$4:AI$150,9,FALSE)</f>
        <v>750000</v>
      </c>
      <c r="AK67" s="29" t="str">
        <f>VLOOKUP(A67,'[1]계산서(25하-대전)'!W$4:AI$150,10,FALSE)</f>
        <v>국고 X</v>
      </c>
      <c r="AL67" s="3">
        <f>VLOOKUP(A67,'[1]계산서(25하-대전)'!W$4:AI$150,11,FALSE)</f>
        <v>0</v>
      </c>
      <c r="AM67" s="3">
        <f>VLOOKUP(A67,'[1]계산서(25하-대전)'!W$4:AI$150,13,FALSE)</f>
        <v>0</v>
      </c>
    </row>
    <row r="68" spans="1:39" x14ac:dyDescent="0.3">
      <c r="A68" s="28" t="s">
        <v>2174</v>
      </c>
      <c r="B68" s="3">
        <v>2025</v>
      </c>
      <c r="C68" s="3" t="s">
        <v>2871</v>
      </c>
      <c r="D68" s="3" t="s">
        <v>94</v>
      </c>
      <c r="E68" s="3" t="s">
        <v>3533</v>
      </c>
      <c r="F68" s="3" t="s">
        <v>3223</v>
      </c>
      <c r="G68" s="12">
        <v>66</v>
      </c>
      <c r="H68" s="12" t="s">
        <v>664</v>
      </c>
      <c r="I68" s="29">
        <v>45880</v>
      </c>
      <c r="J68" s="29">
        <v>45880</v>
      </c>
      <c r="L68" s="3" t="s">
        <v>218</v>
      </c>
      <c r="M68" s="3" t="s">
        <v>3533</v>
      </c>
      <c r="N68" s="3" t="s">
        <v>2176</v>
      </c>
      <c r="O68" s="3">
        <v>17</v>
      </c>
      <c r="P68" s="3">
        <v>3058540734</v>
      </c>
      <c r="Q68" s="3" t="s">
        <v>3224</v>
      </c>
      <c r="R68" s="3" t="s">
        <v>2166</v>
      </c>
      <c r="T68" s="3" t="s">
        <v>2167</v>
      </c>
      <c r="U68" s="3" t="s">
        <v>2168</v>
      </c>
      <c r="V68" s="3" t="s">
        <v>2169</v>
      </c>
      <c r="W68" s="3" t="s">
        <v>2170</v>
      </c>
      <c r="X68" s="3" t="s">
        <v>178</v>
      </c>
      <c r="Y68" s="3" t="s">
        <v>2171</v>
      </c>
      <c r="Z68" s="3" t="s">
        <v>2172</v>
      </c>
      <c r="AA68" s="29">
        <v>45909</v>
      </c>
      <c r="AB68" s="3" t="s">
        <v>46</v>
      </c>
      <c r="AC68" s="3" t="str">
        <f>VLOOKUP(A68,'[1]계산서(25하-대전)'!W$4:AI$150,2,FALSE)</f>
        <v>toyotajb1@hometax.go.kr</v>
      </c>
      <c r="AD68" s="29">
        <f>VLOOKUP(A68,'[1]계산서(25하-대전)'!W$4:AI$150,3,FALSE)</f>
        <v>45881</v>
      </c>
      <c r="AE68" s="3">
        <f t="shared" ref="AE68:AE131" si="2">AF68+AG68</f>
        <v>750000</v>
      </c>
      <c r="AF68" s="3">
        <f>VLOOKUP(A68,'[1]계산서(25하-대전)'!W$4:AI$150,4,FALSE)</f>
        <v>750000</v>
      </c>
      <c r="AG68" s="3">
        <v>0</v>
      </c>
      <c r="AH68" s="3">
        <f t="shared" ref="AH68:AH131" si="3">AJ68+AL68</f>
        <v>750000</v>
      </c>
      <c r="AI68" s="29">
        <f>VLOOKUP(A68,'[1]계산서(25하-대전)'!W$4:AI$150,8,FALSE)</f>
        <v>45925</v>
      </c>
      <c r="AJ68" s="3">
        <f>VLOOKUP(A68,'[1]계산서(25하-대전)'!W$4:AI$150,9,FALSE)</f>
        <v>750000</v>
      </c>
      <c r="AK68" s="29" t="str">
        <f>VLOOKUP(A68,'[1]계산서(25하-대전)'!W$4:AI$150,10,FALSE)</f>
        <v>국고 X</v>
      </c>
      <c r="AL68" s="3">
        <f>VLOOKUP(A68,'[1]계산서(25하-대전)'!W$4:AI$150,11,FALSE)</f>
        <v>0</v>
      </c>
      <c r="AM68" s="3">
        <f>VLOOKUP(A68,'[1]계산서(25하-대전)'!W$4:AI$150,13,FALSE)</f>
        <v>0</v>
      </c>
    </row>
    <row r="69" spans="1:39" x14ac:dyDescent="0.3">
      <c r="A69" s="28" t="s">
        <v>1990</v>
      </c>
      <c r="B69" s="3">
        <v>2025</v>
      </c>
      <c r="C69" s="3" t="s">
        <v>2871</v>
      </c>
      <c r="D69" s="3" t="s">
        <v>94</v>
      </c>
      <c r="E69" s="3" t="s">
        <v>3533</v>
      </c>
      <c r="F69" s="3" t="s">
        <v>3225</v>
      </c>
      <c r="G69" s="12">
        <v>67</v>
      </c>
      <c r="H69" s="12" t="s">
        <v>674</v>
      </c>
      <c r="I69" s="29">
        <v>45881</v>
      </c>
      <c r="J69" s="29">
        <v>45881</v>
      </c>
      <c r="L69" s="3" t="s">
        <v>61</v>
      </c>
      <c r="M69" s="3" t="s">
        <v>3533</v>
      </c>
      <c r="N69" s="3" t="s">
        <v>1992</v>
      </c>
      <c r="O69" s="3">
        <v>44</v>
      </c>
      <c r="P69" s="3">
        <v>2428701579</v>
      </c>
      <c r="Q69" s="3" t="s">
        <v>3226</v>
      </c>
      <c r="R69" s="3" t="s">
        <v>1993</v>
      </c>
      <c r="T69" s="3" t="s">
        <v>1994</v>
      </c>
      <c r="U69" s="3" t="s">
        <v>1995</v>
      </c>
      <c r="V69" s="3" t="s">
        <v>1996</v>
      </c>
      <c r="W69" s="3" t="s">
        <v>1958</v>
      </c>
      <c r="X69" s="3" t="s">
        <v>112</v>
      </c>
      <c r="Y69" s="3" t="s">
        <v>1959</v>
      </c>
      <c r="Z69" s="3" t="s">
        <v>1997</v>
      </c>
      <c r="AA69" s="29">
        <v>45909</v>
      </c>
      <c r="AB69" s="3" t="s">
        <v>61</v>
      </c>
      <c r="AC69" s="3" t="str">
        <f>VLOOKUP(A69,'[1]계산서(25하-대전)'!W$4:AI$150,2,FALSE)</f>
        <v>phj8858@daum.net</v>
      </c>
      <c r="AD69" s="29">
        <f>VLOOKUP(A69,'[1]계산서(25하-대전)'!W$4:AI$150,3,FALSE)</f>
        <v>45882</v>
      </c>
      <c r="AE69" s="3">
        <f t="shared" si="2"/>
        <v>750000</v>
      </c>
      <c r="AF69" s="3">
        <f>VLOOKUP(A69,'[1]계산서(25하-대전)'!W$4:AI$150,4,FALSE)</f>
        <v>350000</v>
      </c>
      <c r="AG69" s="3">
        <f>VLOOKUP(A69,'[1]계산서(25하-대전)'!W$4:AI$150,5,FALSE)</f>
        <v>400000</v>
      </c>
      <c r="AH69" s="3">
        <f t="shared" si="3"/>
        <v>400000</v>
      </c>
      <c r="AI69" s="29"/>
      <c r="AJ69" s="3">
        <v>0</v>
      </c>
      <c r="AK69" s="29">
        <f>VLOOKUP(A69,'[1]계산서(25하-대전)'!W$4:AI$150,10,FALSE)</f>
        <v>45958</v>
      </c>
      <c r="AL69" s="3">
        <f>VLOOKUP(A69,'[1]계산서(25하-대전)'!W$4:AI$150,11,FALSE)</f>
        <v>400000</v>
      </c>
      <c r="AM69" s="3">
        <f>VLOOKUP(A69,'[1]계산서(25하-대전)'!W$4:AI$150,13,FALSE)</f>
        <v>0</v>
      </c>
    </row>
    <row r="70" spans="1:39" x14ac:dyDescent="0.3">
      <c r="A70" s="28" t="s">
        <v>1942</v>
      </c>
      <c r="B70" s="3">
        <v>2025</v>
      </c>
      <c r="C70" s="3" t="s">
        <v>2871</v>
      </c>
      <c r="D70" s="3" t="s">
        <v>94</v>
      </c>
      <c r="E70" s="3" t="s">
        <v>3533</v>
      </c>
      <c r="F70" s="3" t="s">
        <v>3227</v>
      </c>
      <c r="G70" s="12">
        <v>68</v>
      </c>
      <c r="H70" s="12" t="s">
        <v>685</v>
      </c>
      <c r="I70" s="29">
        <v>45881</v>
      </c>
      <c r="J70" s="29">
        <v>45881</v>
      </c>
      <c r="L70" s="3" t="s">
        <v>97</v>
      </c>
      <c r="M70" s="3" t="s">
        <v>3533</v>
      </c>
      <c r="N70" s="3" t="s">
        <v>1944</v>
      </c>
      <c r="O70" s="3">
        <v>7</v>
      </c>
      <c r="P70" s="3">
        <v>3058632584</v>
      </c>
      <c r="Q70" s="3" t="s">
        <v>3228</v>
      </c>
      <c r="R70" s="3" t="s">
        <v>1945</v>
      </c>
      <c r="T70" s="3" t="s">
        <v>1936</v>
      </c>
      <c r="U70" s="3" t="s">
        <v>1946</v>
      </c>
      <c r="V70" s="3" t="s">
        <v>1947</v>
      </c>
      <c r="W70" s="3" t="s">
        <v>1948</v>
      </c>
      <c r="X70" s="3" t="s">
        <v>178</v>
      </c>
      <c r="Y70" s="3" t="s">
        <v>1949</v>
      </c>
      <c r="Z70" s="3" t="s">
        <v>1950</v>
      </c>
      <c r="AA70" s="29"/>
      <c r="AC70" s="3" t="str">
        <f>VLOOKUP(A70,'[1]계산서(25하-대전)'!W$4:AI$150,2,FALSE)</f>
        <v>leere707@naver.com</v>
      </c>
      <c r="AD70" s="29">
        <f>VLOOKUP(A70,'[1]계산서(25하-대전)'!W$4:AI$150,3,FALSE)</f>
        <v>45882</v>
      </c>
      <c r="AE70" s="3">
        <f t="shared" si="2"/>
        <v>600000</v>
      </c>
      <c r="AF70" s="3">
        <f>VLOOKUP(A70,'[1]계산서(25하-대전)'!W$4:AI$150,4,FALSE)</f>
        <v>200000</v>
      </c>
      <c r="AG70" s="3">
        <f>VLOOKUP(A70,'[1]계산서(25하-대전)'!W$4:AI$150,5,FALSE)</f>
        <v>400000</v>
      </c>
      <c r="AH70" s="3">
        <f t="shared" si="3"/>
        <v>400000</v>
      </c>
      <c r="AI70" s="29"/>
      <c r="AJ70" s="3">
        <v>0</v>
      </c>
      <c r="AK70" s="29">
        <f>VLOOKUP(A70,'[1]계산서(25하-대전)'!W$4:AI$150,10,FALSE)</f>
        <v>45958</v>
      </c>
      <c r="AL70" s="3">
        <f>VLOOKUP(A70,'[1]계산서(25하-대전)'!W$4:AI$150,11,FALSE)</f>
        <v>400000</v>
      </c>
      <c r="AM70" s="3">
        <f>VLOOKUP(A70,'[1]계산서(25하-대전)'!W$4:AI$150,13,FALSE)</f>
        <v>0</v>
      </c>
    </row>
    <row r="71" spans="1:39" x14ac:dyDescent="0.3">
      <c r="A71" s="28" t="s">
        <v>1932</v>
      </c>
      <c r="B71" s="3">
        <v>2025</v>
      </c>
      <c r="C71" s="3" t="s">
        <v>2871</v>
      </c>
      <c r="D71" s="3" t="s">
        <v>94</v>
      </c>
      <c r="E71" s="3" t="s">
        <v>3533</v>
      </c>
      <c r="F71" s="3" t="s">
        <v>3229</v>
      </c>
      <c r="G71" s="12">
        <v>69</v>
      </c>
      <c r="H71" s="12" t="s">
        <v>696</v>
      </c>
      <c r="I71" s="29">
        <v>45881</v>
      </c>
      <c r="J71" s="29">
        <v>45881</v>
      </c>
      <c r="L71" s="3" t="s">
        <v>181</v>
      </c>
      <c r="M71" s="3" t="s">
        <v>3533</v>
      </c>
      <c r="N71" s="3" t="s">
        <v>1934</v>
      </c>
      <c r="O71" s="3">
        <v>11</v>
      </c>
      <c r="P71" s="3">
        <v>5318101948</v>
      </c>
      <c r="Q71" s="3" t="s">
        <v>3230</v>
      </c>
      <c r="R71" s="3" t="s">
        <v>1935</v>
      </c>
      <c r="T71" s="3" t="s">
        <v>1936</v>
      </c>
      <c r="U71" s="3" t="s">
        <v>1937</v>
      </c>
      <c r="V71" s="3" t="s">
        <v>1938</v>
      </c>
      <c r="W71" s="3" t="s">
        <v>1948</v>
      </c>
      <c r="X71" s="3" t="s">
        <v>178</v>
      </c>
      <c r="Y71" s="3" t="s">
        <v>1949</v>
      </c>
      <c r="Z71" s="3" t="s">
        <v>1950</v>
      </c>
      <c r="AA71" s="29"/>
      <c r="AC71" s="3" t="str">
        <f>VLOOKUP(A71,'[1]계산서(25하-대전)'!W$4:AI$150,2,FALSE)</f>
        <v>leere707@naver.com</v>
      </c>
      <c r="AD71" s="29">
        <f>VLOOKUP(A71,'[1]계산서(25하-대전)'!W$4:AI$150,3,FALSE)</f>
        <v>45882</v>
      </c>
      <c r="AE71" s="3">
        <f t="shared" si="2"/>
        <v>600000</v>
      </c>
      <c r="AF71" s="3">
        <f>VLOOKUP(A71,'[1]계산서(25하-대전)'!W$4:AI$150,4,FALSE)</f>
        <v>200000</v>
      </c>
      <c r="AG71" s="3">
        <f>VLOOKUP(A71,'[1]계산서(25하-대전)'!W$4:AI$150,5,FALSE)</f>
        <v>400000</v>
      </c>
      <c r="AH71" s="3">
        <f t="shared" si="3"/>
        <v>600000</v>
      </c>
      <c r="AI71" s="29">
        <f>VLOOKUP(A71,'[1]계산서(25하-대전)'!W$4:AI$150,8,FALSE)</f>
        <v>45910</v>
      </c>
      <c r="AJ71" s="3">
        <f>VLOOKUP(A71,'[1]계산서(25하-대전)'!W$4:AI$150,9,FALSE)</f>
        <v>200000</v>
      </c>
      <c r="AK71" s="29">
        <f>VLOOKUP(A71,'[1]계산서(25하-대전)'!W$4:AI$150,10,FALSE)</f>
        <v>45958</v>
      </c>
      <c r="AL71" s="3">
        <f>VLOOKUP(A71,'[1]계산서(25하-대전)'!W$4:AI$150,11,FALSE)</f>
        <v>400000</v>
      </c>
      <c r="AM71" s="3">
        <f>VLOOKUP(A71,'[1]계산서(25하-대전)'!W$4:AI$150,13,FALSE)</f>
        <v>0</v>
      </c>
    </row>
    <row r="72" spans="1:39" x14ac:dyDescent="0.3">
      <c r="A72" s="28" t="s">
        <v>1721</v>
      </c>
      <c r="B72" s="3">
        <v>2025</v>
      </c>
      <c r="C72" s="3" t="s">
        <v>2871</v>
      </c>
      <c r="D72" s="3" t="s">
        <v>94</v>
      </c>
      <c r="E72" s="3" t="s">
        <v>3533</v>
      </c>
      <c r="F72" s="3" t="s">
        <v>3231</v>
      </c>
      <c r="G72" s="12">
        <v>70</v>
      </c>
      <c r="H72" s="12" t="s">
        <v>708</v>
      </c>
      <c r="I72" s="29">
        <v>45881</v>
      </c>
      <c r="J72" s="29">
        <v>45881</v>
      </c>
      <c r="L72" s="3" t="s">
        <v>73</v>
      </c>
      <c r="M72" s="3" t="s">
        <v>3533</v>
      </c>
      <c r="N72" s="3" t="s">
        <v>1723</v>
      </c>
      <c r="O72" s="3">
        <v>13</v>
      </c>
      <c r="P72" s="3">
        <v>3142626215</v>
      </c>
      <c r="Q72" s="3" t="s">
        <v>3232</v>
      </c>
      <c r="R72" s="3" t="s">
        <v>1724</v>
      </c>
      <c r="T72" s="3" t="s">
        <v>1725</v>
      </c>
      <c r="U72" s="3" t="s">
        <v>1726</v>
      </c>
      <c r="V72" s="3" t="s">
        <v>1727</v>
      </c>
      <c r="W72" s="3" t="s">
        <v>1728</v>
      </c>
      <c r="Y72" s="3" t="s">
        <v>1729</v>
      </c>
      <c r="Z72" s="3" t="s">
        <v>1730</v>
      </c>
      <c r="AA72" s="29">
        <v>45909</v>
      </c>
      <c r="AB72" s="3" t="s">
        <v>218</v>
      </c>
      <c r="AC72" s="3" t="str">
        <f>VLOOKUP(A72,'[1]계산서(25하-대전)'!W$4:AI$150,2,FALSE)</f>
        <v>dw1535@bill36524.com</v>
      </c>
      <c r="AD72" s="29">
        <f>VLOOKUP(A72,'[1]계산서(25하-대전)'!W$4:AI$150,3,FALSE)</f>
        <v>45882</v>
      </c>
      <c r="AE72" s="3">
        <f t="shared" si="2"/>
        <v>600000</v>
      </c>
      <c r="AF72" s="3">
        <f>VLOOKUP(A72,'[1]계산서(25하-대전)'!W$4:AI$150,4,FALSE)</f>
        <v>200000</v>
      </c>
      <c r="AG72" s="3">
        <f>VLOOKUP(A72,'[1]계산서(25하-대전)'!W$4:AI$150,5,FALSE)</f>
        <v>400000</v>
      </c>
      <c r="AH72" s="3">
        <f t="shared" si="3"/>
        <v>600000</v>
      </c>
      <c r="AI72" s="29">
        <f>VLOOKUP(A72,'[1]계산서(25하-대전)'!W$4:AI$150,8,FALSE)</f>
        <v>45897</v>
      </c>
      <c r="AJ72" s="3">
        <f>VLOOKUP(A72,'[1]계산서(25하-대전)'!W$4:AI$150,9,FALSE)</f>
        <v>200000</v>
      </c>
      <c r="AK72" s="29">
        <f>VLOOKUP(A72,'[1]계산서(25하-대전)'!W$4:AI$150,10,FALSE)</f>
        <v>45958</v>
      </c>
      <c r="AL72" s="3">
        <f>VLOOKUP(A72,'[1]계산서(25하-대전)'!W$4:AI$150,11,FALSE)</f>
        <v>400000</v>
      </c>
      <c r="AM72" s="3">
        <f>VLOOKUP(A72,'[1]계산서(25하-대전)'!W$4:AI$150,13,FALSE)</f>
        <v>0</v>
      </c>
    </row>
    <row r="73" spans="1:39" x14ac:dyDescent="0.3">
      <c r="A73" s="28" t="s">
        <v>2364</v>
      </c>
      <c r="B73" s="3">
        <v>2025</v>
      </c>
      <c r="C73" s="3" t="s">
        <v>2871</v>
      </c>
      <c r="D73" s="3" t="s">
        <v>94</v>
      </c>
      <c r="E73" s="3" t="s">
        <v>3533</v>
      </c>
      <c r="F73" s="3" t="s">
        <v>3233</v>
      </c>
      <c r="G73" s="12">
        <v>71</v>
      </c>
      <c r="H73" s="12" t="s">
        <v>718</v>
      </c>
      <c r="I73" s="29">
        <v>45881</v>
      </c>
      <c r="J73" s="29">
        <v>45881</v>
      </c>
      <c r="L73" s="3" t="s">
        <v>46</v>
      </c>
      <c r="M73" s="3" t="s">
        <v>3533</v>
      </c>
      <c r="N73" s="3" t="s">
        <v>2366</v>
      </c>
      <c r="O73" s="3">
        <v>14</v>
      </c>
      <c r="P73" s="3">
        <v>8622600621</v>
      </c>
      <c r="Q73" s="3" t="s">
        <v>3234</v>
      </c>
      <c r="R73" s="3" t="s">
        <v>2367</v>
      </c>
      <c r="T73" s="3" t="s">
        <v>2368</v>
      </c>
      <c r="U73" s="3" t="s">
        <v>2369</v>
      </c>
      <c r="V73" s="3" t="s">
        <v>2370</v>
      </c>
      <c r="W73" s="3" t="s">
        <v>2367</v>
      </c>
      <c r="X73" s="3" t="s">
        <v>78</v>
      </c>
      <c r="Y73" s="3" t="s">
        <v>2371</v>
      </c>
      <c r="Z73" s="3" t="s">
        <v>2372</v>
      </c>
      <c r="AA73" s="29">
        <v>45909</v>
      </c>
      <c r="AB73" s="3" t="s">
        <v>218</v>
      </c>
      <c r="AC73" s="3" t="str">
        <f>VLOOKUP(A73,'[1]계산서(25하-대전)'!W$4:AI$150,2,FALSE)</f>
        <v>md5459@naver.com</v>
      </c>
      <c r="AD73" s="29">
        <f>VLOOKUP(A73,'[1]계산서(25하-대전)'!W$4:AI$150,3,FALSE)</f>
        <v>45882</v>
      </c>
      <c r="AE73" s="3">
        <f t="shared" si="2"/>
        <v>600000</v>
      </c>
      <c r="AF73" s="3">
        <f>VLOOKUP(A73,'[1]계산서(25하-대전)'!W$4:AI$150,4,FALSE)</f>
        <v>200000</v>
      </c>
      <c r="AG73" s="3">
        <f>VLOOKUP(A73,'[1]계산서(25하-대전)'!W$4:AI$150,5,FALSE)</f>
        <v>400000</v>
      </c>
      <c r="AH73" s="3">
        <f t="shared" si="3"/>
        <v>600000</v>
      </c>
      <c r="AI73" s="29">
        <f>VLOOKUP(A73,'[1]계산서(25하-대전)'!W$4:AI$150,8,FALSE)</f>
        <v>45883</v>
      </c>
      <c r="AJ73" s="3">
        <f>VLOOKUP(A73,'[1]계산서(25하-대전)'!W$4:AI$150,9,FALSE)</f>
        <v>200000</v>
      </c>
      <c r="AK73" s="29">
        <f>VLOOKUP(A73,'[1]계산서(25하-대전)'!W$4:AI$150,10,FALSE)</f>
        <v>45958</v>
      </c>
      <c r="AL73" s="3">
        <f>VLOOKUP(A73,'[1]계산서(25하-대전)'!W$4:AI$150,11,FALSE)</f>
        <v>400000</v>
      </c>
      <c r="AM73" s="3">
        <f>VLOOKUP(A73,'[1]계산서(25하-대전)'!W$4:AI$150,13,FALSE)</f>
        <v>0</v>
      </c>
    </row>
    <row r="74" spans="1:39" x14ac:dyDescent="0.3">
      <c r="A74" s="28" t="s">
        <v>2284</v>
      </c>
      <c r="B74" s="3">
        <v>2025</v>
      </c>
      <c r="C74" s="3" t="s">
        <v>2871</v>
      </c>
      <c r="D74" s="3" t="s">
        <v>94</v>
      </c>
      <c r="E74" s="3" t="s">
        <v>3533</v>
      </c>
      <c r="F74" s="3" t="s">
        <v>3235</v>
      </c>
      <c r="G74" s="12">
        <v>72</v>
      </c>
      <c r="H74" s="12" t="s">
        <v>729</v>
      </c>
      <c r="I74" s="29">
        <v>45881</v>
      </c>
      <c r="J74" s="29">
        <v>45881</v>
      </c>
      <c r="L74" s="3" t="s">
        <v>218</v>
      </c>
      <c r="M74" s="3" t="s">
        <v>3533</v>
      </c>
      <c r="N74" s="3" t="s">
        <v>2286</v>
      </c>
      <c r="O74" s="3">
        <v>25</v>
      </c>
      <c r="P74" s="3">
        <v>3148174206</v>
      </c>
      <c r="Q74" s="3" t="s">
        <v>3236</v>
      </c>
      <c r="R74" s="3" t="s">
        <v>2287</v>
      </c>
      <c r="T74" s="3" t="s">
        <v>2288</v>
      </c>
      <c r="U74" s="3" t="s">
        <v>2289</v>
      </c>
      <c r="V74" s="3" t="s">
        <v>2290</v>
      </c>
      <c r="W74" s="3" t="s">
        <v>2291</v>
      </c>
      <c r="X74" s="3" t="s">
        <v>2159</v>
      </c>
      <c r="Y74" s="3" t="s">
        <v>2292</v>
      </c>
      <c r="Z74" s="3" t="s">
        <v>2293</v>
      </c>
      <c r="AA74" s="29">
        <v>45909</v>
      </c>
      <c r="AB74" s="3" t="s">
        <v>218</v>
      </c>
      <c r="AC74" s="3" t="str">
        <f>VLOOKUP(A74,'[1]계산서(25하-대전)'!W$4:AI$150,2,FALSE)</f>
        <v>bm5239301@bill36524.com</v>
      </c>
      <c r="AD74" s="29">
        <f>VLOOKUP(A74,'[1]계산서(25하-대전)'!W$4:AI$150,3,FALSE)</f>
        <v>45882</v>
      </c>
      <c r="AE74" s="3">
        <f t="shared" si="2"/>
        <v>750000</v>
      </c>
      <c r="AF74" s="3">
        <f>VLOOKUP(A74,'[1]계산서(25하-대전)'!W$4:AI$150,4,FALSE)</f>
        <v>350000</v>
      </c>
      <c r="AG74" s="3">
        <f>VLOOKUP(A74,'[1]계산서(25하-대전)'!W$4:AI$150,5,FALSE)</f>
        <v>400000</v>
      </c>
      <c r="AH74" s="3">
        <f t="shared" si="3"/>
        <v>750000</v>
      </c>
      <c r="AI74" s="29">
        <f>VLOOKUP(A74,'[1]계산서(25하-대전)'!W$4:AI$150,8,FALSE)</f>
        <v>45898</v>
      </c>
      <c r="AJ74" s="3">
        <f>VLOOKUP(A74,'[1]계산서(25하-대전)'!W$4:AI$150,9,FALSE)</f>
        <v>350000</v>
      </c>
      <c r="AK74" s="29">
        <f>VLOOKUP(A74,'[1]계산서(25하-대전)'!W$4:AI$150,10,FALSE)</f>
        <v>45958</v>
      </c>
      <c r="AL74" s="3">
        <f>VLOOKUP(A74,'[1]계산서(25하-대전)'!W$4:AI$150,11,FALSE)</f>
        <v>400000</v>
      </c>
      <c r="AM74" s="3">
        <f>VLOOKUP(A74,'[1]계산서(25하-대전)'!W$4:AI$150,13,FALSE)</f>
        <v>0</v>
      </c>
    </row>
    <row r="75" spans="1:39" x14ac:dyDescent="0.3">
      <c r="A75" s="28" t="s">
        <v>1781</v>
      </c>
      <c r="B75" s="3">
        <v>2025</v>
      </c>
      <c r="C75" s="3" t="s">
        <v>2871</v>
      </c>
      <c r="D75" s="3" t="s">
        <v>94</v>
      </c>
      <c r="E75" s="3" t="s">
        <v>3533</v>
      </c>
      <c r="F75" s="3" t="s">
        <v>3237</v>
      </c>
      <c r="G75" s="12">
        <v>73</v>
      </c>
      <c r="H75" s="12" t="s">
        <v>729</v>
      </c>
      <c r="I75" s="29">
        <v>45882</v>
      </c>
      <c r="J75" s="29">
        <v>45882</v>
      </c>
      <c r="L75" s="3" t="s">
        <v>61</v>
      </c>
      <c r="M75" s="3" t="s">
        <v>3533</v>
      </c>
      <c r="N75" s="3" t="s">
        <v>1783</v>
      </c>
      <c r="O75" s="3">
        <v>3</v>
      </c>
      <c r="P75" s="3">
        <v>6281801613</v>
      </c>
      <c r="Q75" s="3" t="s">
        <v>3238</v>
      </c>
      <c r="R75" s="3" t="s">
        <v>1784</v>
      </c>
      <c r="T75" s="3" t="s">
        <v>1785</v>
      </c>
      <c r="U75" s="3" t="s">
        <v>1786</v>
      </c>
      <c r="V75" s="3" t="s">
        <v>1787</v>
      </c>
      <c r="W75" s="3" t="s">
        <v>1784</v>
      </c>
      <c r="X75" s="3" t="s">
        <v>78</v>
      </c>
      <c r="Y75" s="3" t="s">
        <v>1788</v>
      </c>
      <c r="Z75" s="3" t="s">
        <v>1789</v>
      </c>
      <c r="AA75" s="29"/>
      <c r="AC75" s="3" t="str">
        <f>VLOOKUP(A75,'[1]계산서(25하-대전)'!W$4:AI$150,2,FALSE)</f>
        <v>djpyd@naver.com
(계산서 발행 시 안내 문자 필수)</v>
      </c>
      <c r="AD75" s="29">
        <f>VLOOKUP(A75,'[1]계산서(25하-대전)'!W$4:AI$150,3,FALSE)</f>
        <v>45883</v>
      </c>
      <c r="AE75" s="3">
        <f t="shared" si="2"/>
        <v>600000</v>
      </c>
      <c r="AF75" s="3">
        <f>VLOOKUP(A75,'[1]계산서(25하-대전)'!W$4:AI$150,4,FALSE)</f>
        <v>200000</v>
      </c>
      <c r="AG75" s="3">
        <f>VLOOKUP(A75,'[1]계산서(25하-대전)'!W$4:AI$150,5,FALSE)</f>
        <v>400000</v>
      </c>
      <c r="AH75" s="3">
        <f t="shared" si="3"/>
        <v>600000</v>
      </c>
      <c r="AI75" s="29">
        <f>VLOOKUP(A75,'[1]계산서(25하-대전)'!W$4:AI$150,8,FALSE)</f>
        <v>46007</v>
      </c>
      <c r="AJ75" s="3">
        <f>VLOOKUP(A75,'[1]계산서(25하-대전)'!W$4:AI$150,9,FALSE)</f>
        <v>200000</v>
      </c>
      <c r="AK75" s="29">
        <f>VLOOKUP(A75,'[1]계산서(25하-대전)'!W$4:AI$150,10,FALSE)</f>
        <v>45958</v>
      </c>
      <c r="AL75" s="3">
        <f>VLOOKUP(A75,'[1]계산서(25하-대전)'!W$4:AI$150,11,FALSE)</f>
        <v>400000</v>
      </c>
      <c r="AM75" s="3">
        <f>VLOOKUP(A75,'[1]계산서(25하-대전)'!W$4:AI$150,13,FALSE)</f>
        <v>0</v>
      </c>
    </row>
    <row r="76" spans="1:39" x14ac:dyDescent="0.3">
      <c r="A76" s="28" t="s">
        <v>1791</v>
      </c>
      <c r="B76" s="3">
        <v>2025</v>
      </c>
      <c r="C76" s="3" t="s">
        <v>2871</v>
      </c>
      <c r="D76" s="3" t="s">
        <v>94</v>
      </c>
      <c r="E76" s="3" t="s">
        <v>3533</v>
      </c>
      <c r="F76" s="3" t="s">
        <v>3239</v>
      </c>
      <c r="G76" s="12">
        <v>74</v>
      </c>
      <c r="H76" s="12" t="s">
        <v>729</v>
      </c>
      <c r="I76" s="29">
        <v>45882</v>
      </c>
      <c r="J76" s="29">
        <v>45882</v>
      </c>
      <c r="L76" s="3" t="s">
        <v>97</v>
      </c>
      <c r="M76" s="3" t="s">
        <v>3533</v>
      </c>
      <c r="N76" s="3" t="s">
        <v>1793</v>
      </c>
      <c r="O76" s="3">
        <v>4</v>
      </c>
      <c r="P76" s="3">
        <v>1922100212</v>
      </c>
      <c r="Q76" s="3" t="s">
        <v>3240</v>
      </c>
      <c r="R76" s="3" t="s">
        <v>1794</v>
      </c>
      <c r="T76" s="3" t="s">
        <v>1795</v>
      </c>
      <c r="U76" s="3" t="s">
        <v>1796</v>
      </c>
      <c r="V76" s="3" t="s">
        <v>1797</v>
      </c>
      <c r="W76" s="3" t="s">
        <v>1794</v>
      </c>
      <c r="X76" s="3" t="s">
        <v>78</v>
      </c>
      <c r="Y76" s="3" t="s">
        <v>1798</v>
      </c>
      <c r="Z76" s="3" t="s">
        <v>1799</v>
      </c>
      <c r="AA76" s="29"/>
      <c r="AC76" s="3" t="str">
        <f>VLOOKUP(A76,'[1]계산서(25하-대전)'!W$4:AI$150,2,FALSE)</f>
        <v>jahee0125@naver.com</v>
      </c>
      <c r="AD76" s="29">
        <f>VLOOKUP(A76,'[1]계산서(25하-대전)'!W$4:AI$150,3,FALSE)</f>
        <v>45883</v>
      </c>
      <c r="AE76" s="3">
        <f t="shared" si="2"/>
        <v>600000</v>
      </c>
      <c r="AF76" s="3">
        <f>VLOOKUP(A76,'[1]계산서(25하-대전)'!W$4:AI$150,4,FALSE)</f>
        <v>200000</v>
      </c>
      <c r="AG76" s="3">
        <f>VLOOKUP(A76,'[1]계산서(25하-대전)'!W$4:AI$150,5,FALSE)</f>
        <v>400000</v>
      </c>
      <c r="AH76" s="3">
        <f t="shared" si="3"/>
        <v>600000</v>
      </c>
      <c r="AI76" s="29">
        <f>VLOOKUP(A76,'[1]계산서(25하-대전)'!W$4:AI$150,8,FALSE)</f>
        <v>45887</v>
      </c>
      <c r="AJ76" s="3">
        <f>VLOOKUP(A76,'[1]계산서(25하-대전)'!W$4:AI$150,9,FALSE)</f>
        <v>200000</v>
      </c>
      <c r="AK76" s="29">
        <f>VLOOKUP(A76,'[1]계산서(25하-대전)'!W$4:AI$150,10,FALSE)</f>
        <v>45958</v>
      </c>
      <c r="AL76" s="3">
        <f>VLOOKUP(A76,'[1]계산서(25하-대전)'!W$4:AI$150,11,FALSE)</f>
        <v>400000</v>
      </c>
      <c r="AM76" s="3">
        <f>VLOOKUP(A76,'[1]계산서(25하-대전)'!W$4:AI$150,13,FALSE)</f>
        <v>0</v>
      </c>
    </row>
    <row r="77" spans="1:39" x14ac:dyDescent="0.3">
      <c r="A77" s="28" t="s">
        <v>2143</v>
      </c>
      <c r="B77" s="3">
        <v>2025</v>
      </c>
      <c r="C77" s="3" t="s">
        <v>2871</v>
      </c>
      <c r="D77" s="3" t="s">
        <v>94</v>
      </c>
      <c r="E77" s="3" t="s">
        <v>3533</v>
      </c>
      <c r="F77" s="3" t="s">
        <v>3241</v>
      </c>
      <c r="G77" s="12">
        <v>75</v>
      </c>
      <c r="H77" s="12" t="s">
        <v>741</v>
      </c>
      <c r="I77" s="29">
        <v>45882</v>
      </c>
      <c r="J77" s="29">
        <v>45882</v>
      </c>
      <c r="L77" s="3" t="s">
        <v>181</v>
      </c>
      <c r="M77" s="3" t="s">
        <v>3533</v>
      </c>
      <c r="N77" s="3" t="s">
        <v>2145</v>
      </c>
      <c r="O77" s="3">
        <v>9</v>
      </c>
      <c r="P77" s="3">
        <v>3448800039</v>
      </c>
      <c r="Q77" s="3" t="s">
        <v>3242</v>
      </c>
      <c r="R77" s="3" t="s">
        <v>2146</v>
      </c>
      <c r="T77" s="3" t="s">
        <v>2147</v>
      </c>
      <c r="U77" s="3" t="s">
        <v>2148</v>
      </c>
      <c r="V77" s="3" t="s">
        <v>2149</v>
      </c>
      <c r="W77" s="3" t="s">
        <v>2146</v>
      </c>
      <c r="X77" s="3" t="s">
        <v>78</v>
      </c>
      <c r="Y77" s="3" t="s">
        <v>2150</v>
      </c>
      <c r="Z77" s="3" t="s">
        <v>2151</v>
      </c>
      <c r="AA77" s="29"/>
      <c r="AC77" s="3" t="str">
        <f>VLOOKUP(A77,'[1]계산서(25하-대전)'!W$4:AI$150,2,FALSE)</f>
        <v>dj7057@naver.com</v>
      </c>
      <c r="AD77" s="29">
        <f>VLOOKUP(A77,'[1]계산서(25하-대전)'!W$4:AI$150,3,FALSE)</f>
        <v>45883</v>
      </c>
      <c r="AE77" s="3">
        <f t="shared" si="2"/>
        <v>600000</v>
      </c>
      <c r="AF77" s="3">
        <f>VLOOKUP(A77,'[1]계산서(25하-대전)'!W$4:AI$150,4,FALSE)</f>
        <v>200000</v>
      </c>
      <c r="AG77" s="3">
        <f>VLOOKUP(A77,'[1]계산서(25하-대전)'!W$4:AI$150,5,FALSE)</f>
        <v>400000</v>
      </c>
      <c r="AH77" s="3">
        <f t="shared" si="3"/>
        <v>600000</v>
      </c>
      <c r="AI77" s="29">
        <f>VLOOKUP(A77,'[1]계산서(25하-대전)'!W$4:AI$150,8,FALSE)</f>
        <v>45883</v>
      </c>
      <c r="AJ77" s="3">
        <f>VLOOKUP(A77,'[1]계산서(25하-대전)'!W$4:AI$150,9,FALSE)</f>
        <v>200000</v>
      </c>
      <c r="AK77" s="29">
        <f>VLOOKUP(A77,'[1]계산서(25하-대전)'!W$4:AI$150,10,FALSE)</f>
        <v>45958</v>
      </c>
      <c r="AL77" s="3">
        <f>VLOOKUP(A77,'[1]계산서(25하-대전)'!W$4:AI$150,11,FALSE)</f>
        <v>400000</v>
      </c>
      <c r="AM77" s="3">
        <f>VLOOKUP(A77,'[1]계산서(25하-대전)'!W$4:AI$150,13,FALSE)</f>
        <v>0</v>
      </c>
    </row>
    <row r="78" spans="1:39" x14ac:dyDescent="0.3">
      <c r="A78" s="28" t="s">
        <v>2105</v>
      </c>
      <c r="B78" s="3">
        <v>2025</v>
      </c>
      <c r="C78" s="3" t="s">
        <v>2871</v>
      </c>
      <c r="D78" s="3" t="s">
        <v>94</v>
      </c>
      <c r="E78" s="3" t="s">
        <v>3533</v>
      </c>
      <c r="F78" s="3" t="s">
        <v>3243</v>
      </c>
      <c r="G78" s="12">
        <v>76</v>
      </c>
      <c r="H78" s="12" t="s">
        <v>747</v>
      </c>
      <c r="I78" s="29">
        <v>45882</v>
      </c>
      <c r="J78" s="29">
        <v>45882</v>
      </c>
      <c r="L78" s="3" t="s">
        <v>73</v>
      </c>
      <c r="M78" s="3" t="s">
        <v>3533</v>
      </c>
      <c r="N78" s="3" t="s">
        <v>2107</v>
      </c>
      <c r="O78" s="3">
        <v>15</v>
      </c>
      <c r="P78" s="3">
        <v>3058185432</v>
      </c>
      <c r="Q78" s="3" t="s">
        <v>3244</v>
      </c>
      <c r="R78" s="3" t="s">
        <v>2108</v>
      </c>
      <c r="T78" s="3" t="s">
        <v>2109</v>
      </c>
      <c r="U78" s="3" t="s">
        <v>2110</v>
      </c>
      <c r="V78" s="3" t="s">
        <v>2111</v>
      </c>
      <c r="W78" s="3" t="s">
        <v>2112</v>
      </c>
      <c r="X78" s="3" t="s">
        <v>461</v>
      </c>
      <c r="Y78" s="3" t="s">
        <v>2113</v>
      </c>
      <c r="Z78" s="3" t="s">
        <v>2114</v>
      </c>
      <c r="AA78" s="29">
        <v>45910</v>
      </c>
      <c r="AB78" s="3" t="s">
        <v>218</v>
      </c>
      <c r="AC78" s="3" t="str">
        <f>VLOOKUP(A78,'[1]계산서(25하-대전)'!W$4:AI$150,2,FALSE)</f>
        <v>db8287@hanmail.net, dongbu1500@hanmail.net</v>
      </c>
      <c r="AD78" s="29">
        <f>VLOOKUP(A78,'[1]계산서(25하-대전)'!W$4:AI$150,3,FALSE)</f>
        <v>45883</v>
      </c>
      <c r="AE78" s="3">
        <f t="shared" si="2"/>
        <v>600000</v>
      </c>
      <c r="AF78" s="3">
        <f>VLOOKUP(A78,'[1]계산서(25하-대전)'!W$4:AI$150,4,FALSE)</f>
        <v>200000</v>
      </c>
      <c r="AG78" s="3">
        <f>VLOOKUP(A78,'[1]계산서(25하-대전)'!W$4:AI$150,5,FALSE)</f>
        <v>400000</v>
      </c>
      <c r="AH78" s="3">
        <f t="shared" si="3"/>
        <v>600000</v>
      </c>
      <c r="AI78" s="29">
        <f>VLOOKUP(A78,'[1]계산서(25하-대전)'!W$4:AI$150,8,FALSE)</f>
        <v>45887</v>
      </c>
      <c r="AJ78" s="3">
        <f>VLOOKUP(A78,'[1]계산서(25하-대전)'!W$4:AI$150,9,FALSE)</f>
        <v>200000</v>
      </c>
      <c r="AK78" s="29">
        <f>VLOOKUP(A78,'[1]계산서(25하-대전)'!W$4:AI$150,10,FALSE)</f>
        <v>45958</v>
      </c>
      <c r="AL78" s="3">
        <f>VLOOKUP(A78,'[1]계산서(25하-대전)'!W$4:AI$150,11,FALSE)</f>
        <v>400000</v>
      </c>
      <c r="AM78" s="3">
        <f>VLOOKUP(A78,'[1]계산서(25하-대전)'!W$4:AI$150,13,FALSE)</f>
        <v>0</v>
      </c>
    </row>
    <row r="79" spans="1:39" x14ac:dyDescent="0.3">
      <c r="A79" s="28" t="s">
        <v>2116</v>
      </c>
      <c r="B79" s="3">
        <v>2025</v>
      </c>
      <c r="C79" s="3" t="s">
        <v>2871</v>
      </c>
      <c r="D79" s="3" t="s">
        <v>94</v>
      </c>
      <c r="E79" s="3" t="s">
        <v>3533</v>
      </c>
      <c r="F79" s="3" t="s">
        <v>3246</v>
      </c>
      <c r="G79" s="12">
        <v>77</v>
      </c>
      <c r="H79" s="12" t="s">
        <v>747</v>
      </c>
      <c r="I79" s="29">
        <v>45882</v>
      </c>
      <c r="J79" s="29">
        <v>45882</v>
      </c>
      <c r="L79" s="3" t="s">
        <v>46</v>
      </c>
      <c r="M79" s="3" t="s">
        <v>3533</v>
      </c>
      <c r="N79" s="3" t="s">
        <v>2118</v>
      </c>
      <c r="O79" s="3">
        <v>3</v>
      </c>
      <c r="P79" s="3">
        <v>3058193984</v>
      </c>
      <c r="Q79" s="3" t="s">
        <v>3247</v>
      </c>
      <c r="R79" s="3" t="s">
        <v>2119</v>
      </c>
      <c r="T79" s="3" t="s">
        <v>2120</v>
      </c>
      <c r="U79" s="3" t="s">
        <v>2121</v>
      </c>
      <c r="V79" s="3" t="s">
        <v>2122</v>
      </c>
      <c r="W79" s="3" t="s">
        <v>2119</v>
      </c>
      <c r="X79" s="3" t="s">
        <v>78</v>
      </c>
      <c r="Y79" s="3" t="s">
        <v>2123</v>
      </c>
      <c r="Z79" s="3" t="s">
        <v>2124</v>
      </c>
      <c r="AA79" s="29">
        <v>45910</v>
      </c>
      <c r="AB79" s="3" t="s">
        <v>218</v>
      </c>
      <c r="AC79" s="3" t="str">
        <f>VLOOKUP(A79,'[1]계산서(25하-대전)'!W$4:AI$150,2,FALSE)</f>
        <v>young444@nate.com</v>
      </c>
      <c r="AD79" s="29">
        <f>VLOOKUP(A79,'[1]계산서(25하-대전)'!W$4:AI$150,3,FALSE)</f>
        <v>45883</v>
      </c>
      <c r="AE79" s="3">
        <f t="shared" si="2"/>
        <v>600000</v>
      </c>
      <c r="AF79" s="3">
        <f>VLOOKUP(A79,'[1]계산서(25하-대전)'!W$4:AI$150,4,FALSE)</f>
        <v>200000</v>
      </c>
      <c r="AG79" s="3">
        <f>VLOOKUP(A79,'[1]계산서(25하-대전)'!W$4:AI$150,5,FALSE)</f>
        <v>400000</v>
      </c>
      <c r="AH79" s="3">
        <f t="shared" si="3"/>
        <v>600000</v>
      </c>
      <c r="AI79" s="29">
        <f>VLOOKUP(A79,'[1]계산서(25하-대전)'!W$4:AI$150,8,FALSE)</f>
        <v>46010</v>
      </c>
      <c r="AJ79" s="3">
        <f>VLOOKUP(A79,'[1]계산서(25하-대전)'!W$4:AI$150,9,FALSE)</f>
        <v>200000</v>
      </c>
      <c r="AK79" s="29">
        <f>VLOOKUP(A79,'[1]계산서(25하-대전)'!W$4:AI$150,10,FALSE)</f>
        <v>45958</v>
      </c>
      <c r="AL79" s="3">
        <f>VLOOKUP(A79,'[1]계산서(25하-대전)'!W$4:AI$150,11,FALSE)</f>
        <v>400000</v>
      </c>
      <c r="AM79" s="3">
        <f>VLOOKUP(A79,'[1]계산서(25하-대전)'!W$4:AI$150,13,FALSE)</f>
        <v>0</v>
      </c>
    </row>
    <row r="80" spans="1:39" x14ac:dyDescent="0.3">
      <c r="A80" s="28" t="s">
        <v>2125</v>
      </c>
      <c r="B80" s="3">
        <v>2025</v>
      </c>
      <c r="C80" s="3" t="s">
        <v>2871</v>
      </c>
      <c r="D80" s="3" t="s">
        <v>94</v>
      </c>
      <c r="E80" s="3" t="s">
        <v>3533</v>
      </c>
      <c r="F80" s="3" t="s">
        <v>3248</v>
      </c>
      <c r="G80" s="12">
        <v>78</v>
      </c>
      <c r="H80" s="12" t="s">
        <v>747</v>
      </c>
      <c r="I80" s="29">
        <v>45882</v>
      </c>
      <c r="J80" s="29">
        <v>45882</v>
      </c>
      <c r="L80" s="3" t="s">
        <v>218</v>
      </c>
      <c r="M80" s="3" t="s">
        <v>3533</v>
      </c>
      <c r="N80" s="3" t="s">
        <v>2127</v>
      </c>
      <c r="O80" s="3">
        <v>3</v>
      </c>
      <c r="P80" s="3">
        <v>4058601270</v>
      </c>
      <c r="Q80" s="3" t="s">
        <v>3249</v>
      </c>
      <c r="R80" s="3" t="s">
        <v>2128</v>
      </c>
      <c r="T80" s="3" t="s">
        <v>2129</v>
      </c>
      <c r="V80" s="3" t="s">
        <v>2130</v>
      </c>
      <c r="W80" s="3" t="s">
        <v>2128</v>
      </c>
      <c r="X80" s="3" t="s">
        <v>78</v>
      </c>
      <c r="Y80" s="3" t="s">
        <v>2131</v>
      </c>
      <c r="Z80" s="3" t="s">
        <v>2132</v>
      </c>
      <c r="AA80" s="29">
        <v>45910</v>
      </c>
      <c r="AB80" s="3" t="s">
        <v>218</v>
      </c>
      <c r="AC80" s="3" t="str">
        <f>VLOOKUP(A80,'[1]계산서(25하-대전)'!W$4:AI$150,2,FALSE)</f>
        <v>msy5582@naver.com</v>
      </c>
      <c r="AD80" s="29">
        <f>VLOOKUP(A80,'[1]계산서(25하-대전)'!W$4:AI$150,3,FALSE)</f>
        <v>45883</v>
      </c>
      <c r="AE80" s="3">
        <f t="shared" si="2"/>
        <v>600000</v>
      </c>
      <c r="AF80" s="3">
        <f>VLOOKUP(A80,'[1]계산서(25하-대전)'!W$4:AI$150,4,FALSE)</f>
        <v>200000</v>
      </c>
      <c r="AG80" s="3">
        <f>VLOOKUP(A80,'[1]계산서(25하-대전)'!W$4:AI$150,5,FALSE)</f>
        <v>400000</v>
      </c>
      <c r="AH80" s="3">
        <f t="shared" si="3"/>
        <v>600000</v>
      </c>
      <c r="AI80" s="29">
        <f>VLOOKUP(A80,'[1]계산서(25하-대전)'!W$4:AI$150,8,FALSE)</f>
        <v>46009</v>
      </c>
      <c r="AJ80" s="3">
        <f>VLOOKUP(A80,'[1]계산서(25하-대전)'!W$4:AI$150,9,FALSE)</f>
        <v>200000</v>
      </c>
      <c r="AK80" s="29">
        <f>VLOOKUP(A80,'[1]계산서(25하-대전)'!W$4:AI$150,10,FALSE)</f>
        <v>45958</v>
      </c>
      <c r="AL80" s="3">
        <f>VLOOKUP(A80,'[1]계산서(25하-대전)'!W$4:AI$150,11,FALSE)</f>
        <v>400000</v>
      </c>
      <c r="AM80" s="3">
        <f>VLOOKUP(A80,'[1]계산서(25하-대전)'!W$4:AI$150,13,FALSE)</f>
        <v>0</v>
      </c>
    </row>
    <row r="81" spans="1:39" x14ac:dyDescent="0.3">
      <c r="A81" s="28" t="s">
        <v>2334</v>
      </c>
      <c r="B81" s="3">
        <v>2025</v>
      </c>
      <c r="C81" s="3" t="s">
        <v>2871</v>
      </c>
      <c r="D81" s="3" t="s">
        <v>94</v>
      </c>
      <c r="E81" s="3" t="s">
        <v>3533</v>
      </c>
      <c r="F81" s="3" t="s">
        <v>3250</v>
      </c>
      <c r="G81" s="12">
        <v>79</v>
      </c>
      <c r="H81" s="12" t="s">
        <v>758</v>
      </c>
      <c r="I81" s="29">
        <v>45883</v>
      </c>
      <c r="J81" s="29">
        <v>45883</v>
      </c>
      <c r="L81" s="3" t="s">
        <v>61</v>
      </c>
      <c r="M81" s="3" t="s">
        <v>3533</v>
      </c>
      <c r="N81" s="3" t="s">
        <v>2336</v>
      </c>
      <c r="O81" s="3">
        <v>12</v>
      </c>
      <c r="P81" s="3">
        <v>3058164437</v>
      </c>
      <c r="Q81" s="3" t="s">
        <v>3251</v>
      </c>
      <c r="R81" s="3" t="s">
        <v>2337</v>
      </c>
      <c r="T81" s="3" t="s">
        <v>2338</v>
      </c>
      <c r="U81" s="3" t="s">
        <v>2339</v>
      </c>
      <c r="V81" s="3" t="s">
        <v>2340</v>
      </c>
      <c r="W81" s="3" t="s">
        <v>2341</v>
      </c>
      <c r="Y81" s="3" t="s">
        <v>2342</v>
      </c>
      <c r="Z81" s="3" t="s">
        <v>2343</v>
      </c>
      <c r="AA81" s="29">
        <v>45909</v>
      </c>
      <c r="AB81" s="3" t="s">
        <v>61</v>
      </c>
      <c r="AC81" s="3" t="str">
        <f>VLOOKUP(A81,'[1]계산서(25하-대전)'!W$4:AI$150,2,FALSE)</f>
        <v>gs49722@naver.com</v>
      </c>
      <c r="AD81" s="29">
        <f>VLOOKUP(A81,'[1]계산서(25하-대전)'!W$4:AI$150,3,FALSE)</f>
        <v>45887</v>
      </c>
      <c r="AE81" s="3">
        <f t="shared" si="2"/>
        <v>600000</v>
      </c>
      <c r="AF81" s="3">
        <f>VLOOKUP(A81,'[1]계산서(25하-대전)'!W$4:AI$150,4,FALSE)</f>
        <v>200000</v>
      </c>
      <c r="AG81" s="3">
        <f>VLOOKUP(A81,'[1]계산서(25하-대전)'!W$4:AI$150,5,FALSE)</f>
        <v>400000</v>
      </c>
      <c r="AH81" s="3">
        <f t="shared" si="3"/>
        <v>600000</v>
      </c>
      <c r="AI81" s="29">
        <f>VLOOKUP(A81,'[1]계산서(25하-대전)'!W$4:AI$150,8,FALSE)</f>
        <v>46007</v>
      </c>
      <c r="AJ81" s="3">
        <f>VLOOKUP(A81,'[1]계산서(25하-대전)'!W$4:AI$150,9,FALSE)</f>
        <v>200000</v>
      </c>
      <c r="AK81" s="29">
        <f>VLOOKUP(A81,'[1]계산서(25하-대전)'!W$4:AI$150,10,FALSE)</f>
        <v>45958</v>
      </c>
      <c r="AL81" s="3">
        <f>VLOOKUP(A81,'[1]계산서(25하-대전)'!W$4:AI$150,11,FALSE)</f>
        <v>400000</v>
      </c>
      <c r="AM81" s="3">
        <f>VLOOKUP(A81,'[1]계산서(25하-대전)'!W$4:AI$150,13,FALSE)</f>
        <v>0</v>
      </c>
    </row>
    <row r="82" spans="1:39" x14ac:dyDescent="0.3">
      <c r="A82" s="28" t="s">
        <v>2325</v>
      </c>
      <c r="B82" s="3">
        <v>2025</v>
      </c>
      <c r="C82" s="3" t="s">
        <v>2871</v>
      </c>
      <c r="D82" s="3" t="s">
        <v>94</v>
      </c>
      <c r="E82" s="3" t="s">
        <v>3533</v>
      </c>
      <c r="F82" s="3" t="s">
        <v>3252</v>
      </c>
      <c r="G82" s="12">
        <v>80</v>
      </c>
      <c r="H82" s="12" t="s">
        <v>767</v>
      </c>
      <c r="I82" s="29">
        <v>45883</v>
      </c>
      <c r="J82" s="29">
        <v>45883</v>
      </c>
      <c r="L82" s="3" t="s">
        <v>97</v>
      </c>
      <c r="M82" s="3" t="s">
        <v>3533</v>
      </c>
      <c r="N82" s="3" t="s">
        <v>2327</v>
      </c>
      <c r="O82" s="3">
        <v>9</v>
      </c>
      <c r="P82" s="3">
        <v>6868101947</v>
      </c>
      <c r="Q82" s="3" t="s">
        <v>3253</v>
      </c>
      <c r="R82" s="3" t="s">
        <v>2328</v>
      </c>
      <c r="T82" s="3" t="s">
        <v>2329</v>
      </c>
      <c r="U82" s="3" t="s">
        <v>2330</v>
      </c>
      <c r="V82" s="3" t="s">
        <v>2331</v>
      </c>
      <c r="W82" s="3" t="s">
        <v>2328</v>
      </c>
      <c r="X82" s="3" t="s">
        <v>78</v>
      </c>
      <c r="Y82" s="3" t="s">
        <v>2332</v>
      </c>
      <c r="Z82" s="3" t="s">
        <v>2333</v>
      </c>
      <c r="AA82" s="29">
        <v>45909</v>
      </c>
      <c r="AB82" s="3" t="s">
        <v>61</v>
      </c>
      <c r="AC82" s="3" t="str">
        <f>VLOOKUP(A82,'[1]계산서(25하-대전)'!W$4:AI$150,2,FALSE)</f>
        <v>kwb9033@naver.com</v>
      </c>
      <c r="AD82" s="29">
        <f>VLOOKUP(A82,'[1]계산서(25하-대전)'!W$4:AI$150,3,FALSE)</f>
        <v>45887</v>
      </c>
      <c r="AE82" s="3">
        <f t="shared" si="2"/>
        <v>600000</v>
      </c>
      <c r="AF82" s="3">
        <f>VLOOKUP(A82,'[1]계산서(25하-대전)'!W$4:AI$150,4,FALSE)</f>
        <v>200000</v>
      </c>
      <c r="AG82" s="3">
        <f>VLOOKUP(A82,'[1]계산서(25하-대전)'!W$4:AI$150,5,FALSE)</f>
        <v>400000</v>
      </c>
      <c r="AH82" s="3">
        <f t="shared" si="3"/>
        <v>600000</v>
      </c>
      <c r="AI82" s="29">
        <f>VLOOKUP(A82,'[1]계산서(25하-대전)'!W$4:AI$150,8,FALSE)</f>
        <v>45919</v>
      </c>
      <c r="AJ82" s="3">
        <f>VLOOKUP(A82,'[1]계산서(25하-대전)'!W$4:AI$150,9,FALSE)</f>
        <v>200000</v>
      </c>
      <c r="AK82" s="29">
        <f>VLOOKUP(A82,'[1]계산서(25하-대전)'!W$4:AI$150,10,FALSE)</f>
        <v>45958</v>
      </c>
      <c r="AL82" s="3">
        <f>VLOOKUP(A82,'[1]계산서(25하-대전)'!W$4:AI$150,11,FALSE)</f>
        <v>400000</v>
      </c>
      <c r="AM82" s="3">
        <f>VLOOKUP(A82,'[1]계산서(25하-대전)'!W$4:AI$150,13,FALSE)</f>
        <v>0</v>
      </c>
    </row>
    <row r="83" spans="1:39" x14ac:dyDescent="0.3">
      <c r="A83" s="28" t="s">
        <v>2096</v>
      </c>
      <c r="B83" s="3">
        <v>2025</v>
      </c>
      <c r="C83" s="3" t="s">
        <v>2871</v>
      </c>
      <c r="D83" s="3" t="s">
        <v>94</v>
      </c>
      <c r="E83" s="3" t="s">
        <v>3533</v>
      </c>
      <c r="F83" s="3" t="s">
        <v>3254</v>
      </c>
      <c r="G83" s="12">
        <v>81</v>
      </c>
      <c r="H83" s="12" t="s">
        <v>776</v>
      </c>
      <c r="I83" s="29">
        <v>45883</v>
      </c>
      <c r="J83" s="29">
        <v>45883</v>
      </c>
      <c r="L83" s="3" t="s">
        <v>181</v>
      </c>
      <c r="M83" s="3" t="s">
        <v>3533</v>
      </c>
      <c r="N83" s="3" t="s">
        <v>2098</v>
      </c>
      <c r="O83" s="3">
        <v>9</v>
      </c>
      <c r="P83" s="3">
        <v>6830602222</v>
      </c>
      <c r="Q83" s="3" t="s">
        <v>3255</v>
      </c>
      <c r="R83" s="3" t="s">
        <v>2099</v>
      </c>
      <c r="T83" s="3" t="s">
        <v>2100</v>
      </c>
      <c r="U83" s="3" t="s">
        <v>2101</v>
      </c>
      <c r="V83" s="3" t="s">
        <v>2102</v>
      </c>
      <c r="W83" s="3" t="s">
        <v>2099</v>
      </c>
      <c r="X83" s="3" t="s">
        <v>78</v>
      </c>
      <c r="Y83" s="3" t="s">
        <v>2103</v>
      </c>
      <c r="Z83" s="3" t="s">
        <v>2104</v>
      </c>
      <c r="AA83" s="29">
        <v>45909</v>
      </c>
      <c r="AB83" s="3" t="s">
        <v>61</v>
      </c>
      <c r="AC83" s="3" t="str">
        <f>VLOOKUP(A83,'[1]계산서(25하-대전)'!W$4:AI$150,2,FALSE)</f>
        <v>pqpq1230@naver.com</v>
      </c>
      <c r="AD83" s="29">
        <f>VLOOKUP(A83,'[1]계산서(25하-대전)'!W$4:AI$150,3,FALSE)</f>
        <v>45887</v>
      </c>
      <c r="AE83" s="3">
        <f t="shared" si="2"/>
        <v>600000</v>
      </c>
      <c r="AF83" s="3">
        <f>VLOOKUP(A83,'[1]계산서(25하-대전)'!W$4:AI$150,4,FALSE)</f>
        <v>200000</v>
      </c>
      <c r="AG83" s="3">
        <f>VLOOKUP(A83,'[1]계산서(25하-대전)'!W$4:AI$150,5,FALSE)</f>
        <v>400000</v>
      </c>
      <c r="AH83" s="3">
        <f t="shared" si="3"/>
        <v>600000</v>
      </c>
      <c r="AI83" s="29">
        <f>VLOOKUP(A83,'[1]계산서(25하-대전)'!W$4:AI$150,8,FALSE)</f>
        <v>46013</v>
      </c>
      <c r="AJ83" s="3">
        <f>VLOOKUP(A83,'[1]계산서(25하-대전)'!W$4:AI$150,9,FALSE)</f>
        <v>200000</v>
      </c>
      <c r="AK83" s="29">
        <f>VLOOKUP(A83,'[1]계산서(25하-대전)'!W$4:AI$150,10,FALSE)</f>
        <v>45958</v>
      </c>
      <c r="AL83" s="3">
        <f>VLOOKUP(A83,'[1]계산서(25하-대전)'!W$4:AI$150,11,FALSE)</f>
        <v>400000</v>
      </c>
      <c r="AM83" s="3">
        <f>VLOOKUP(A83,'[1]계산서(25하-대전)'!W$4:AI$150,13,FALSE)</f>
        <v>0</v>
      </c>
    </row>
    <row r="84" spans="1:39" x14ac:dyDescent="0.3">
      <c r="A84" s="28" t="s">
        <v>2216</v>
      </c>
      <c r="B84" s="3">
        <v>2025</v>
      </c>
      <c r="C84" s="3" t="s">
        <v>2871</v>
      </c>
      <c r="D84" s="3" t="s">
        <v>94</v>
      </c>
      <c r="E84" s="3" t="s">
        <v>3533</v>
      </c>
      <c r="F84" s="3" t="s">
        <v>3256</v>
      </c>
      <c r="G84" s="12">
        <v>82</v>
      </c>
      <c r="H84" s="12" t="s">
        <v>786</v>
      </c>
      <c r="I84" s="29">
        <v>45883</v>
      </c>
      <c r="J84" s="29">
        <v>45883</v>
      </c>
      <c r="L84" s="3" t="s">
        <v>73</v>
      </c>
      <c r="M84" s="3" t="s">
        <v>3533</v>
      </c>
      <c r="N84" s="3" t="s">
        <v>2218</v>
      </c>
      <c r="O84" s="3">
        <v>12</v>
      </c>
      <c r="P84" s="3">
        <v>1548100136</v>
      </c>
      <c r="Q84" s="3" t="s">
        <v>3257</v>
      </c>
      <c r="R84" s="3" t="s">
        <v>2219</v>
      </c>
      <c r="T84" s="3" t="s">
        <v>2220</v>
      </c>
      <c r="U84" s="3" t="s">
        <v>2221</v>
      </c>
      <c r="V84" s="3" t="s">
        <v>2222</v>
      </c>
      <c r="W84" s="3" t="s">
        <v>2223</v>
      </c>
      <c r="X84" s="3" t="s">
        <v>461</v>
      </c>
      <c r="Y84" s="3" t="s">
        <v>2224</v>
      </c>
      <c r="Z84" s="3" t="s">
        <v>2225</v>
      </c>
      <c r="AA84" s="29">
        <v>45910</v>
      </c>
      <c r="AB84" s="3" t="s">
        <v>218</v>
      </c>
      <c r="AC84" s="3" t="str">
        <f>VLOOKUP(A84,'[1]계산서(25하-대전)'!W$4:AI$150,2,FALSE)</f>
        <v>kkukkuro@hanmail.net</v>
      </c>
      <c r="AD84" s="29">
        <f>VLOOKUP(A84,'[1]계산서(25하-대전)'!W$4:AI$150,3,FALSE)</f>
        <v>45887</v>
      </c>
      <c r="AE84" s="3">
        <f t="shared" si="2"/>
        <v>600000</v>
      </c>
      <c r="AF84" s="3">
        <f>VLOOKUP(A84,'[1]계산서(25하-대전)'!W$4:AI$150,4,FALSE)</f>
        <v>200000</v>
      </c>
      <c r="AG84" s="3">
        <f>VLOOKUP(A84,'[1]계산서(25하-대전)'!W$4:AI$150,5,FALSE)</f>
        <v>400000</v>
      </c>
      <c r="AH84" s="3">
        <f t="shared" si="3"/>
        <v>600000</v>
      </c>
      <c r="AI84" s="29">
        <f>VLOOKUP(A84,'[1]계산서(25하-대전)'!W$4:AI$150,8,FALSE)</f>
        <v>45896</v>
      </c>
      <c r="AJ84" s="3">
        <f>VLOOKUP(A84,'[1]계산서(25하-대전)'!W$4:AI$150,9,FALSE)</f>
        <v>200000</v>
      </c>
      <c r="AK84" s="29">
        <f>VLOOKUP(A84,'[1]계산서(25하-대전)'!W$4:AI$150,10,FALSE)</f>
        <v>45958</v>
      </c>
      <c r="AL84" s="3">
        <f>VLOOKUP(A84,'[1]계산서(25하-대전)'!W$4:AI$150,11,FALSE)</f>
        <v>400000</v>
      </c>
      <c r="AM84" s="3">
        <f>VLOOKUP(A84,'[1]계산서(25하-대전)'!W$4:AI$150,13,FALSE)</f>
        <v>0</v>
      </c>
    </row>
    <row r="85" spans="1:39" x14ac:dyDescent="0.3">
      <c r="A85" s="28" t="s">
        <v>2236</v>
      </c>
      <c r="B85" s="3">
        <v>2025</v>
      </c>
      <c r="C85" s="3" t="s">
        <v>2871</v>
      </c>
      <c r="D85" s="3" t="s">
        <v>94</v>
      </c>
      <c r="E85" s="3" t="s">
        <v>3533</v>
      </c>
      <c r="F85" s="3" t="s">
        <v>3258</v>
      </c>
      <c r="G85" s="12">
        <v>83</v>
      </c>
      <c r="H85" s="12" t="s">
        <v>797</v>
      </c>
      <c r="I85" s="29">
        <v>45883</v>
      </c>
      <c r="J85" s="29">
        <v>45883</v>
      </c>
      <c r="L85" s="3" t="s">
        <v>46</v>
      </c>
      <c r="M85" s="3" t="s">
        <v>3533</v>
      </c>
      <c r="N85" s="3" t="s">
        <v>2238</v>
      </c>
      <c r="O85" s="3">
        <v>23</v>
      </c>
      <c r="P85" s="3">
        <v>3148657560</v>
      </c>
      <c r="Q85" s="3" t="s">
        <v>3259</v>
      </c>
      <c r="R85" s="3" t="s">
        <v>2239</v>
      </c>
      <c r="T85" s="3" t="s">
        <v>2240</v>
      </c>
      <c r="U85" s="3" t="s">
        <v>2241</v>
      </c>
      <c r="V85" s="3" t="s">
        <v>2242</v>
      </c>
      <c r="W85" s="3" t="s">
        <v>2243</v>
      </c>
      <c r="X85" s="3" t="s">
        <v>123</v>
      </c>
      <c r="Y85" s="3" t="s">
        <v>2244</v>
      </c>
      <c r="Z85" s="3" t="s">
        <v>2245</v>
      </c>
      <c r="AA85" s="29">
        <v>45910</v>
      </c>
      <c r="AB85" s="3" t="s">
        <v>218</v>
      </c>
      <c r="AC85" s="3" t="str">
        <f>VLOOKUP(A85,'[1]계산서(25하-대전)'!W$4:AI$150,2,FALSE)</f>
        <v>bestcenter88@hanmail.net</v>
      </c>
      <c r="AD85" s="29">
        <f>VLOOKUP(A85,'[1]계산서(25하-대전)'!W$4:AI$150,3,FALSE)</f>
        <v>45887</v>
      </c>
      <c r="AE85" s="3">
        <f t="shared" si="2"/>
        <v>750000</v>
      </c>
      <c r="AF85" s="3">
        <f>VLOOKUP(A85,'[1]계산서(25하-대전)'!W$4:AI$150,4,FALSE)</f>
        <v>350000</v>
      </c>
      <c r="AG85" s="3">
        <f>VLOOKUP(A85,'[1]계산서(25하-대전)'!W$4:AI$150,5,FALSE)</f>
        <v>400000</v>
      </c>
      <c r="AH85" s="3">
        <f t="shared" si="3"/>
        <v>750000</v>
      </c>
      <c r="AI85" s="29">
        <f>VLOOKUP(A85,'[1]계산서(25하-대전)'!W$4:AI$150,8,FALSE)</f>
        <v>45946</v>
      </c>
      <c r="AJ85" s="3">
        <f>VLOOKUP(A85,'[1]계산서(25하-대전)'!W$4:AI$150,9,FALSE)</f>
        <v>350000</v>
      </c>
      <c r="AK85" s="29">
        <f>VLOOKUP(A85,'[1]계산서(25하-대전)'!W$4:AI$150,10,FALSE)</f>
        <v>45958</v>
      </c>
      <c r="AL85" s="3">
        <f>VLOOKUP(A85,'[1]계산서(25하-대전)'!W$4:AI$150,11,FALSE)</f>
        <v>400000</v>
      </c>
      <c r="AM85" s="3">
        <f>VLOOKUP(A85,'[1]계산서(25하-대전)'!W$4:AI$150,13,FALSE)</f>
        <v>0</v>
      </c>
    </row>
    <row r="86" spans="1:39" x14ac:dyDescent="0.3">
      <c r="A86" s="28" t="s">
        <v>2226</v>
      </c>
      <c r="B86" s="3">
        <v>2025</v>
      </c>
      <c r="C86" s="3" t="s">
        <v>2871</v>
      </c>
      <c r="D86" s="3" t="s">
        <v>94</v>
      </c>
      <c r="E86" s="3" t="s">
        <v>3533</v>
      </c>
      <c r="F86" s="3" t="s">
        <v>3260</v>
      </c>
      <c r="G86" s="12">
        <v>84</v>
      </c>
      <c r="H86" s="12" t="s">
        <v>808</v>
      </c>
      <c r="I86" s="29">
        <v>45883</v>
      </c>
      <c r="J86" s="29">
        <v>45883</v>
      </c>
      <c r="L86" s="3" t="s">
        <v>218</v>
      </c>
      <c r="M86" s="3" t="s">
        <v>3533</v>
      </c>
      <c r="N86" s="3" t="s">
        <v>2228</v>
      </c>
      <c r="O86" s="3">
        <v>5</v>
      </c>
      <c r="P86" s="3">
        <v>3053178464</v>
      </c>
      <c r="Q86" s="3" t="s">
        <v>3261</v>
      </c>
      <c r="R86" s="3" t="s">
        <v>2229</v>
      </c>
      <c r="T86" s="3" t="s">
        <v>2230</v>
      </c>
      <c r="U86" s="3" t="s">
        <v>2231</v>
      </c>
      <c r="V86" s="3" t="s">
        <v>2232</v>
      </c>
      <c r="W86" s="3" t="s">
        <v>2233</v>
      </c>
      <c r="X86" s="3" t="s">
        <v>78</v>
      </c>
      <c r="Y86" s="3" t="s">
        <v>2234</v>
      </c>
      <c r="Z86" s="3" t="s">
        <v>2235</v>
      </c>
      <c r="AA86" s="29">
        <v>45910</v>
      </c>
      <c r="AB86" s="3" t="s">
        <v>218</v>
      </c>
      <c r="AC86" s="3" t="str">
        <f>VLOOKUP(A86,'[1]계산서(25하-대전)'!W$4:AI$150,2,FALSE)</f>
        <v>khr4460@naver.com</v>
      </c>
      <c r="AD86" s="29">
        <f>VLOOKUP(A86,'[1]계산서(25하-대전)'!W$4:AI$150,3,FALSE)</f>
        <v>45887</v>
      </c>
      <c r="AE86" s="3">
        <f t="shared" si="2"/>
        <v>600000</v>
      </c>
      <c r="AF86" s="3">
        <f>VLOOKUP(A86,'[1]계산서(25하-대전)'!W$4:AI$150,4,FALSE)</f>
        <v>200000</v>
      </c>
      <c r="AG86" s="3">
        <f>VLOOKUP(A86,'[1]계산서(25하-대전)'!W$4:AI$150,5,FALSE)</f>
        <v>400000</v>
      </c>
      <c r="AH86" s="3">
        <f t="shared" si="3"/>
        <v>600000</v>
      </c>
      <c r="AI86" s="29">
        <f>VLOOKUP(A86,'[1]계산서(25하-대전)'!W$4:AI$150,8,FALSE)</f>
        <v>45898</v>
      </c>
      <c r="AJ86" s="3">
        <f>VLOOKUP(A86,'[1]계산서(25하-대전)'!W$4:AI$150,9,FALSE)</f>
        <v>200000</v>
      </c>
      <c r="AK86" s="29">
        <f>VLOOKUP(A86,'[1]계산서(25하-대전)'!W$4:AI$150,10,FALSE)</f>
        <v>45958</v>
      </c>
      <c r="AL86" s="3">
        <f>VLOOKUP(A86,'[1]계산서(25하-대전)'!W$4:AI$150,11,FALSE)</f>
        <v>400000</v>
      </c>
      <c r="AM86" s="3">
        <f>VLOOKUP(A86,'[1]계산서(25하-대전)'!W$4:AI$150,13,FALSE)</f>
        <v>0</v>
      </c>
    </row>
    <row r="87" spans="1:39" x14ac:dyDescent="0.3">
      <c r="A87" s="28" t="s">
        <v>2206</v>
      </c>
      <c r="B87" s="3">
        <v>2025</v>
      </c>
      <c r="C87" s="3" t="s">
        <v>2871</v>
      </c>
      <c r="D87" s="3" t="s">
        <v>94</v>
      </c>
      <c r="E87" s="3" t="s">
        <v>3533</v>
      </c>
      <c r="F87" s="3" t="s">
        <v>3262</v>
      </c>
      <c r="G87" s="12">
        <v>85</v>
      </c>
      <c r="H87" s="12" t="s">
        <v>818</v>
      </c>
      <c r="I87" s="29">
        <v>45887</v>
      </c>
      <c r="J87" s="29">
        <v>45887</v>
      </c>
      <c r="L87" s="3" t="s">
        <v>61</v>
      </c>
      <c r="M87" s="3" t="s">
        <v>3533</v>
      </c>
      <c r="N87" s="3" t="s">
        <v>2208</v>
      </c>
      <c r="O87" s="3">
        <v>10</v>
      </c>
      <c r="P87" s="3">
        <v>2788600757</v>
      </c>
      <c r="Q87" s="3" t="s">
        <v>3263</v>
      </c>
      <c r="R87" s="3" t="s">
        <v>2209</v>
      </c>
      <c r="T87" s="3" t="s">
        <v>2210</v>
      </c>
      <c r="U87" s="3" t="s">
        <v>2211</v>
      </c>
      <c r="V87" s="3" t="s">
        <v>2212</v>
      </c>
      <c r="W87" s="3" t="s">
        <v>2213</v>
      </c>
      <c r="Y87" s="3" t="s">
        <v>2214</v>
      </c>
      <c r="Z87" s="3" t="s">
        <v>2215</v>
      </c>
      <c r="AA87" s="29">
        <v>45916</v>
      </c>
      <c r="AB87" s="3" t="s">
        <v>181</v>
      </c>
      <c r="AC87" s="3" t="str">
        <f>VLOOKUP(A87,'[1]계산서(25하-대전)'!W$4:AI$150,2,FALSE)</f>
        <v>ki5842929@naver.com</v>
      </c>
      <c r="AD87" s="29">
        <f>VLOOKUP(A87,'[1]계산서(25하-대전)'!W$4:AI$150,3,FALSE)</f>
        <v>45888</v>
      </c>
      <c r="AE87" s="3">
        <f t="shared" si="2"/>
        <v>600000</v>
      </c>
      <c r="AF87" s="3">
        <f>VLOOKUP(A87,'[1]계산서(25하-대전)'!W$4:AI$150,4,FALSE)</f>
        <v>200000</v>
      </c>
      <c r="AG87" s="3">
        <f>VLOOKUP(A87,'[1]계산서(25하-대전)'!W$4:AI$150,5,FALSE)</f>
        <v>400000</v>
      </c>
      <c r="AH87" s="3">
        <f t="shared" si="3"/>
        <v>600000</v>
      </c>
      <c r="AI87" s="29">
        <f>VLOOKUP(A87,'[1]계산서(25하-대전)'!W$4:AI$150,8,FALSE)</f>
        <v>45919</v>
      </c>
      <c r="AJ87" s="3">
        <f>VLOOKUP(A87,'[1]계산서(25하-대전)'!W$4:AI$150,9,FALSE)</f>
        <v>200000</v>
      </c>
      <c r="AK87" s="29">
        <f>VLOOKUP(A87,'[1]계산서(25하-대전)'!W$4:AI$150,10,FALSE)</f>
        <v>45958</v>
      </c>
      <c r="AL87" s="3">
        <f>VLOOKUP(A87,'[1]계산서(25하-대전)'!W$4:AI$150,11,FALSE)</f>
        <v>400000</v>
      </c>
      <c r="AM87" s="3">
        <f>VLOOKUP(A87,'[1]계산서(25하-대전)'!W$4:AI$150,13,FALSE)</f>
        <v>0</v>
      </c>
    </row>
    <row r="88" spans="1:39" x14ac:dyDescent="0.3">
      <c r="A88" s="28" t="s">
        <v>2187</v>
      </c>
      <c r="B88" s="3">
        <v>2025</v>
      </c>
      <c r="C88" s="3" t="s">
        <v>2871</v>
      </c>
      <c r="D88" s="3" t="s">
        <v>94</v>
      </c>
      <c r="E88" s="3" t="s">
        <v>3533</v>
      </c>
      <c r="F88" s="3" t="s">
        <v>3264</v>
      </c>
      <c r="G88" s="12">
        <v>86</v>
      </c>
      <c r="H88" s="12" t="s">
        <v>828</v>
      </c>
      <c r="I88" s="29">
        <v>45887</v>
      </c>
      <c r="J88" s="29">
        <v>45887</v>
      </c>
      <c r="L88" s="3" t="s">
        <v>97</v>
      </c>
      <c r="M88" s="3" t="s">
        <v>3533</v>
      </c>
      <c r="N88" s="3" t="s">
        <v>2189</v>
      </c>
      <c r="O88" s="3">
        <v>11</v>
      </c>
      <c r="P88" s="3">
        <v>7328702839</v>
      </c>
      <c r="Q88" s="3" t="s">
        <v>3265</v>
      </c>
      <c r="R88" s="3" t="s">
        <v>2190</v>
      </c>
      <c r="T88" s="3" t="s">
        <v>2191</v>
      </c>
      <c r="U88" s="3" t="s">
        <v>2192</v>
      </c>
      <c r="V88" s="3" t="s">
        <v>2193</v>
      </c>
      <c r="W88" s="3" t="s">
        <v>2194</v>
      </c>
      <c r="X88" s="3" t="s">
        <v>2159</v>
      </c>
      <c r="Y88" s="3" t="s">
        <v>2195</v>
      </c>
      <c r="Z88" s="3" t="s">
        <v>2196</v>
      </c>
      <c r="AA88" s="29">
        <v>45916</v>
      </c>
      <c r="AB88" s="3" t="s">
        <v>181</v>
      </c>
      <c r="AC88" s="3" t="str">
        <f>VLOOKUP(A88,'[1]계산서(25하-대전)'!W$4:AI$150,2,FALSE)</f>
        <v>jks2513@naver.com</v>
      </c>
      <c r="AD88" s="29">
        <f>VLOOKUP(A88,'[1]계산서(25하-대전)'!W$4:AI$150,3,FALSE)</f>
        <v>45888</v>
      </c>
      <c r="AE88" s="3">
        <f t="shared" si="2"/>
        <v>600000</v>
      </c>
      <c r="AF88" s="3">
        <f>VLOOKUP(A88,'[1]계산서(25하-대전)'!W$4:AI$150,4,FALSE)</f>
        <v>200000</v>
      </c>
      <c r="AG88" s="3">
        <f>VLOOKUP(A88,'[1]계산서(25하-대전)'!W$4:AI$150,5,FALSE)</f>
        <v>400000</v>
      </c>
      <c r="AH88" s="3">
        <f t="shared" si="3"/>
        <v>600000</v>
      </c>
      <c r="AI88" s="29">
        <f>VLOOKUP(A88,'[1]계산서(25하-대전)'!W$4:AI$150,8,FALSE)</f>
        <v>45891</v>
      </c>
      <c r="AJ88" s="3">
        <f>VLOOKUP(A88,'[1]계산서(25하-대전)'!W$4:AI$150,9,FALSE)</f>
        <v>200000</v>
      </c>
      <c r="AK88" s="29">
        <f>VLOOKUP(A88,'[1]계산서(25하-대전)'!W$4:AI$150,10,FALSE)</f>
        <v>45958</v>
      </c>
      <c r="AL88" s="3">
        <f>VLOOKUP(A88,'[1]계산서(25하-대전)'!W$4:AI$150,11,FALSE)</f>
        <v>400000</v>
      </c>
      <c r="AM88" s="3">
        <f>VLOOKUP(A88,'[1]계산서(25하-대전)'!W$4:AI$150,13,FALSE)</f>
        <v>0</v>
      </c>
    </row>
    <row r="89" spans="1:39" x14ac:dyDescent="0.3">
      <c r="A89" s="28" t="s">
        <v>2197</v>
      </c>
      <c r="B89" s="3">
        <v>2025</v>
      </c>
      <c r="C89" s="3" t="s">
        <v>2871</v>
      </c>
      <c r="D89" s="3" t="s">
        <v>94</v>
      </c>
      <c r="E89" s="3" t="s">
        <v>3533</v>
      </c>
      <c r="F89" s="3" t="s">
        <v>3266</v>
      </c>
      <c r="G89" s="12">
        <v>87</v>
      </c>
      <c r="H89" s="12" t="s">
        <v>839</v>
      </c>
      <c r="I89" s="29">
        <v>45887</v>
      </c>
      <c r="J89" s="29">
        <v>45887</v>
      </c>
      <c r="L89" s="3" t="s">
        <v>181</v>
      </c>
      <c r="M89" s="3" t="s">
        <v>3533</v>
      </c>
      <c r="N89" s="3" t="s">
        <v>3267</v>
      </c>
      <c r="O89" s="3">
        <v>18</v>
      </c>
      <c r="P89" s="3">
        <v>4798100976</v>
      </c>
      <c r="Q89" s="3" t="s">
        <v>3268</v>
      </c>
      <c r="R89" s="3" t="s">
        <v>2200</v>
      </c>
      <c r="T89" s="3" t="s">
        <v>2201</v>
      </c>
      <c r="U89" s="3" t="s">
        <v>2202</v>
      </c>
      <c r="V89" s="3" t="s">
        <v>2203</v>
      </c>
      <c r="W89" s="3" t="s">
        <v>2200</v>
      </c>
      <c r="X89" s="3" t="s">
        <v>78</v>
      </c>
      <c r="Y89" s="3" t="s">
        <v>2204</v>
      </c>
      <c r="Z89" s="3" t="s">
        <v>2205</v>
      </c>
      <c r="AA89" s="29">
        <v>45916</v>
      </c>
      <c r="AB89" s="3" t="s">
        <v>181</v>
      </c>
      <c r="AC89" s="3" t="str">
        <f>VLOOKUP(A89,'[1]계산서(25하-대전)'!W$4:AI$150,2,FALSE)</f>
        <v>21cm0203@naver.com</v>
      </c>
      <c r="AD89" s="29">
        <f>VLOOKUP(A89,'[1]계산서(25하-대전)'!W$4:AI$150,3,FALSE)</f>
        <v>45888</v>
      </c>
      <c r="AE89" s="3">
        <f t="shared" si="2"/>
        <v>600000</v>
      </c>
      <c r="AF89" s="3">
        <f>VLOOKUP(A89,'[1]계산서(25하-대전)'!W$4:AI$150,4,FALSE)</f>
        <v>200000</v>
      </c>
      <c r="AG89" s="3">
        <f>VLOOKUP(A89,'[1]계산서(25하-대전)'!W$4:AI$150,5,FALSE)</f>
        <v>400000</v>
      </c>
      <c r="AH89" s="3">
        <f t="shared" si="3"/>
        <v>600000</v>
      </c>
      <c r="AI89" s="29">
        <f>VLOOKUP(A89,'[1]계산서(25하-대전)'!W$4:AI$150,8,FALSE)</f>
        <v>45889</v>
      </c>
      <c r="AJ89" s="3">
        <f>VLOOKUP(A89,'[1]계산서(25하-대전)'!W$4:AI$150,9,FALSE)</f>
        <v>200000</v>
      </c>
      <c r="AK89" s="29">
        <f>VLOOKUP(A89,'[1]계산서(25하-대전)'!W$4:AI$150,10,FALSE)</f>
        <v>45958</v>
      </c>
      <c r="AL89" s="3">
        <f>VLOOKUP(A89,'[1]계산서(25하-대전)'!W$4:AI$150,11,FALSE)</f>
        <v>400000</v>
      </c>
      <c r="AM89" s="3">
        <f>VLOOKUP(A89,'[1]계산서(25하-대전)'!W$4:AI$150,13,FALSE)</f>
        <v>0</v>
      </c>
    </row>
    <row r="90" spans="1:39" x14ac:dyDescent="0.3">
      <c r="A90" s="28" t="s">
        <v>2304</v>
      </c>
      <c r="B90" s="3">
        <v>2025</v>
      </c>
      <c r="C90" s="3" t="s">
        <v>2871</v>
      </c>
      <c r="D90" s="3" t="s">
        <v>94</v>
      </c>
      <c r="E90" s="3" t="s">
        <v>3533</v>
      </c>
      <c r="F90" s="3" t="s">
        <v>3269</v>
      </c>
      <c r="G90" s="12">
        <v>88</v>
      </c>
      <c r="H90" s="12" t="s">
        <v>851</v>
      </c>
      <c r="I90" s="29">
        <v>45887</v>
      </c>
      <c r="J90" s="29">
        <v>45887</v>
      </c>
      <c r="L90" s="3" t="s">
        <v>73</v>
      </c>
      <c r="M90" s="3" t="s">
        <v>3533</v>
      </c>
      <c r="N90" s="3" t="s">
        <v>3270</v>
      </c>
      <c r="O90" s="3">
        <v>12</v>
      </c>
      <c r="P90" s="3">
        <v>5248800426</v>
      </c>
      <c r="Q90" s="3" t="s">
        <v>3271</v>
      </c>
      <c r="R90" s="3" t="s">
        <v>2307</v>
      </c>
      <c r="T90" s="3" t="s">
        <v>2308</v>
      </c>
      <c r="U90" s="3" t="s">
        <v>2309</v>
      </c>
      <c r="V90" s="3" t="s">
        <v>2310</v>
      </c>
      <c r="W90" s="3" t="s">
        <v>2307</v>
      </c>
      <c r="X90" s="3" t="s">
        <v>78</v>
      </c>
      <c r="Y90" s="3" t="s">
        <v>2311</v>
      </c>
      <c r="Z90" s="3" t="s">
        <v>2312</v>
      </c>
      <c r="AA90" s="29">
        <v>45915</v>
      </c>
      <c r="AB90" s="3" t="s">
        <v>73</v>
      </c>
      <c r="AC90" s="3" t="str">
        <f>VLOOKUP(A90,'[1]계산서(25하-대전)'!W$4:AI$150,2,FALSE)</f>
        <v>love2772@hanmail.net</v>
      </c>
      <c r="AD90" s="29">
        <f>VLOOKUP(A90,'[1]계산서(25하-대전)'!W$4:AI$150,3,FALSE)</f>
        <v>45888</v>
      </c>
      <c r="AE90" s="3">
        <f t="shared" si="2"/>
        <v>600000</v>
      </c>
      <c r="AF90" s="3">
        <f>VLOOKUP(A90,'[1]계산서(25하-대전)'!W$4:AI$150,4,FALSE)</f>
        <v>200000</v>
      </c>
      <c r="AG90" s="3">
        <f>VLOOKUP(A90,'[1]계산서(25하-대전)'!W$4:AI$150,5,FALSE)</f>
        <v>400000</v>
      </c>
      <c r="AH90" s="3">
        <f t="shared" si="3"/>
        <v>600000</v>
      </c>
      <c r="AI90" s="29">
        <f>VLOOKUP(A90,'[1]계산서(25하-대전)'!W$4:AI$150,8,FALSE)</f>
        <v>45888</v>
      </c>
      <c r="AJ90" s="3">
        <f>VLOOKUP(A90,'[1]계산서(25하-대전)'!W$4:AI$150,9,FALSE)</f>
        <v>200000</v>
      </c>
      <c r="AK90" s="29">
        <f>VLOOKUP(A90,'[1]계산서(25하-대전)'!W$4:AI$150,10,FALSE)</f>
        <v>45958</v>
      </c>
      <c r="AL90" s="3">
        <f>VLOOKUP(A90,'[1]계산서(25하-대전)'!W$4:AI$150,11,FALSE)</f>
        <v>400000</v>
      </c>
      <c r="AM90" s="3" t="str">
        <f>VLOOKUP(A90,'[1]계산서(25하-대전)'!W$4:AI$150,13,FALSE)</f>
        <v>9/29일 이중입금, 9/30 환불</v>
      </c>
    </row>
    <row r="91" spans="1:39" x14ac:dyDescent="0.3">
      <c r="A91" s="28" t="s">
        <v>2313</v>
      </c>
      <c r="B91" s="3">
        <v>2025</v>
      </c>
      <c r="C91" s="3" t="s">
        <v>2871</v>
      </c>
      <c r="D91" s="3" t="s">
        <v>94</v>
      </c>
      <c r="E91" s="3" t="s">
        <v>3533</v>
      </c>
      <c r="F91" s="3" t="s">
        <v>3273</v>
      </c>
      <c r="G91" s="12">
        <v>89</v>
      </c>
      <c r="H91" s="12" t="s">
        <v>862</v>
      </c>
      <c r="I91" s="29">
        <v>45887</v>
      </c>
      <c r="J91" s="29">
        <v>45887</v>
      </c>
      <c r="L91" s="3" t="s">
        <v>46</v>
      </c>
      <c r="M91" s="3" t="s">
        <v>3533</v>
      </c>
      <c r="N91" s="3" t="s">
        <v>2316</v>
      </c>
      <c r="O91" s="3">
        <v>5</v>
      </c>
      <c r="P91" s="3">
        <v>5263700094</v>
      </c>
      <c r="Q91" s="3" t="s">
        <v>3274</v>
      </c>
      <c r="R91" s="3" t="s">
        <v>2317</v>
      </c>
      <c r="T91" s="3" t="s">
        <v>2318</v>
      </c>
      <c r="U91" s="3" t="s">
        <v>2319</v>
      </c>
      <c r="V91" s="3" t="s">
        <v>2320</v>
      </c>
      <c r="W91" s="3" t="s">
        <v>2321</v>
      </c>
      <c r="X91" s="3" t="s">
        <v>112</v>
      </c>
      <c r="Y91" s="3" t="s">
        <v>2322</v>
      </c>
      <c r="Z91" s="3" t="s">
        <v>2323</v>
      </c>
      <c r="AA91" s="29">
        <v>45915</v>
      </c>
      <c r="AB91" s="3" t="s">
        <v>73</v>
      </c>
      <c r="AC91" s="3" t="str">
        <f>VLOOKUP(A91,'[1]계산서(25하-대전)'!W$4:AI$150,2,FALSE)</f>
        <v>sunsuga1970@naver.com</v>
      </c>
      <c r="AD91" s="29">
        <f>VLOOKUP(A91,'[1]계산서(25하-대전)'!W$4:AI$150,3,FALSE)</f>
        <v>45888</v>
      </c>
      <c r="AE91" s="3">
        <f t="shared" si="2"/>
        <v>600000</v>
      </c>
      <c r="AF91" s="3">
        <f>VLOOKUP(A91,'[1]계산서(25하-대전)'!W$4:AI$150,4,FALSE)</f>
        <v>200000</v>
      </c>
      <c r="AG91" s="3">
        <f>VLOOKUP(A91,'[1]계산서(25하-대전)'!W$4:AI$150,5,FALSE)</f>
        <v>400000</v>
      </c>
      <c r="AH91" s="3">
        <f t="shared" si="3"/>
        <v>600000</v>
      </c>
      <c r="AI91" s="29">
        <f>VLOOKUP(A91,'[1]계산서(25하-대전)'!W$4:AI$150,8,FALSE)</f>
        <v>45925</v>
      </c>
      <c r="AJ91" s="3">
        <f>VLOOKUP(A91,'[1]계산서(25하-대전)'!W$4:AI$150,9,FALSE)</f>
        <v>200000</v>
      </c>
      <c r="AK91" s="29">
        <f>VLOOKUP(A91,'[1]계산서(25하-대전)'!W$4:AI$150,10,FALSE)</f>
        <v>45958</v>
      </c>
      <c r="AL91" s="3">
        <f>VLOOKUP(A91,'[1]계산서(25하-대전)'!W$4:AI$150,11,FALSE)</f>
        <v>400000</v>
      </c>
      <c r="AM91" s="3" t="str">
        <f>VLOOKUP(A91,'[1]계산서(25하-대전)'!W$4:AI$150,13,FALSE)</f>
        <v>26년 상반기 측정료 12/16 입금 및 계산서 발행 완료</v>
      </c>
    </row>
    <row r="92" spans="1:39" x14ac:dyDescent="0.3">
      <c r="A92" s="28" t="s">
        <v>2466</v>
      </c>
      <c r="B92" s="3">
        <v>2025</v>
      </c>
      <c r="C92" s="3" t="s">
        <v>2871</v>
      </c>
      <c r="D92" s="3" t="s">
        <v>94</v>
      </c>
      <c r="E92" s="3" t="s">
        <v>3533</v>
      </c>
      <c r="F92" s="3" t="s">
        <v>3276</v>
      </c>
      <c r="G92" s="12">
        <v>90</v>
      </c>
      <c r="H92" s="12" t="s">
        <v>870</v>
      </c>
      <c r="I92" s="29">
        <v>45887</v>
      </c>
      <c r="J92" s="29">
        <v>45887</v>
      </c>
      <c r="L92" s="3" t="s">
        <v>218</v>
      </c>
      <c r="M92" s="3" t="s">
        <v>3533</v>
      </c>
      <c r="N92" s="3" t="s">
        <v>2468</v>
      </c>
      <c r="O92" s="3">
        <v>7</v>
      </c>
      <c r="P92" s="3">
        <v>3148155534</v>
      </c>
      <c r="Q92" s="3" t="s">
        <v>3277</v>
      </c>
      <c r="R92" s="3" t="s">
        <v>2469</v>
      </c>
      <c r="T92" s="3" t="s">
        <v>2470</v>
      </c>
      <c r="U92" s="3" t="s">
        <v>2471</v>
      </c>
      <c r="V92" s="3" t="s">
        <v>2472</v>
      </c>
      <c r="W92" s="3" t="s">
        <v>2473</v>
      </c>
      <c r="X92" s="3" t="s">
        <v>78</v>
      </c>
      <c r="Y92" s="3" t="s">
        <v>2474</v>
      </c>
      <c r="Z92" s="3" t="s">
        <v>2475</v>
      </c>
      <c r="AA92" s="29">
        <v>45915</v>
      </c>
      <c r="AB92" s="3" t="s">
        <v>73</v>
      </c>
      <c r="AC92" s="3" t="str">
        <f>VLOOKUP(A92,'[1]계산서(25하-대전)'!W$4:AI$150,2,FALSE)</f>
        <v>sdg8297@hanmail.net</v>
      </c>
      <c r="AD92" s="29">
        <f>VLOOKUP(A92,'[1]계산서(25하-대전)'!W$4:AI$150,3,FALSE)</f>
        <v>45888</v>
      </c>
      <c r="AE92" s="3">
        <f t="shared" si="2"/>
        <v>600000</v>
      </c>
      <c r="AF92" s="3">
        <f>VLOOKUP(A92,'[1]계산서(25하-대전)'!W$4:AI$150,4,FALSE)</f>
        <v>200000</v>
      </c>
      <c r="AG92" s="3">
        <f>VLOOKUP(A92,'[1]계산서(25하-대전)'!W$4:AI$150,5,FALSE)</f>
        <v>400000</v>
      </c>
      <c r="AH92" s="3">
        <f t="shared" si="3"/>
        <v>600000</v>
      </c>
      <c r="AI92" s="29">
        <f>VLOOKUP(A92,'[1]계산서(25하-대전)'!W$4:AI$150,8,FALSE)</f>
        <v>45895</v>
      </c>
      <c r="AJ92" s="3">
        <f>VLOOKUP(A92,'[1]계산서(25하-대전)'!W$4:AI$150,9,FALSE)</f>
        <v>200000</v>
      </c>
      <c r="AK92" s="29">
        <f>VLOOKUP(A92,'[1]계산서(25하-대전)'!W$4:AI$150,10,FALSE)</f>
        <v>45958</v>
      </c>
      <c r="AL92" s="3">
        <f>VLOOKUP(A92,'[1]계산서(25하-대전)'!W$4:AI$150,11,FALSE)</f>
        <v>400000</v>
      </c>
      <c r="AM92" s="3">
        <f>VLOOKUP(A92,'[1]계산서(25하-대전)'!W$4:AI$150,13,FALSE)</f>
        <v>0</v>
      </c>
    </row>
    <row r="93" spans="1:39" x14ac:dyDescent="0.3">
      <c r="A93" s="28" t="s">
        <v>2381</v>
      </c>
      <c r="B93" s="3">
        <v>2025</v>
      </c>
      <c r="C93" s="3" t="s">
        <v>2871</v>
      </c>
      <c r="D93" s="3" t="s">
        <v>94</v>
      </c>
      <c r="E93" s="3" t="s">
        <v>3533</v>
      </c>
      <c r="F93" s="3" t="s">
        <v>3278</v>
      </c>
      <c r="G93" s="12">
        <v>91</v>
      </c>
      <c r="H93" s="12" t="s">
        <v>889</v>
      </c>
      <c r="I93" s="29">
        <v>45888</v>
      </c>
      <c r="J93" s="29">
        <v>45888</v>
      </c>
      <c r="L93" s="3" t="s">
        <v>97</v>
      </c>
      <c r="M93" s="3" t="s">
        <v>3533</v>
      </c>
      <c r="N93" s="3" t="s">
        <v>2383</v>
      </c>
      <c r="O93" s="3">
        <v>11</v>
      </c>
      <c r="P93" s="3">
        <v>3030524866</v>
      </c>
      <c r="Q93" s="3" t="s">
        <v>3279</v>
      </c>
      <c r="R93" s="3" t="s">
        <v>2384</v>
      </c>
      <c r="T93" s="3" t="s">
        <v>2385</v>
      </c>
      <c r="U93" s="3" t="s">
        <v>2386</v>
      </c>
      <c r="V93" s="3" t="s">
        <v>2387</v>
      </c>
      <c r="W93" s="3" t="s">
        <v>2384</v>
      </c>
      <c r="X93" s="3" t="s">
        <v>78</v>
      </c>
      <c r="Y93" s="3" t="s">
        <v>2388</v>
      </c>
      <c r="Z93" s="3" t="s">
        <v>2389</v>
      </c>
      <c r="AA93" s="29"/>
      <c r="AC93" s="3" t="str">
        <f>VLOOKUP(A93,'[1]계산서(25하-대전)'!W$4:AI$150,2,FALSE)</f>
        <v>NS24866@daum.net</v>
      </c>
      <c r="AD93" s="29">
        <f>VLOOKUP(A93,'[1]계산서(25하-대전)'!W$4:AI$150,3,FALSE)</f>
        <v>45889</v>
      </c>
      <c r="AE93" s="3">
        <f t="shared" si="2"/>
        <v>600000</v>
      </c>
      <c r="AF93" s="3">
        <f>VLOOKUP(A93,'[1]계산서(25하-대전)'!W$4:AI$150,4,FALSE)</f>
        <v>200000</v>
      </c>
      <c r="AG93" s="3">
        <f>VLOOKUP(A93,'[1]계산서(25하-대전)'!W$4:AI$150,5,FALSE)</f>
        <v>400000</v>
      </c>
      <c r="AH93" s="3">
        <f t="shared" si="3"/>
        <v>600000</v>
      </c>
      <c r="AI93" s="29">
        <f>VLOOKUP(A93,'[1]계산서(25하-대전)'!W$4:AI$150,8,FALSE)</f>
        <v>45965</v>
      </c>
      <c r="AJ93" s="3">
        <f>VLOOKUP(A93,'[1]계산서(25하-대전)'!W$4:AI$150,9,FALSE)</f>
        <v>200000</v>
      </c>
      <c r="AK93" s="29">
        <f>VLOOKUP(A93,'[1]계산서(25하-대전)'!W$4:AI$150,10,FALSE)</f>
        <v>45958</v>
      </c>
      <c r="AL93" s="3">
        <f>VLOOKUP(A93,'[1]계산서(25하-대전)'!W$4:AI$150,11,FALSE)</f>
        <v>400000</v>
      </c>
      <c r="AM93" s="3">
        <f>VLOOKUP(A93,'[1]계산서(25하-대전)'!W$4:AI$150,13,FALSE)</f>
        <v>0</v>
      </c>
    </row>
    <row r="94" spans="1:39" x14ac:dyDescent="0.3">
      <c r="A94" s="28" t="s">
        <v>2390</v>
      </c>
      <c r="B94" s="3">
        <v>2025</v>
      </c>
      <c r="C94" s="3" t="s">
        <v>2871</v>
      </c>
      <c r="D94" s="3" t="s">
        <v>94</v>
      </c>
      <c r="E94" s="3" t="s">
        <v>3533</v>
      </c>
      <c r="F94" s="3" t="s">
        <v>3280</v>
      </c>
      <c r="G94" s="12">
        <v>92</v>
      </c>
      <c r="H94" s="12" t="s">
        <v>908</v>
      </c>
      <c r="I94" s="29">
        <v>45888</v>
      </c>
      <c r="J94" s="29">
        <v>45888</v>
      </c>
      <c r="L94" s="3" t="s">
        <v>218</v>
      </c>
      <c r="M94" s="3" t="s">
        <v>3533</v>
      </c>
      <c r="N94" s="3" t="s">
        <v>2392</v>
      </c>
      <c r="O94" s="3">
        <v>5</v>
      </c>
      <c r="P94" s="3">
        <v>1022667006</v>
      </c>
      <c r="Q94" s="3" t="s">
        <v>3281</v>
      </c>
      <c r="R94" s="3" t="s">
        <v>2393</v>
      </c>
      <c r="T94" s="3" t="s">
        <v>2394</v>
      </c>
      <c r="U94" s="3" t="s">
        <v>2395</v>
      </c>
      <c r="V94" s="3" t="s">
        <v>2396</v>
      </c>
      <c r="W94" s="3" t="s">
        <v>2393</v>
      </c>
      <c r="X94" s="3" t="s">
        <v>78</v>
      </c>
      <c r="Y94" s="3" t="s">
        <v>2397</v>
      </c>
      <c r="Z94" s="3" t="s">
        <v>2398</v>
      </c>
      <c r="AA94" s="29"/>
      <c r="AC94" s="3" t="str">
        <f>VLOOKUP(A94,'[1]계산서(25하-대전)'!W$4:AI$150,2,FALSE)</f>
        <v>youngran4567@naver.com</v>
      </c>
      <c r="AD94" s="29">
        <f>VLOOKUP(A94,'[1]계산서(25하-대전)'!W$4:AI$150,3,FALSE)</f>
        <v>45889</v>
      </c>
      <c r="AE94" s="3">
        <f t="shared" si="2"/>
        <v>600000</v>
      </c>
      <c r="AF94" s="3">
        <f>VLOOKUP(A94,'[1]계산서(25하-대전)'!W$4:AI$150,4,FALSE)</f>
        <v>200000</v>
      </c>
      <c r="AG94" s="3">
        <f>VLOOKUP(A94,'[1]계산서(25하-대전)'!W$4:AI$150,5,FALSE)</f>
        <v>400000</v>
      </c>
      <c r="AH94" s="3">
        <f t="shared" si="3"/>
        <v>600000</v>
      </c>
      <c r="AI94" s="29">
        <f>VLOOKUP(A94,'[1]계산서(25하-대전)'!W$4:AI$150,8,FALSE)</f>
        <v>46009</v>
      </c>
      <c r="AJ94" s="3">
        <f>VLOOKUP(A94,'[1]계산서(25하-대전)'!W$4:AI$150,9,FALSE)</f>
        <v>200000</v>
      </c>
      <c r="AK94" s="29">
        <f>VLOOKUP(A94,'[1]계산서(25하-대전)'!W$4:AI$150,10,FALSE)</f>
        <v>45958</v>
      </c>
      <c r="AL94" s="3">
        <f>VLOOKUP(A94,'[1]계산서(25하-대전)'!W$4:AI$150,11,FALSE)</f>
        <v>400000</v>
      </c>
      <c r="AM94" s="3">
        <f>VLOOKUP(A94,'[1]계산서(25하-대전)'!W$4:AI$150,13,FALSE)</f>
        <v>0</v>
      </c>
    </row>
    <row r="95" spans="1:39" x14ac:dyDescent="0.3">
      <c r="A95" s="28" t="s">
        <v>2399</v>
      </c>
      <c r="B95" s="3">
        <v>2025</v>
      </c>
      <c r="C95" s="3" t="s">
        <v>2871</v>
      </c>
      <c r="D95" s="3" t="s">
        <v>94</v>
      </c>
      <c r="E95" s="3" t="s">
        <v>3533</v>
      </c>
      <c r="F95" s="3" t="s">
        <v>3282</v>
      </c>
      <c r="G95" s="12">
        <v>93</v>
      </c>
      <c r="H95" s="12" t="s">
        <v>918</v>
      </c>
      <c r="I95" s="29">
        <v>45888</v>
      </c>
      <c r="J95" s="29">
        <v>45888</v>
      </c>
      <c r="L95" s="3" t="s">
        <v>181</v>
      </c>
      <c r="M95" s="3" t="s">
        <v>3533</v>
      </c>
      <c r="N95" s="3" t="s">
        <v>2401</v>
      </c>
      <c r="O95" s="3">
        <v>12</v>
      </c>
      <c r="P95" s="3">
        <v>3064776723</v>
      </c>
      <c r="Q95" s="3" t="s">
        <v>3283</v>
      </c>
      <c r="R95" s="3" t="s">
        <v>2402</v>
      </c>
      <c r="T95" s="3" t="s">
        <v>2403</v>
      </c>
      <c r="U95" s="3" t="s">
        <v>2404</v>
      </c>
      <c r="V95" s="3" t="s">
        <v>2405</v>
      </c>
      <c r="W95" s="3" t="s">
        <v>2406</v>
      </c>
      <c r="X95" s="3" t="s">
        <v>2407</v>
      </c>
      <c r="Y95" s="3" t="s">
        <v>2408</v>
      </c>
      <c r="Z95" s="3" t="s">
        <v>2409</v>
      </c>
      <c r="AA95" s="29"/>
      <c r="AC95" s="3" t="str">
        <f>VLOOKUP(A95,'[1]계산서(25하-대전)'!W$4:AI$150,2,FALSE)</f>
        <v>sdj3254@hometax.go.kr</v>
      </c>
      <c r="AD95" s="29">
        <f>VLOOKUP(A95,'[1]계산서(25하-대전)'!W$4:AI$150,3,FALSE)</f>
        <v>45889</v>
      </c>
      <c r="AE95" s="3">
        <f t="shared" si="2"/>
        <v>600000</v>
      </c>
      <c r="AF95" s="3">
        <f>VLOOKUP(A95,'[1]계산서(25하-대전)'!W$4:AI$150,4,FALSE)</f>
        <v>200000</v>
      </c>
      <c r="AG95" s="3">
        <f>VLOOKUP(A95,'[1]계산서(25하-대전)'!W$4:AI$150,5,FALSE)</f>
        <v>400000</v>
      </c>
      <c r="AH95" s="3">
        <f t="shared" si="3"/>
        <v>600000</v>
      </c>
      <c r="AI95" s="29">
        <f>VLOOKUP(A95,'[1]계산서(25하-대전)'!W$4:AI$150,8,FALSE)</f>
        <v>45915</v>
      </c>
      <c r="AJ95" s="3">
        <f>VLOOKUP(A95,'[1]계산서(25하-대전)'!W$4:AI$150,9,FALSE)</f>
        <v>200000</v>
      </c>
      <c r="AK95" s="29">
        <f>VLOOKUP(A95,'[1]계산서(25하-대전)'!W$4:AI$150,10,FALSE)</f>
        <v>45958</v>
      </c>
      <c r="AL95" s="3">
        <f>VLOOKUP(A95,'[1]계산서(25하-대전)'!W$4:AI$150,11,FALSE)</f>
        <v>400000</v>
      </c>
      <c r="AM95" s="3">
        <f>VLOOKUP(A95,'[1]계산서(25하-대전)'!W$4:AI$150,13,FALSE)</f>
        <v>0</v>
      </c>
    </row>
    <row r="96" spans="1:39" x14ac:dyDescent="0.3">
      <c r="A96" s="28" t="s">
        <v>2456</v>
      </c>
      <c r="B96" s="3">
        <v>2025</v>
      </c>
      <c r="C96" s="3" t="s">
        <v>2871</v>
      </c>
      <c r="D96" s="3" t="s">
        <v>94</v>
      </c>
      <c r="E96" s="3" t="s">
        <v>3533</v>
      </c>
      <c r="F96" s="3" t="s">
        <v>3284</v>
      </c>
      <c r="G96" s="12">
        <v>94</v>
      </c>
      <c r="H96" s="12" t="s">
        <v>929</v>
      </c>
      <c r="I96" s="29">
        <v>45888</v>
      </c>
      <c r="J96" s="29">
        <v>45888</v>
      </c>
      <c r="L96" s="3" t="s">
        <v>73</v>
      </c>
      <c r="M96" s="3" t="s">
        <v>3533</v>
      </c>
      <c r="N96" s="3" t="s">
        <v>2458</v>
      </c>
      <c r="O96" s="3">
        <v>14</v>
      </c>
      <c r="P96" s="3">
        <v>3148190491</v>
      </c>
      <c r="Q96" s="3" t="s">
        <v>3285</v>
      </c>
      <c r="R96" s="3" t="s">
        <v>2459</v>
      </c>
      <c r="T96" s="3" t="s">
        <v>2460</v>
      </c>
      <c r="U96" s="3" t="s">
        <v>2461</v>
      </c>
      <c r="V96" s="3" t="s">
        <v>2462</v>
      </c>
      <c r="W96" s="3" t="s">
        <v>2463</v>
      </c>
      <c r="X96" s="3" t="s">
        <v>461</v>
      </c>
      <c r="Y96" s="3" t="s">
        <v>2464</v>
      </c>
      <c r="Z96" s="3" t="s">
        <v>2465</v>
      </c>
      <c r="AA96" s="29">
        <v>45915</v>
      </c>
      <c r="AB96" s="3" t="s">
        <v>73</v>
      </c>
      <c r="AC96" s="3" t="str">
        <f>VLOOKUP(A96,'[1]계산서(25하-대전)'!W$4:AI$150,2,FALSE)</f>
        <v>hans6279@naver.com</v>
      </c>
      <c r="AD96" s="29">
        <f>VLOOKUP(A96,'[1]계산서(25하-대전)'!W$4:AI$150,3,FALSE)</f>
        <v>45889</v>
      </c>
      <c r="AE96" s="3">
        <f t="shared" si="2"/>
        <v>600000</v>
      </c>
      <c r="AF96" s="3">
        <f>VLOOKUP(A96,'[1]계산서(25하-대전)'!W$4:AI$150,4,FALSE)</f>
        <v>200000</v>
      </c>
      <c r="AG96" s="3">
        <f>VLOOKUP(A96,'[1]계산서(25하-대전)'!W$4:AI$150,5,FALSE)</f>
        <v>400000</v>
      </c>
      <c r="AH96" s="3">
        <f t="shared" si="3"/>
        <v>600000</v>
      </c>
      <c r="AI96" s="29">
        <f>VLOOKUP(A96,'[1]계산서(25하-대전)'!W$4:AI$150,8,FALSE)</f>
        <v>45915</v>
      </c>
      <c r="AJ96" s="3">
        <f>VLOOKUP(A96,'[1]계산서(25하-대전)'!W$4:AI$150,9,FALSE)</f>
        <v>200000</v>
      </c>
      <c r="AK96" s="29">
        <f>VLOOKUP(A96,'[1]계산서(25하-대전)'!W$4:AI$150,10,FALSE)</f>
        <v>45958</v>
      </c>
      <c r="AL96" s="3">
        <f>VLOOKUP(A96,'[1]계산서(25하-대전)'!W$4:AI$150,11,FALSE)</f>
        <v>400000</v>
      </c>
      <c r="AM96" s="3">
        <f>VLOOKUP(A96,'[1]계산서(25하-대전)'!W$4:AI$150,13,FALSE)</f>
        <v>0</v>
      </c>
    </row>
    <row r="97" spans="1:39" x14ac:dyDescent="0.3">
      <c r="A97" s="28" t="s">
        <v>2542</v>
      </c>
      <c r="B97" s="3">
        <v>2025</v>
      </c>
      <c r="C97" s="3" t="s">
        <v>2871</v>
      </c>
      <c r="D97" s="3" t="s">
        <v>94</v>
      </c>
      <c r="E97" s="3" t="s">
        <v>3533</v>
      </c>
      <c r="F97" s="3" t="s">
        <v>3286</v>
      </c>
      <c r="G97" s="12">
        <v>95</v>
      </c>
      <c r="H97" s="12" t="s">
        <v>2315</v>
      </c>
      <c r="I97" s="29">
        <v>45888</v>
      </c>
      <c r="J97" s="29">
        <v>45888</v>
      </c>
      <c r="L97" s="3" t="s">
        <v>46</v>
      </c>
      <c r="M97" s="3" t="s">
        <v>3533</v>
      </c>
      <c r="N97" s="3" t="s">
        <v>2544</v>
      </c>
      <c r="O97" s="3">
        <v>6</v>
      </c>
      <c r="P97" s="3">
        <v>4717000073</v>
      </c>
      <c r="Q97" s="3" t="s">
        <v>3287</v>
      </c>
      <c r="R97" s="3" t="s">
        <v>2545</v>
      </c>
      <c r="T97" s="3" t="s">
        <v>2546</v>
      </c>
      <c r="U97" s="3" t="s">
        <v>2547</v>
      </c>
      <c r="V97" s="3" t="s">
        <v>2548</v>
      </c>
      <c r="W97" s="3" t="s">
        <v>2549</v>
      </c>
      <c r="X97" s="3" t="s">
        <v>2159</v>
      </c>
      <c r="Y97" s="3" t="s">
        <v>2550</v>
      </c>
      <c r="Z97" s="3" t="s">
        <v>2551</v>
      </c>
      <c r="AA97" s="29">
        <v>45915</v>
      </c>
      <c r="AB97" s="3" t="s">
        <v>73</v>
      </c>
      <c r="AC97" s="3" t="str">
        <f>VLOOKUP(A97,'[1]계산서(25하-대전)'!W$4:AI$150,2,FALSE)</f>
        <v>eogks5853381@naver.com</v>
      </c>
      <c r="AD97" s="29">
        <f>VLOOKUP(A97,'[1]계산서(25하-대전)'!W$4:AI$150,3,FALSE)</f>
        <v>45889</v>
      </c>
      <c r="AE97" s="3">
        <f t="shared" si="2"/>
        <v>600000</v>
      </c>
      <c r="AF97" s="3">
        <f>VLOOKUP(A97,'[1]계산서(25하-대전)'!W$4:AI$150,4,FALSE)</f>
        <v>200000</v>
      </c>
      <c r="AG97" s="3">
        <f>VLOOKUP(A97,'[1]계산서(25하-대전)'!W$4:AI$150,5,FALSE)</f>
        <v>400000</v>
      </c>
      <c r="AH97" s="3">
        <f t="shared" si="3"/>
        <v>600000</v>
      </c>
      <c r="AI97" s="29">
        <f>VLOOKUP(A97,'[1]계산서(25하-대전)'!W$4:AI$150,8,FALSE)</f>
        <v>45919</v>
      </c>
      <c r="AJ97" s="3">
        <f>VLOOKUP(A97,'[1]계산서(25하-대전)'!W$4:AI$150,9,FALSE)</f>
        <v>200000</v>
      </c>
      <c r="AK97" s="29">
        <f>VLOOKUP(A97,'[1]계산서(25하-대전)'!W$4:AI$150,10,FALSE)</f>
        <v>45958</v>
      </c>
      <c r="AL97" s="3">
        <f>VLOOKUP(A97,'[1]계산서(25하-대전)'!W$4:AI$150,11,FALSE)</f>
        <v>400000</v>
      </c>
      <c r="AM97" s="3">
        <f>VLOOKUP(A97,'[1]계산서(25하-대전)'!W$4:AI$150,13,FALSE)</f>
        <v>0</v>
      </c>
    </row>
    <row r="98" spans="1:39" x14ac:dyDescent="0.3">
      <c r="A98" s="28" t="s">
        <v>2522</v>
      </c>
      <c r="B98" s="3">
        <v>2025</v>
      </c>
      <c r="C98" s="3" t="s">
        <v>2871</v>
      </c>
      <c r="D98" s="3" t="s">
        <v>94</v>
      </c>
      <c r="E98" s="3" t="s">
        <v>3533</v>
      </c>
      <c r="F98" s="3" t="s">
        <v>3288</v>
      </c>
      <c r="G98" s="12">
        <v>96</v>
      </c>
      <c r="H98" s="12" t="s">
        <v>951</v>
      </c>
      <c r="I98" s="29">
        <v>45889</v>
      </c>
      <c r="J98" s="29">
        <v>45889</v>
      </c>
      <c r="L98" s="3" t="s">
        <v>61</v>
      </c>
      <c r="M98" s="3" t="s">
        <v>3533</v>
      </c>
      <c r="N98" s="3" t="s">
        <v>2524</v>
      </c>
      <c r="O98" s="3">
        <v>5</v>
      </c>
      <c r="P98" s="3">
        <v>3140319409</v>
      </c>
      <c r="Q98" s="3" t="s">
        <v>3289</v>
      </c>
      <c r="R98" s="3" t="s">
        <v>2525</v>
      </c>
      <c r="T98" s="3" t="s">
        <v>2526</v>
      </c>
      <c r="U98" s="3" t="s">
        <v>2527</v>
      </c>
      <c r="V98" s="3" t="s">
        <v>2528</v>
      </c>
      <c r="W98" s="3" t="s">
        <v>2529</v>
      </c>
      <c r="X98" s="3" t="s">
        <v>134</v>
      </c>
      <c r="Y98" s="3" t="s">
        <v>2530</v>
      </c>
      <c r="Z98" s="3" t="s">
        <v>2531</v>
      </c>
      <c r="AA98" s="29"/>
      <c r="AC98" s="3" t="str">
        <f>VLOOKUP(A98,'[1]계산서(25하-대전)'!W$4:AI$150,2,FALSE)</f>
        <v>0114086004@hanmail.net</v>
      </c>
      <c r="AD98" s="29">
        <f>VLOOKUP(A98,'[1]계산서(25하-대전)'!W$4:AI$150,3,FALSE)</f>
        <v>45890</v>
      </c>
      <c r="AE98" s="3">
        <f t="shared" si="2"/>
        <v>600000</v>
      </c>
      <c r="AF98" s="3">
        <f>VLOOKUP(A98,'[1]계산서(25하-대전)'!W$4:AI$150,4,FALSE)</f>
        <v>200000</v>
      </c>
      <c r="AG98" s="3">
        <f>VLOOKUP(A98,'[1]계산서(25하-대전)'!W$4:AI$150,5,FALSE)</f>
        <v>400000</v>
      </c>
      <c r="AH98" s="3">
        <f t="shared" si="3"/>
        <v>600000</v>
      </c>
      <c r="AI98" s="29">
        <f>VLOOKUP(A98,'[1]계산서(25하-대전)'!W$4:AI$150,8,FALSE)</f>
        <v>46007</v>
      </c>
      <c r="AJ98" s="3">
        <f>VLOOKUP(A98,'[1]계산서(25하-대전)'!W$4:AI$150,9,FALSE)</f>
        <v>200000</v>
      </c>
      <c r="AK98" s="29">
        <f>VLOOKUP(A98,'[1]계산서(25하-대전)'!W$4:AI$150,10,FALSE)</f>
        <v>45958</v>
      </c>
      <c r="AL98" s="3">
        <f>VLOOKUP(A98,'[1]계산서(25하-대전)'!W$4:AI$150,11,FALSE)</f>
        <v>400000</v>
      </c>
      <c r="AM98" s="3">
        <f>VLOOKUP(A98,'[1]계산서(25하-대전)'!W$4:AI$150,13,FALSE)</f>
        <v>0</v>
      </c>
    </row>
    <row r="99" spans="1:39" x14ac:dyDescent="0.3">
      <c r="A99" s="28" t="s">
        <v>2256</v>
      </c>
      <c r="B99" s="3">
        <v>2025</v>
      </c>
      <c r="C99" s="3" t="s">
        <v>2871</v>
      </c>
      <c r="D99" s="3" t="s">
        <v>94</v>
      </c>
      <c r="E99" s="3" t="s">
        <v>3533</v>
      </c>
      <c r="F99" s="3" t="s">
        <v>3290</v>
      </c>
      <c r="G99" s="12">
        <v>97</v>
      </c>
      <c r="H99" s="12" t="s">
        <v>951</v>
      </c>
      <c r="I99" s="29">
        <v>45889</v>
      </c>
      <c r="J99" s="29">
        <v>45889</v>
      </c>
      <c r="L99" s="3" t="s">
        <v>97</v>
      </c>
      <c r="M99" s="3" t="s">
        <v>3533</v>
      </c>
      <c r="N99" s="3" t="s">
        <v>2258</v>
      </c>
      <c r="O99" s="3">
        <v>4</v>
      </c>
      <c r="P99" s="3">
        <v>2212564297</v>
      </c>
      <c r="Q99" s="3">
        <v>22125642970</v>
      </c>
      <c r="R99" s="3" t="s">
        <v>3291</v>
      </c>
      <c r="T99" s="3" t="s">
        <v>2260</v>
      </c>
      <c r="U99" s="3" t="s">
        <v>3292</v>
      </c>
      <c r="V99" s="3" t="s">
        <v>2262</v>
      </c>
      <c r="W99" s="3" t="s">
        <v>3291</v>
      </c>
      <c r="X99" s="3" t="s">
        <v>78</v>
      </c>
      <c r="Y99" s="3" t="s">
        <v>2263</v>
      </c>
      <c r="Z99" s="3" t="s">
        <v>2264</v>
      </c>
      <c r="AA99" s="29"/>
      <c r="AC99" s="3" t="str">
        <f>VLOOKUP(A99,'[1]계산서(25하-대전)'!W$4:AI$150,2,FALSE)</f>
        <v>sanggun7746@naver.com</v>
      </c>
      <c r="AD99" s="29">
        <f>VLOOKUP(A99,'[1]계산서(25하-대전)'!W$4:AI$150,3,FALSE)</f>
        <v>45890</v>
      </c>
      <c r="AE99" s="3">
        <f t="shared" si="2"/>
        <v>600000</v>
      </c>
      <c r="AF99" s="3">
        <f>VLOOKUP(A99,'[1]계산서(25하-대전)'!W$4:AI$150,4,FALSE)</f>
        <v>200000</v>
      </c>
      <c r="AG99" s="3">
        <f>VLOOKUP(A99,'[1]계산서(25하-대전)'!W$4:AI$150,5,FALSE)</f>
        <v>400000</v>
      </c>
      <c r="AH99" s="3">
        <f t="shared" si="3"/>
        <v>600000</v>
      </c>
      <c r="AI99" s="29">
        <f>VLOOKUP(A99,'[1]계산서(25하-대전)'!W$4:AI$150,8,FALSE)</f>
        <v>46010</v>
      </c>
      <c r="AJ99" s="3">
        <f>VLOOKUP(A99,'[1]계산서(25하-대전)'!W$4:AI$150,9,FALSE)</f>
        <v>200000</v>
      </c>
      <c r="AK99" s="29">
        <f>VLOOKUP(A99,'[1]계산서(25하-대전)'!W$4:AI$150,10,FALSE)</f>
        <v>45958</v>
      </c>
      <c r="AL99" s="3">
        <f>VLOOKUP(A99,'[1]계산서(25하-대전)'!W$4:AI$150,11,FALSE)</f>
        <v>400000</v>
      </c>
      <c r="AM99" s="3">
        <f>VLOOKUP(A99,'[1]계산서(25하-대전)'!W$4:AI$150,13,FALSE)</f>
        <v>0</v>
      </c>
    </row>
    <row r="100" spans="1:39" x14ac:dyDescent="0.3">
      <c r="A100" s="28" t="s">
        <v>2485</v>
      </c>
      <c r="B100" s="3">
        <v>2025</v>
      </c>
      <c r="C100" s="3" t="s">
        <v>2871</v>
      </c>
      <c r="D100" s="3" t="s">
        <v>94</v>
      </c>
      <c r="E100" s="3" t="s">
        <v>3533</v>
      </c>
      <c r="F100" s="3" t="s">
        <v>3293</v>
      </c>
      <c r="G100" s="12">
        <v>98</v>
      </c>
      <c r="H100" s="12" t="s">
        <v>951</v>
      </c>
      <c r="I100" s="29">
        <v>45889</v>
      </c>
      <c r="J100" s="29">
        <v>45889</v>
      </c>
      <c r="L100" s="3" t="s">
        <v>181</v>
      </c>
      <c r="M100" s="3" t="s">
        <v>3533</v>
      </c>
      <c r="N100" s="3" t="s">
        <v>2487</v>
      </c>
      <c r="O100" s="3">
        <v>3</v>
      </c>
      <c r="P100" s="3">
        <v>3060322733</v>
      </c>
      <c r="Q100" s="3" t="s">
        <v>3294</v>
      </c>
      <c r="R100" s="3" t="s">
        <v>2488</v>
      </c>
      <c r="T100" s="3" t="s">
        <v>2489</v>
      </c>
      <c r="U100" s="3" t="s">
        <v>2490</v>
      </c>
      <c r="V100" s="3" t="s">
        <v>2491</v>
      </c>
      <c r="W100" s="3" t="s">
        <v>2488</v>
      </c>
      <c r="X100" s="3" t="s">
        <v>78</v>
      </c>
      <c r="Y100" s="3" t="s">
        <v>2492</v>
      </c>
      <c r="Z100" s="3" t="s">
        <v>2493</v>
      </c>
      <c r="AA100" s="29"/>
      <c r="AC100" s="3" t="str">
        <f>VLOOKUP(A100,'[1]계산서(25하-대전)'!W$4:AI$150,2,FALSE)</f>
        <v>sunart100@naver.com</v>
      </c>
      <c r="AD100" s="29">
        <f>VLOOKUP(A100,'[1]계산서(25하-대전)'!W$4:AI$150,3,FALSE)</f>
        <v>45890</v>
      </c>
      <c r="AE100" s="3">
        <f t="shared" si="2"/>
        <v>600000</v>
      </c>
      <c r="AF100" s="3">
        <f>VLOOKUP(A100,'[1]계산서(25하-대전)'!W$4:AI$150,4,FALSE)</f>
        <v>200000</v>
      </c>
      <c r="AG100" s="3">
        <f>VLOOKUP(A100,'[1]계산서(25하-대전)'!W$4:AI$150,5,FALSE)</f>
        <v>400000</v>
      </c>
      <c r="AH100" s="3">
        <f t="shared" si="3"/>
        <v>400000</v>
      </c>
      <c r="AI100" s="29"/>
      <c r="AJ100" s="3">
        <v>0</v>
      </c>
      <c r="AK100" s="29">
        <f>VLOOKUP(A100,'[1]계산서(25하-대전)'!W$4:AI$150,10,FALSE)</f>
        <v>45958</v>
      </c>
      <c r="AL100" s="3">
        <f>VLOOKUP(A100,'[1]계산서(25하-대전)'!W$4:AI$150,11,FALSE)</f>
        <v>400000</v>
      </c>
      <c r="AM100" s="3">
        <f>VLOOKUP(A100,'[1]계산서(25하-대전)'!W$4:AI$150,13,FALSE)</f>
        <v>0</v>
      </c>
    </row>
    <row r="101" spans="1:39" x14ac:dyDescent="0.3">
      <c r="A101" s="28" t="s">
        <v>2373</v>
      </c>
      <c r="B101" s="3">
        <v>2025</v>
      </c>
      <c r="C101" s="3" t="s">
        <v>2871</v>
      </c>
      <c r="D101" s="3" t="s">
        <v>94</v>
      </c>
      <c r="E101" s="3" t="s">
        <v>3533</v>
      </c>
      <c r="F101" s="3" t="s">
        <v>3295</v>
      </c>
      <c r="G101" s="12">
        <v>99</v>
      </c>
      <c r="H101" s="12" t="s">
        <v>962</v>
      </c>
      <c r="I101" s="29">
        <v>45889</v>
      </c>
      <c r="J101" s="29">
        <v>45889</v>
      </c>
      <c r="L101" s="3" t="s">
        <v>73</v>
      </c>
      <c r="M101" s="3" t="s">
        <v>3533</v>
      </c>
      <c r="N101" s="3" t="s">
        <v>2375</v>
      </c>
      <c r="O101" s="3">
        <v>13</v>
      </c>
      <c r="P101" s="3">
        <v>3058176350</v>
      </c>
      <c r="Q101" s="3" t="s">
        <v>3296</v>
      </c>
      <c r="R101" s="3" t="s">
        <v>2259</v>
      </c>
      <c r="T101" s="3" t="s">
        <v>2376</v>
      </c>
      <c r="U101" s="3" t="s">
        <v>2377</v>
      </c>
      <c r="V101" s="3" t="s">
        <v>2378</v>
      </c>
      <c r="W101" s="3" t="s">
        <v>2259</v>
      </c>
      <c r="X101" s="3" t="s">
        <v>78</v>
      </c>
      <c r="Y101" s="3" t="s">
        <v>2379</v>
      </c>
      <c r="Z101" s="3" t="s">
        <v>2380</v>
      </c>
      <c r="AA101" s="29">
        <v>45918</v>
      </c>
      <c r="AB101" s="3" t="s">
        <v>218</v>
      </c>
      <c r="AC101" s="3" t="str">
        <f>VLOOKUP(A101,'[1]계산서(25하-대전)'!W$4:AI$150,2,FALSE)</f>
        <v>qhfka1401@naver.com</v>
      </c>
      <c r="AD101" s="29">
        <f>VLOOKUP(A101,'[1]계산서(25하-대전)'!W$4:AI$150,3,FALSE)</f>
        <v>45890</v>
      </c>
      <c r="AE101" s="3">
        <f t="shared" si="2"/>
        <v>600000</v>
      </c>
      <c r="AF101" s="3">
        <f>VLOOKUP(A101,'[1]계산서(25하-대전)'!W$4:AI$150,4,FALSE)</f>
        <v>200000</v>
      </c>
      <c r="AG101" s="3">
        <f>VLOOKUP(A101,'[1]계산서(25하-대전)'!W$4:AI$150,5,FALSE)</f>
        <v>400000</v>
      </c>
      <c r="AH101" s="3">
        <f t="shared" si="3"/>
        <v>600000</v>
      </c>
      <c r="AI101" s="29">
        <f>VLOOKUP(A101,'[1]계산서(25하-대전)'!W$4:AI$150,8,FALSE)</f>
        <v>45891</v>
      </c>
      <c r="AJ101" s="3">
        <f>VLOOKUP(A101,'[1]계산서(25하-대전)'!W$4:AI$150,9,FALSE)</f>
        <v>200000</v>
      </c>
      <c r="AK101" s="29">
        <f>VLOOKUP(A101,'[1]계산서(25하-대전)'!W$4:AI$150,10,FALSE)</f>
        <v>45958</v>
      </c>
      <c r="AL101" s="3">
        <f>VLOOKUP(A101,'[1]계산서(25하-대전)'!W$4:AI$150,11,FALSE)</f>
        <v>400000</v>
      </c>
      <c r="AM101" s="3">
        <f>VLOOKUP(A101,'[1]계산서(25하-대전)'!W$4:AI$150,13,FALSE)</f>
        <v>0</v>
      </c>
    </row>
    <row r="102" spans="1:39" x14ac:dyDescent="0.3">
      <c r="A102" s="28" t="s">
        <v>2057</v>
      </c>
      <c r="B102" s="3">
        <v>2025</v>
      </c>
      <c r="C102" s="3" t="s">
        <v>2871</v>
      </c>
      <c r="D102" s="3" t="s">
        <v>94</v>
      </c>
      <c r="E102" s="3" t="s">
        <v>3533</v>
      </c>
      <c r="F102" s="3" t="s">
        <v>3297</v>
      </c>
      <c r="G102" s="12">
        <v>100</v>
      </c>
      <c r="H102" s="12" t="s">
        <v>974</v>
      </c>
      <c r="I102" s="29">
        <v>45889</v>
      </c>
      <c r="J102" s="29">
        <v>45889</v>
      </c>
      <c r="L102" s="3" t="s">
        <v>46</v>
      </c>
      <c r="M102" s="3" t="s">
        <v>3533</v>
      </c>
      <c r="N102" s="3" t="s">
        <v>2059</v>
      </c>
      <c r="O102" s="3">
        <v>6</v>
      </c>
      <c r="P102" s="3">
        <v>3052587486</v>
      </c>
      <c r="Q102" s="3" t="s">
        <v>3298</v>
      </c>
      <c r="R102" s="3" t="s">
        <v>2060</v>
      </c>
      <c r="T102" s="3" t="s">
        <v>2061</v>
      </c>
      <c r="U102" s="3" t="s">
        <v>2062</v>
      </c>
      <c r="V102" s="3" t="s">
        <v>2063</v>
      </c>
      <c r="W102" s="3" t="s">
        <v>2064</v>
      </c>
      <c r="X102" s="3" t="s">
        <v>78</v>
      </c>
      <c r="Y102" s="3" t="s">
        <v>2065</v>
      </c>
      <c r="Z102" s="3" t="s">
        <v>2066</v>
      </c>
      <c r="AA102" s="29">
        <v>45918</v>
      </c>
      <c r="AB102" s="3" t="s">
        <v>218</v>
      </c>
      <c r="AC102" s="3" t="str">
        <f>VLOOKUP(A102,'[1]계산서(25하-대전)'!W$4:AI$150,2,FALSE)</f>
        <v>kbkim@hanmail.net</v>
      </c>
      <c r="AD102" s="29">
        <f>VLOOKUP(A102,'[1]계산서(25하-대전)'!W$4:AI$150,3,FALSE)</f>
        <v>45890</v>
      </c>
      <c r="AE102" s="3">
        <f t="shared" si="2"/>
        <v>600000</v>
      </c>
      <c r="AF102" s="3">
        <f>VLOOKUP(A102,'[1]계산서(25하-대전)'!W$4:AI$150,4,FALSE)</f>
        <v>200000</v>
      </c>
      <c r="AG102" s="3">
        <f>VLOOKUP(A102,'[1]계산서(25하-대전)'!W$4:AI$150,5,FALSE)</f>
        <v>400000</v>
      </c>
      <c r="AH102" s="3">
        <f t="shared" si="3"/>
        <v>600000</v>
      </c>
      <c r="AI102" s="29">
        <f>VLOOKUP(A102,'[1]계산서(25하-대전)'!W$4:AI$150,8,FALSE)</f>
        <v>46009</v>
      </c>
      <c r="AJ102" s="3">
        <f>VLOOKUP(A102,'[1]계산서(25하-대전)'!W$4:AI$150,9,FALSE)</f>
        <v>200000</v>
      </c>
      <c r="AK102" s="29">
        <f>VLOOKUP(A102,'[1]계산서(25하-대전)'!W$4:AI$150,10,FALSE)</f>
        <v>45958</v>
      </c>
      <c r="AL102" s="3">
        <f>VLOOKUP(A102,'[1]계산서(25하-대전)'!W$4:AI$150,11,FALSE)</f>
        <v>400000</v>
      </c>
      <c r="AM102" s="3">
        <f>VLOOKUP(A102,'[1]계산서(25하-대전)'!W$4:AI$150,13,FALSE)</f>
        <v>0</v>
      </c>
    </row>
    <row r="103" spans="1:39" x14ac:dyDescent="0.3">
      <c r="A103" s="28" t="s">
        <v>2067</v>
      </c>
      <c r="B103" s="3">
        <v>2025</v>
      </c>
      <c r="C103" s="3" t="s">
        <v>2871</v>
      </c>
      <c r="D103" s="3" t="s">
        <v>94</v>
      </c>
      <c r="E103" s="3" t="s">
        <v>3533</v>
      </c>
      <c r="F103" s="3" t="s">
        <v>3299</v>
      </c>
      <c r="G103" s="12">
        <v>101</v>
      </c>
      <c r="H103" s="12" t="s">
        <v>974</v>
      </c>
      <c r="I103" s="29">
        <v>45889</v>
      </c>
      <c r="J103" s="29">
        <v>45889</v>
      </c>
      <c r="L103" s="3" t="s">
        <v>218</v>
      </c>
      <c r="M103" s="3" t="s">
        <v>3533</v>
      </c>
      <c r="N103" s="3" t="s">
        <v>2069</v>
      </c>
      <c r="O103" s="3">
        <v>3</v>
      </c>
      <c r="P103" s="3">
        <v>3141072983</v>
      </c>
      <c r="Q103" s="3" t="s">
        <v>3300</v>
      </c>
      <c r="R103" s="3" t="s">
        <v>2070</v>
      </c>
      <c r="T103" s="3" t="s">
        <v>2071</v>
      </c>
      <c r="U103" s="3" t="s">
        <v>2072</v>
      </c>
      <c r="V103" s="3" t="s">
        <v>2073</v>
      </c>
      <c r="W103" s="3" t="s">
        <v>2074</v>
      </c>
      <c r="X103" s="3" t="s">
        <v>134</v>
      </c>
      <c r="Y103" s="3" t="s">
        <v>2075</v>
      </c>
      <c r="Z103" s="3" t="s">
        <v>2076</v>
      </c>
      <c r="AA103" s="29">
        <v>45918</v>
      </c>
      <c r="AB103" s="3" t="s">
        <v>218</v>
      </c>
      <c r="AC103" s="3" t="str">
        <f>VLOOKUP(A103,'[1]계산서(25하-대전)'!W$4:AI$150,2,FALSE)</f>
        <v>yyong1404@hanmail.net</v>
      </c>
      <c r="AD103" s="29">
        <f>VLOOKUP(A103,'[1]계산서(25하-대전)'!W$4:AI$150,3,FALSE)</f>
        <v>45890</v>
      </c>
      <c r="AE103" s="3">
        <f t="shared" si="2"/>
        <v>600000</v>
      </c>
      <c r="AF103" s="3">
        <f>VLOOKUP(A103,'[1]계산서(25하-대전)'!W$4:AI$150,4,FALSE)</f>
        <v>200000</v>
      </c>
      <c r="AG103" s="3">
        <f>VLOOKUP(A103,'[1]계산서(25하-대전)'!W$4:AI$150,5,FALSE)</f>
        <v>400000</v>
      </c>
      <c r="AH103" s="3">
        <f t="shared" si="3"/>
        <v>600000</v>
      </c>
      <c r="AI103" s="29">
        <f>VLOOKUP(A103,'[1]계산서(25하-대전)'!W$4:AI$150,8,FALSE)</f>
        <v>46017</v>
      </c>
      <c r="AJ103" s="3">
        <f>VLOOKUP(A103,'[1]계산서(25하-대전)'!W$4:AI$150,9,FALSE)</f>
        <v>200000</v>
      </c>
      <c r="AK103" s="29">
        <f>VLOOKUP(A103,'[1]계산서(25하-대전)'!W$4:AI$150,10,FALSE)</f>
        <v>45958</v>
      </c>
      <c r="AL103" s="3">
        <f>VLOOKUP(A103,'[1]계산서(25하-대전)'!W$4:AI$150,11,FALSE)</f>
        <v>400000</v>
      </c>
      <c r="AM103" s="3">
        <f>VLOOKUP(A103,'[1]계산서(25하-대전)'!W$4:AI$150,13,FALSE)</f>
        <v>0</v>
      </c>
    </row>
    <row r="104" spans="1:39" x14ac:dyDescent="0.3">
      <c r="A104" s="28" t="s">
        <v>2077</v>
      </c>
      <c r="B104" s="3">
        <v>2025</v>
      </c>
      <c r="C104" s="3" t="s">
        <v>2871</v>
      </c>
      <c r="D104" s="3" t="s">
        <v>94</v>
      </c>
      <c r="E104" s="3" t="s">
        <v>3533</v>
      </c>
      <c r="F104" s="3" t="s">
        <v>3301</v>
      </c>
      <c r="G104" s="12">
        <v>102</v>
      </c>
      <c r="H104" s="12" t="s">
        <v>987</v>
      </c>
      <c r="I104" s="29">
        <v>45890</v>
      </c>
      <c r="J104" s="29">
        <v>45890</v>
      </c>
      <c r="L104" s="3" t="s">
        <v>73</v>
      </c>
      <c r="M104" s="3" t="s">
        <v>3533</v>
      </c>
      <c r="N104" s="3" t="s">
        <v>2079</v>
      </c>
      <c r="O104" s="3">
        <v>6</v>
      </c>
      <c r="P104" s="3">
        <v>3051765342</v>
      </c>
      <c r="Q104" s="3" t="s">
        <v>3302</v>
      </c>
      <c r="R104" s="3" t="s">
        <v>2080</v>
      </c>
      <c r="T104" s="3" t="s">
        <v>2081</v>
      </c>
      <c r="U104" s="3" t="s">
        <v>2082</v>
      </c>
      <c r="V104" s="3" t="s">
        <v>2083</v>
      </c>
      <c r="W104" s="3" t="s">
        <v>2080</v>
      </c>
      <c r="X104" s="3" t="s">
        <v>78</v>
      </c>
      <c r="Y104" s="3" t="s">
        <v>2084</v>
      </c>
      <c r="Z104" s="3" t="s">
        <v>2085</v>
      </c>
      <c r="AA104" s="29">
        <v>45918</v>
      </c>
      <c r="AB104" s="3" t="s">
        <v>218</v>
      </c>
      <c r="AC104" s="3" t="str">
        <f>VLOOKUP(A104,'[1]계산서(25하-대전)'!W$4:AI$150,2,FALSE)</f>
        <v>samwoo0815@naver.com</v>
      </c>
      <c r="AD104" s="29">
        <f>VLOOKUP(A104,'[1]계산서(25하-대전)'!W$4:AI$150,3,FALSE)</f>
        <v>45891</v>
      </c>
      <c r="AE104" s="3">
        <f t="shared" si="2"/>
        <v>600000</v>
      </c>
      <c r="AF104" s="3">
        <f>VLOOKUP(A104,'[1]계산서(25하-대전)'!W$4:AI$150,4,FALSE)</f>
        <v>200000</v>
      </c>
      <c r="AG104" s="3">
        <f>VLOOKUP(A104,'[1]계산서(25하-대전)'!W$4:AI$150,5,FALSE)</f>
        <v>400000</v>
      </c>
      <c r="AH104" s="3">
        <f t="shared" si="3"/>
        <v>600000</v>
      </c>
      <c r="AI104" s="29">
        <f>VLOOKUP(A104,'[1]계산서(25하-대전)'!W$4:AI$150,8,FALSE)</f>
        <v>45894</v>
      </c>
      <c r="AJ104" s="3">
        <f>VLOOKUP(A104,'[1]계산서(25하-대전)'!W$4:AI$150,9,FALSE)</f>
        <v>200000</v>
      </c>
      <c r="AK104" s="29">
        <f>VLOOKUP(A104,'[1]계산서(25하-대전)'!W$4:AI$150,10,FALSE)</f>
        <v>45958</v>
      </c>
      <c r="AL104" s="3">
        <f>VLOOKUP(A104,'[1]계산서(25하-대전)'!W$4:AI$150,11,FALSE)</f>
        <v>400000</v>
      </c>
      <c r="AM104" s="3">
        <f>VLOOKUP(A104,'[1]계산서(25하-대전)'!W$4:AI$150,13,FALSE)</f>
        <v>0</v>
      </c>
    </row>
    <row r="105" spans="1:39" x14ac:dyDescent="0.3">
      <c r="A105" s="28" t="s">
        <v>2086</v>
      </c>
      <c r="B105" s="30">
        <v>2025</v>
      </c>
      <c r="C105" s="30" t="s">
        <v>2871</v>
      </c>
      <c r="D105" s="30" t="s">
        <v>94</v>
      </c>
      <c r="E105" s="3" t="s">
        <v>3533</v>
      </c>
      <c r="F105" s="30" t="s">
        <v>3303</v>
      </c>
      <c r="G105" s="31">
        <v>103</v>
      </c>
      <c r="H105" s="31" t="s">
        <v>992</v>
      </c>
      <c r="I105" s="32">
        <v>45890</v>
      </c>
      <c r="J105" s="32">
        <v>45890</v>
      </c>
      <c r="K105" s="30"/>
      <c r="L105" s="30" t="s">
        <v>46</v>
      </c>
      <c r="M105" s="3" t="s">
        <v>3533</v>
      </c>
      <c r="N105" s="30" t="s">
        <v>2088</v>
      </c>
      <c r="O105" s="30">
        <v>6</v>
      </c>
      <c r="P105" s="30">
        <v>8557200237</v>
      </c>
      <c r="Q105" s="30" t="s">
        <v>3304</v>
      </c>
      <c r="R105" s="30" t="s">
        <v>2089</v>
      </c>
      <c r="S105" s="30"/>
      <c r="T105" s="30" t="s">
        <v>2090</v>
      </c>
      <c r="U105" s="30" t="s">
        <v>2091</v>
      </c>
      <c r="V105" s="30" t="s">
        <v>2092</v>
      </c>
      <c r="W105" s="30" t="s">
        <v>2093</v>
      </c>
      <c r="X105" s="30" t="s">
        <v>78</v>
      </c>
      <c r="Y105" s="30" t="s">
        <v>2094</v>
      </c>
      <c r="Z105" s="32" t="s">
        <v>2095</v>
      </c>
      <c r="AA105" s="32">
        <v>45918</v>
      </c>
      <c r="AB105" s="30" t="s">
        <v>218</v>
      </c>
      <c r="AC105" s="3" t="str">
        <f>VLOOKUP(A105,'[1]계산서(25하-대전)'!W$4:AI$150,2,FALSE)</f>
        <v>gks3408@naver.com</v>
      </c>
      <c r="AD105" s="29">
        <f>VLOOKUP(A105,'[1]계산서(25하-대전)'!W$4:AI$150,3,FALSE)</f>
        <v>45891</v>
      </c>
      <c r="AE105" s="3">
        <f t="shared" si="2"/>
        <v>600000</v>
      </c>
      <c r="AF105" s="3">
        <f>VLOOKUP(A105,'[1]계산서(25하-대전)'!W$4:AI$150,4,FALSE)</f>
        <v>200000</v>
      </c>
      <c r="AG105" s="3">
        <f>VLOOKUP(A105,'[1]계산서(25하-대전)'!W$4:AI$150,5,FALSE)</f>
        <v>400000</v>
      </c>
      <c r="AH105" s="3">
        <f t="shared" si="3"/>
        <v>600000</v>
      </c>
      <c r="AI105" s="29">
        <f>VLOOKUP(A105,'[1]계산서(25하-대전)'!W$4:AI$150,8,FALSE)</f>
        <v>45922</v>
      </c>
      <c r="AJ105" s="3">
        <f>VLOOKUP(A105,'[1]계산서(25하-대전)'!W$4:AI$150,9,FALSE)</f>
        <v>200000</v>
      </c>
      <c r="AK105" s="29">
        <f>VLOOKUP(A105,'[1]계산서(25하-대전)'!W$4:AI$150,10,FALSE)</f>
        <v>45958</v>
      </c>
      <c r="AL105" s="3">
        <f>VLOOKUP(A105,'[1]계산서(25하-대전)'!W$4:AI$150,11,FALSE)</f>
        <v>400000</v>
      </c>
      <c r="AM105" s="3">
        <f>VLOOKUP(A105,'[1]계산서(25하-대전)'!W$4:AI$150,13,FALSE)</f>
        <v>0</v>
      </c>
    </row>
    <row r="106" spans="1:39" x14ac:dyDescent="0.3">
      <c r="A106" s="28" t="s">
        <v>2532</v>
      </c>
      <c r="B106" s="3">
        <v>2025</v>
      </c>
      <c r="C106" s="3" t="s">
        <v>2871</v>
      </c>
      <c r="D106" s="3" t="s">
        <v>94</v>
      </c>
      <c r="E106" s="3" t="s">
        <v>3533</v>
      </c>
      <c r="F106" s="3" t="s">
        <v>3305</v>
      </c>
      <c r="G106" s="12">
        <v>104</v>
      </c>
      <c r="H106" s="12" t="s">
        <v>1001</v>
      </c>
      <c r="I106" s="29">
        <v>45890</v>
      </c>
      <c r="J106" s="29">
        <v>45890</v>
      </c>
      <c r="L106" s="3" t="s">
        <v>218</v>
      </c>
      <c r="M106" s="3" t="s">
        <v>3533</v>
      </c>
      <c r="N106" s="3" t="s">
        <v>2534</v>
      </c>
      <c r="O106" s="3">
        <v>7</v>
      </c>
      <c r="P106" s="3">
        <v>7760800156</v>
      </c>
      <c r="Q106" s="3" t="s">
        <v>3306</v>
      </c>
      <c r="R106" s="3" t="s">
        <v>2535</v>
      </c>
      <c r="T106" s="3" t="s">
        <v>2536</v>
      </c>
      <c r="U106" s="3" t="s">
        <v>2537</v>
      </c>
      <c r="V106" s="3" t="s">
        <v>2538</v>
      </c>
      <c r="W106" s="3" t="s">
        <v>2539</v>
      </c>
      <c r="X106" s="3" t="s">
        <v>78</v>
      </c>
      <c r="Y106" s="3" t="s">
        <v>2540</v>
      </c>
      <c r="Z106" s="3" t="s">
        <v>2541</v>
      </c>
      <c r="AA106" s="29">
        <v>45918</v>
      </c>
      <c r="AB106" s="3" t="s">
        <v>218</v>
      </c>
      <c r="AC106" s="3" t="str">
        <f>VLOOKUP(A106,'[1]계산서(25하-대전)'!W$4:AI$150,2,FALSE)</f>
        <v>pkb9727@hanmail.net</v>
      </c>
      <c r="AD106" s="29">
        <f>VLOOKUP(A106,'[1]계산서(25하-대전)'!W$4:AI$150,3,FALSE)</f>
        <v>45891</v>
      </c>
      <c r="AE106" s="3">
        <f t="shared" si="2"/>
        <v>600000</v>
      </c>
      <c r="AF106" s="3">
        <f>VLOOKUP(A106,'[1]계산서(25하-대전)'!W$4:AI$150,4,FALSE)</f>
        <v>200000</v>
      </c>
      <c r="AG106" s="3">
        <f>VLOOKUP(A106,'[1]계산서(25하-대전)'!W$4:AI$150,5,FALSE)</f>
        <v>400000</v>
      </c>
      <c r="AH106" s="3">
        <f t="shared" si="3"/>
        <v>400000</v>
      </c>
      <c r="AI106" s="29"/>
      <c r="AJ106" s="3">
        <v>0</v>
      </c>
      <c r="AK106" s="29">
        <f>VLOOKUP(A106,'[1]계산서(25하-대전)'!W$4:AI$150,10,FALSE)</f>
        <v>45958</v>
      </c>
      <c r="AL106" s="3">
        <f>VLOOKUP(A106,'[1]계산서(25하-대전)'!W$4:AI$150,11,FALSE)</f>
        <v>400000</v>
      </c>
      <c r="AM106" s="3">
        <f>VLOOKUP(A106,'[1]계산서(25하-대전)'!W$4:AI$150,13,FALSE)</f>
        <v>0</v>
      </c>
    </row>
    <row r="107" spans="1:39" x14ac:dyDescent="0.3">
      <c r="A107" s="28" t="s">
        <v>2503</v>
      </c>
      <c r="B107" s="3">
        <v>2025</v>
      </c>
      <c r="C107" s="3" t="s">
        <v>2871</v>
      </c>
      <c r="D107" s="3" t="s">
        <v>94</v>
      </c>
      <c r="E107" s="3" t="s">
        <v>3533</v>
      </c>
      <c r="F107" s="3" t="s">
        <v>3307</v>
      </c>
      <c r="G107" s="12">
        <v>105</v>
      </c>
      <c r="H107" s="12" t="s">
        <v>1012</v>
      </c>
      <c r="I107" s="29">
        <v>45891</v>
      </c>
      <c r="J107" s="29">
        <v>45891</v>
      </c>
      <c r="L107" s="3" t="s">
        <v>73</v>
      </c>
      <c r="M107" s="3" t="s">
        <v>3533</v>
      </c>
      <c r="N107" s="3" t="s">
        <v>2505</v>
      </c>
      <c r="O107" s="3">
        <v>11</v>
      </c>
      <c r="P107" s="3">
        <v>6688601380</v>
      </c>
      <c r="Q107" s="3" t="s">
        <v>3308</v>
      </c>
      <c r="R107" s="3" t="s">
        <v>2506</v>
      </c>
      <c r="T107" s="3" t="s">
        <v>2507</v>
      </c>
      <c r="U107" s="3" t="s">
        <v>2508</v>
      </c>
      <c r="V107" s="3" t="s">
        <v>2509</v>
      </c>
      <c r="W107" s="3" t="s">
        <v>2510</v>
      </c>
      <c r="X107" s="3" t="s">
        <v>1594</v>
      </c>
      <c r="Y107" s="3" t="s">
        <v>2511</v>
      </c>
      <c r="Z107" s="3" t="s">
        <v>2512</v>
      </c>
      <c r="AA107" s="29">
        <v>45918</v>
      </c>
      <c r="AB107" s="3" t="s">
        <v>218</v>
      </c>
      <c r="AC107" s="3" t="str">
        <f>VLOOKUP(A107,'[1]계산서(25하-대전)'!W$4:AI$150,2,FALSE)</f>
        <v>sttj1001@naver.com</v>
      </c>
      <c r="AD107" s="29">
        <f>VLOOKUP(A107,'[1]계산서(25하-대전)'!W$4:AI$150,3,FALSE)</f>
        <v>45894</v>
      </c>
      <c r="AE107" s="3">
        <f t="shared" si="2"/>
        <v>600000</v>
      </c>
      <c r="AF107" s="3">
        <f>VLOOKUP(A107,'[1]계산서(25하-대전)'!W$4:AI$150,4,FALSE)</f>
        <v>200000</v>
      </c>
      <c r="AG107" s="3">
        <f>VLOOKUP(A107,'[1]계산서(25하-대전)'!W$4:AI$150,5,FALSE)</f>
        <v>400000</v>
      </c>
      <c r="AH107" s="3">
        <f t="shared" si="3"/>
        <v>600000</v>
      </c>
      <c r="AI107" s="29">
        <f>VLOOKUP(A107,'[1]계산서(25하-대전)'!W$4:AI$150,8,FALSE)</f>
        <v>45897</v>
      </c>
      <c r="AJ107" s="3">
        <f>VLOOKUP(A107,'[1]계산서(25하-대전)'!W$4:AI$150,9,FALSE)</f>
        <v>200000</v>
      </c>
      <c r="AK107" s="29">
        <f>VLOOKUP(A107,'[1]계산서(25하-대전)'!W$4:AI$150,10,FALSE)</f>
        <v>45958</v>
      </c>
      <c r="AL107" s="3">
        <f>VLOOKUP(A107,'[1]계산서(25하-대전)'!W$4:AI$150,11,FALSE)</f>
        <v>400000</v>
      </c>
      <c r="AM107" s="3">
        <f>VLOOKUP(A107,'[1]계산서(25하-대전)'!W$4:AI$150,13,FALSE)</f>
        <v>0</v>
      </c>
    </row>
    <row r="108" spans="1:39" x14ac:dyDescent="0.3">
      <c r="A108" s="28" t="s">
        <v>2602</v>
      </c>
      <c r="B108" s="3">
        <v>2025</v>
      </c>
      <c r="C108" s="3" t="s">
        <v>2871</v>
      </c>
      <c r="D108" s="3" t="s">
        <v>94</v>
      </c>
      <c r="E108" s="3" t="s">
        <v>3533</v>
      </c>
      <c r="F108" s="3" t="s">
        <v>3309</v>
      </c>
      <c r="G108" s="12">
        <v>106</v>
      </c>
      <c r="H108" s="12" t="s">
        <v>1022</v>
      </c>
      <c r="I108" s="29">
        <v>45891</v>
      </c>
      <c r="J108" s="29">
        <v>45891</v>
      </c>
      <c r="L108" s="3" t="s">
        <v>46</v>
      </c>
      <c r="M108" s="3" t="s">
        <v>3533</v>
      </c>
      <c r="N108" s="3" t="s">
        <v>2604</v>
      </c>
      <c r="O108" s="3">
        <v>10</v>
      </c>
      <c r="P108" s="3">
        <v>3063174189</v>
      </c>
      <c r="Q108" s="3" t="s">
        <v>3310</v>
      </c>
      <c r="R108" s="3" t="s">
        <v>2605</v>
      </c>
      <c r="T108" s="3" t="s">
        <v>2606</v>
      </c>
      <c r="U108" s="3" t="s">
        <v>2607</v>
      </c>
      <c r="V108" s="3" t="s">
        <v>2608</v>
      </c>
      <c r="W108" s="3" t="s">
        <v>2605</v>
      </c>
      <c r="X108" s="3" t="s">
        <v>78</v>
      </c>
      <c r="Y108" s="3" t="s">
        <v>2609</v>
      </c>
      <c r="Z108" s="3" t="s">
        <v>2610</v>
      </c>
      <c r="AA108" s="29">
        <v>45918</v>
      </c>
      <c r="AB108" s="3" t="s">
        <v>218</v>
      </c>
      <c r="AC108" s="3" t="str">
        <f>VLOOKUP(A108,'[1]계산서(25하-대전)'!W$4:AI$150,2,FALSE)</f>
        <v>khk4477@hanmail.net</v>
      </c>
      <c r="AD108" s="29">
        <f>VLOOKUP(A108,'[1]계산서(25하-대전)'!W$4:AI$150,3,FALSE)</f>
        <v>45894</v>
      </c>
      <c r="AE108" s="3">
        <f t="shared" si="2"/>
        <v>600000</v>
      </c>
      <c r="AF108" s="3">
        <f>VLOOKUP(A108,'[1]계산서(25하-대전)'!W$4:AI$150,4,FALSE)</f>
        <v>200000</v>
      </c>
      <c r="AG108" s="3">
        <f>VLOOKUP(A108,'[1]계산서(25하-대전)'!W$4:AI$150,5,FALSE)</f>
        <v>400000</v>
      </c>
      <c r="AH108" s="3">
        <f t="shared" si="3"/>
        <v>600000</v>
      </c>
      <c r="AI108" s="29">
        <f>VLOOKUP(A108,'[1]계산서(25하-대전)'!W$4:AI$150,8,FALSE)</f>
        <v>46006</v>
      </c>
      <c r="AJ108" s="3">
        <f>VLOOKUP(A108,'[1]계산서(25하-대전)'!W$4:AI$150,9,FALSE)</f>
        <v>200000</v>
      </c>
      <c r="AK108" s="29">
        <f>VLOOKUP(A108,'[1]계산서(25하-대전)'!W$4:AI$150,10,FALSE)</f>
        <v>45958</v>
      </c>
      <c r="AL108" s="3">
        <f>VLOOKUP(A108,'[1]계산서(25하-대전)'!W$4:AI$150,11,FALSE)</f>
        <v>400000</v>
      </c>
      <c r="AM108" s="3">
        <f>VLOOKUP(A108,'[1]계산서(25하-대전)'!W$4:AI$150,13,FALSE)</f>
        <v>0</v>
      </c>
    </row>
    <row r="109" spans="1:39" x14ac:dyDescent="0.3">
      <c r="A109" s="28" t="s">
        <v>2152</v>
      </c>
      <c r="B109" s="3">
        <v>2025</v>
      </c>
      <c r="C109" s="3" t="s">
        <v>2871</v>
      </c>
      <c r="D109" s="3" t="s">
        <v>94</v>
      </c>
      <c r="E109" s="3" t="s">
        <v>3533</v>
      </c>
      <c r="F109" s="3" t="s">
        <v>3311</v>
      </c>
      <c r="G109" s="12">
        <v>107</v>
      </c>
      <c r="H109" s="12" t="s">
        <v>1036</v>
      </c>
      <c r="I109" s="29">
        <v>45891</v>
      </c>
      <c r="J109" s="29">
        <v>45891</v>
      </c>
      <c r="L109" s="3" t="s">
        <v>218</v>
      </c>
      <c r="M109" s="3" t="s">
        <v>3533</v>
      </c>
      <c r="N109" s="3" t="s">
        <v>2154</v>
      </c>
      <c r="O109" s="3">
        <v>5</v>
      </c>
      <c r="P109" s="3">
        <v>3148632706</v>
      </c>
      <c r="Q109" s="3" t="s">
        <v>3312</v>
      </c>
      <c r="R109" s="3" t="s">
        <v>2155</v>
      </c>
      <c r="T109" s="3" t="s">
        <v>2137</v>
      </c>
      <c r="U109" s="3" t="s">
        <v>2156</v>
      </c>
      <c r="V109" s="3" t="s">
        <v>2157</v>
      </c>
      <c r="W109" s="3" t="s">
        <v>2158</v>
      </c>
      <c r="X109" s="3" t="s">
        <v>2159</v>
      </c>
      <c r="Y109" s="3" t="s">
        <v>2160</v>
      </c>
      <c r="Z109" s="3" t="s">
        <v>2161</v>
      </c>
      <c r="AA109" s="29">
        <v>45918</v>
      </c>
      <c r="AB109" s="3" t="s">
        <v>218</v>
      </c>
      <c r="AC109" s="3" t="str">
        <f>VLOOKUP(A109,'[1]계산서(25하-대전)'!W$4:AI$150,2,FALSE)</f>
        <v>HANDOL@hometax.go.kr</v>
      </c>
      <c r="AD109" s="29">
        <f>VLOOKUP(A109,'[1]계산서(25하-대전)'!W$4:AI$150,3,FALSE)</f>
        <v>45894</v>
      </c>
      <c r="AE109" s="3">
        <f t="shared" si="2"/>
        <v>600000</v>
      </c>
      <c r="AF109" s="3">
        <f>VLOOKUP(A109,'[1]계산서(25하-대전)'!W$4:AI$150,4,FALSE)</f>
        <v>200000</v>
      </c>
      <c r="AG109" s="3">
        <f>VLOOKUP(A109,'[1]계산서(25하-대전)'!W$4:AI$150,5,FALSE)</f>
        <v>400000</v>
      </c>
      <c r="AH109" s="3">
        <f t="shared" si="3"/>
        <v>600000</v>
      </c>
      <c r="AI109" s="29">
        <f>VLOOKUP(A109,'[1]계산서(25하-대전)'!W$4:AI$150,8,FALSE)</f>
        <v>45930</v>
      </c>
      <c r="AJ109" s="3">
        <f>VLOOKUP(A109,'[1]계산서(25하-대전)'!W$4:AI$150,9,FALSE)</f>
        <v>200000</v>
      </c>
      <c r="AK109" s="29">
        <f>VLOOKUP(A109,'[1]계산서(25하-대전)'!W$4:AI$150,10,FALSE)</f>
        <v>45958</v>
      </c>
      <c r="AL109" s="3">
        <f>VLOOKUP(A109,'[1]계산서(25하-대전)'!W$4:AI$150,11,FALSE)</f>
        <v>400000</v>
      </c>
      <c r="AM109" s="3">
        <f>VLOOKUP(A109,'[1]계산서(25하-대전)'!W$4:AI$150,13,FALSE)</f>
        <v>0</v>
      </c>
    </row>
    <row r="110" spans="1:39" x14ac:dyDescent="0.3">
      <c r="A110" s="28" t="s">
        <v>2421</v>
      </c>
      <c r="B110" s="3">
        <v>2025</v>
      </c>
      <c r="C110" s="3" t="s">
        <v>2871</v>
      </c>
      <c r="D110" s="3" t="s">
        <v>71</v>
      </c>
      <c r="E110" s="3" t="s">
        <v>3533</v>
      </c>
      <c r="F110" s="3" t="s">
        <v>3313</v>
      </c>
      <c r="G110" s="12">
        <v>108</v>
      </c>
      <c r="H110" s="12" t="s">
        <v>1036</v>
      </c>
      <c r="I110" s="29">
        <v>45894</v>
      </c>
      <c r="J110" s="29">
        <v>45894</v>
      </c>
      <c r="L110" s="3" t="s">
        <v>46</v>
      </c>
      <c r="M110" s="3" t="s">
        <v>3533</v>
      </c>
      <c r="N110" s="3" t="s">
        <v>2423</v>
      </c>
      <c r="O110" s="3">
        <v>3</v>
      </c>
      <c r="P110" s="3">
        <v>6158616569</v>
      </c>
      <c r="Q110" s="3" t="s">
        <v>3314</v>
      </c>
      <c r="R110" s="3" t="s">
        <v>2414</v>
      </c>
      <c r="T110" s="3" t="s">
        <v>2424</v>
      </c>
      <c r="U110" s="3" t="s">
        <v>2425</v>
      </c>
      <c r="V110" s="3" t="s">
        <v>2426</v>
      </c>
      <c r="W110" s="3" t="s">
        <v>2418</v>
      </c>
      <c r="X110" s="3" t="s">
        <v>388</v>
      </c>
      <c r="Y110" s="3" t="s">
        <v>2419</v>
      </c>
      <c r="Z110" s="3" t="s">
        <v>2420</v>
      </c>
      <c r="AA110" s="29">
        <v>45918</v>
      </c>
      <c r="AB110" s="3" t="s">
        <v>46</v>
      </c>
      <c r="AC110" s="3" t="str">
        <f>VLOOKUP(A110,'[1]계산서(25하-대전)'!W$4:AI$150,2,FALSE)</f>
        <v>meng3249@naver.com</v>
      </c>
      <c r="AD110" s="29" t="str">
        <f>VLOOKUP(A110,'[1]계산서(25하-대전)'!W$4:AI$150,3,FALSE)</f>
        <v>국고 전액</v>
      </c>
      <c r="AE110" s="3">
        <f t="shared" si="2"/>
        <v>400000</v>
      </c>
      <c r="AF110" s="3">
        <v>0</v>
      </c>
      <c r="AG110" s="3">
        <f>VLOOKUP(A110,'[1]계산서(25하-대전)'!W$4:AI$150,5,FALSE)</f>
        <v>400000</v>
      </c>
      <c r="AH110" s="3">
        <f t="shared" si="3"/>
        <v>400000</v>
      </c>
      <c r="AI110" s="29"/>
      <c r="AJ110" s="3">
        <v>0</v>
      </c>
      <c r="AK110" s="29">
        <f>VLOOKUP(A110,'[1]계산서(25하-대전)'!W$4:AI$150,10,FALSE)</f>
        <v>45958</v>
      </c>
      <c r="AL110" s="3">
        <f>VLOOKUP(A110,'[1]계산서(25하-대전)'!W$4:AI$150,11,FALSE)</f>
        <v>400000</v>
      </c>
    </row>
    <row r="111" spans="1:39" x14ac:dyDescent="0.3">
      <c r="A111" s="28" t="s">
        <v>1866</v>
      </c>
      <c r="B111" s="3">
        <v>2025</v>
      </c>
      <c r="C111" s="3" t="s">
        <v>2871</v>
      </c>
      <c r="D111" s="3" t="s">
        <v>94</v>
      </c>
      <c r="E111" s="3" t="s">
        <v>3533</v>
      </c>
      <c r="F111" s="3" t="s">
        <v>3315</v>
      </c>
      <c r="G111" s="12">
        <v>109</v>
      </c>
      <c r="H111" s="12" t="s">
        <v>1044</v>
      </c>
      <c r="I111" s="29">
        <v>45894</v>
      </c>
      <c r="J111" s="29">
        <v>45894</v>
      </c>
      <c r="L111" s="3" t="s">
        <v>97</v>
      </c>
      <c r="M111" s="3" t="s">
        <v>3533</v>
      </c>
      <c r="N111" s="3" t="s">
        <v>1868</v>
      </c>
      <c r="O111" s="3">
        <v>16</v>
      </c>
      <c r="P111" s="3">
        <v>3148605849</v>
      </c>
      <c r="Q111" s="3" t="s">
        <v>3316</v>
      </c>
      <c r="R111" s="3" t="s">
        <v>1869</v>
      </c>
      <c r="T111" s="3" t="s">
        <v>1870</v>
      </c>
      <c r="U111" s="3" t="s">
        <v>1871</v>
      </c>
      <c r="V111" s="3" t="s">
        <v>1872</v>
      </c>
      <c r="W111" s="3" t="s">
        <v>1873</v>
      </c>
      <c r="X111" s="3" t="s">
        <v>1594</v>
      </c>
      <c r="Y111" s="3" t="s">
        <v>1874</v>
      </c>
      <c r="Z111" s="3" t="s">
        <v>1875</v>
      </c>
      <c r="AA111" s="29">
        <v>45923</v>
      </c>
      <c r="AB111" s="3" t="s">
        <v>218</v>
      </c>
      <c r="AC111" s="3" t="str">
        <f>VLOOKUP(A111,'[1]계산서(25하-대전)'!W$4:AI$150,2,FALSE)</f>
        <v>hsy05849@gmail.com</v>
      </c>
      <c r="AD111" s="29">
        <f>VLOOKUP(A111,'[1]계산서(25하-대전)'!W$4:AI$150,3,FALSE)</f>
        <v>45895</v>
      </c>
      <c r="AE111" s="3">
        <f t="shared" si="2"/>
        <v>600000</v>
      </c>
      <c r="AF111" s="3">
        <f>VLOOKUP(A111,'[1]계산서(25하-대전)'!W$4:AI$150,4,FALSE)</f>
        <v>200000</v>
      </c>
      <c r="AG111" s="3">
        <f>VLOOKUP(A111,'[1]계산서(25하-대전)'!W$4:AI$150,5,FALSE)</f>
        <v>400000</v>
      </c>
      <c r="AH111" s="3">
        <f t="shared" si="3"/>
        <v>600000</v>
      </c>
      <c r="AI111" s="29">
        <f>VLOOKUP(A111,'[1]계산서(25하-대전)'!W$4:AI$150,8,FALSE)</f>
        <v>45926</v>
      </c>
      <c r="AJ111" s="3">
        <f>VLOOKUP(A111,'[1]계산서(25하-대전)'!W$4:AI$150,9,FALSE)</f>
        <v>200000</v>
      </c>
      <c r="AK111" s="29">
        <f>VLOOKUP(A111,'[1]계산서(25하-대전)'!W$4:AI$150,10,FALSE)</f>
        <v>45958</v>
      </c>
      <c r="AL111" s="3">
        <f>VLOOKUP(A111,'[1]계산서(25하-대전)'!W$4:AI$150,11,FALSE)</f>
        <v>400000</v>
      </c>
      <c r="AM111" s="3">
        <f>VLOOKUP(A111,'[1]계산서(25하-대전)'!W$4:AI$150,13,FALSE)</f>
        <v>0</v>
      </c>
    </row>
    <row r="112" spans="1:39" x14ac:dyDescent="0.3">
      <c r="A112" s="28" t="s">
        <v>2274</v>
      </c>
      <c r="B112" s="3">
        <v>2025</v>
      </c>
      <c r="C112" s="3" t="s">
        <v>2871</v>
      </c>
      <c r="D112" s="3" t="s">
        <v>94</v>
      </c>
      <c r="E112" s="3" t="s">
        <v>3533</v>
      </c>
      <c r="F112" s="3" t="s">
        <v>3317</v>
      </c>
      <c r="G112" s="12">
        <v>110</v>
      </c>
      <c r="H112" s="12" t="s">
        <v>1055</v>
      </c>
      <c r="I112" s="29">
        <v>45894</v>
      </c>
      <c r="J112" s="29">
        <v>45894</v>
      </c>
      <c r="L112" s="3" t="s">
        <v>73</v>
      </c>
      <c r="M112" s="3" t="s">
        <v>3533</v>
      </c>
      <c r="N112" s="3" t="s">
        <v>2276</v>
      </c>
      <c r="O112" s="3">
        <v>37</v>
      </c>
      <c r="P112" s="3">
        <v>3148100193</v>
      </c>
      <c r="Q112" s="3" t="s">
        <v>3318</v>
      </c>
      <c r="R112" s="3" t="s">
        <v>2277</v>
      </c>
      <c r="T112" s="3" t="s">
        <v>2278</v>
      </c>
      <c r="U112" s="3" t="s">
        <v>2279</v>
      </c>
      <c r="V112" s="3" t="s">
        <v>2280</v>
      </c>
      <c r="W112" s="3" t="s">
        <v>2281</v>
      </c>
      <c r="X112" s="3" t="s">
        <v>134</v>
      </c>
      <c r="Y112" s="3" t="s">
        <v>2282</v>
      </c>
      <c r="Z112" s="3" t="s">
        <v>2283</v>
      </c>
      <c r="AA112" s="29">
        <v>45923</v>
      </c>
      <c r="AB112" s="3" t="s">
        <v>218</v>
      </c>
      <c r="AC112" s="3" t="str">
        <f>VLOOKUP(A112,'[1]계산서(25하-대전)'!W$4:AI$150,2,FALSE)</f>
        <v>ys0033@hometax.go.kr</v>
      </c>
      <c r="AD112" s="29">
        <f>VLOOKUP(A112,'[1]계산서(25하-대전)'!W$4:AI$150,3,FALSE)</f>
        <v>45895</v>
      </c>
      <c r="AE112" s="3">
        <f t="shared" si="2"/>
        <v>750000</v>
      </c>
      <c r="AF112" s="3">
        <f>VLOOKUP(A112,'[1]계산서(25하-대전)'!W$4:AI$150,4,FALSE)</f>
        <v>350000</v>
      </c>
      <c r="AG112" s="3">
        <f>VLOOKUP(A112,'[1]계산서(25하-대전)'!W$4:AI$150,5,FALSE)</f>
        <v>400000</v>
      </c>
      <c r="AH112" s="3">
        <f t="shared" si="3"/>
        <v>750000</v>
      </c>
      <c r="AI112" s="29">
        <f>VLOOKUP(A112,'[1]계산서(25하-대전)'!W$4:AI$150,8,FALSE)</f>
        <v>45929</v>
      </c>
      <c r="AJ112" s="3">
        <f>VLOOKUP(A112,'[1]계산서(25하-대전)'!W$4:AI$150,9,FALSE)</f>
        <v>350000</v>
      </c>
      <c r="AK112" s="29">
        <f>VLOOKUP(A112,'[1]계산서(25하-대전)'!W$4:AI$150,10,FALSE)</f>
        <v>45958</v>
      </c>
      <c r="AL112" s="3">
        <f>VLOOKUP(A112,'[1]계산서(25하-대전)'!W$4:AI$150,11,FALSE)</f>
        <v>400000</v>
      </c>
      <c r="AM112" s="3">
        <f>VLOOKUP(A112,'[1]계산서(25하-대전)'!W$4:AI$150,13,FALSE)</f>
        <v>0</v>
      </c>
    </row>
    <row r="113" spans="1:39" x14ac:dyDescent="0.3">
      <c r="A113" s="28" t="s">
        <v>1981</v>
      </c>
      <c r="B113" s="3">
        <v>2025</v>
      </c>
      <c r="C113" s="3" t="s">
        <v>2871</v>
      </c>
      <c r="D113" s="3" t="s">
        <v>94</v>
      </c>
      <c r="E113" s="3" t="s">
        <v>3533</v>
      </c>
      <c r="F113" s="3" t="s">
        <v>3320</v>
      </c>
      <c r="G113" s="12">
        <v>111</v>
      </c>
      <c r="H113" s="12" t="s">
        <v>1085</v>
      </c>
      <c r="I113" s="29">
        <v>45894</v>
      </c>
      <c r="J113" s="29">
        <v>45894</v>
      </c>
      <c r="L113" s="3" t="s">
        <v>218</v>
      </c>
      <c r="M113" s="3" t="s">
        <v>3533</v>
      </c>
      <c r="N113" s="3" t="s">
        <v>1983</v>
      </c>
      <c r="O113" s="3">
        <v>13</v>
      </c>
      <c r="P113" s="3">
        <v>3142222133</v>
      </c>
      <c r="Q113" s="3" t="s">
        <v>3321</v>
      </c>
      <c r="R113" s="3" t="s">
        <v>1984</v>
      </c>
      <c r="T113" s="3" t="s">
        <v>1985</v>
      </c>
      <c r="U113" s="3" t="s">
        <v>1986</v>
      </c>
      <c r="V113" s="3" t="s">
        <v>1987</v>
      </c>
      <c r="W113" s="3" t="s">
        <v>1984</v>
      </c>
      <c r="X113" s="3" t="s">
        <v>78</v>
      </c>
      <c r="Y113" s="3" t="s">
        <v>1988</v>
      </c>
      <c r="Z113" s="3" t="s">
        <v>1989</v>
      </c>
      <c r="AA113" s="29">
        <v>45923</v>
      </c>
      <c r="AB113" s="3" t="s">
        <v>218</v>
      </c>
      <c r="AC113" s="3" t="str">
        <f>VLOOKUP(A113,'[1]계산서(25하-대전)'!W$4:AI$150,2,FALSE)</f>
        <v>myungw2020@naver.vcom</v>
      </c>
      <c r="AD113" s="29">
        <f>VLOOKUP(A113,'[1]계산서(25하-대전)'!W$4:AI$150,3,FALSE)</f>
        <v>45895</v>
      </c>
      <c r="AE113" s="3">
        <f t="shared" si="2"/>
        <v>600000</v>
      </c>
      <c r="AF113" s="3">
        <f>VLOOKUP(A113,'[1]계산서(25하-대전)'!W$4:AI$150,4,FALSE)</f>
        <v>200000</v>
      </c>
      <c r="AG113" s="3">
        <f>VLOOKUP(A113,'[1]계산서(25하-대전)'!W$4:AI$150,5,FALSE)</f>
        <v>400000</v>
      </c>
      <c r="AH113" s="3">
        <f t="shared" si="3"/>
        <v>400000</v>
      </c>
      <c r="AI113" s="29"/>
      <c r="AJ113" s="3">
        <v>0</v>
      </c>
      <c r="AK113" s="29">
        <f>VLOOKUP(A113,'[1]계산서(25하-대전)'!W$4:AI$150,10,FALSE)</f>
        <v>45958</v>
      </c>
      <c r="AL113" s="3">
        <f>VLOOKUP(A113,'[1]계산서(25하-대전)'!W$4:AI$150,11,FALSE)</f>
        <v>400000</v>
      </c>
      <c r="AM113" s="3">
        <f>VLOOKUP(A113,'[1]계산서(25하-대전)'!W$4:AI$150,13,FALSE)</f>
        <v>0</v>
      </c>
    </row>
    <row r="114" spans="1:39" x14ac:dyDescent="0.3">
      <c r="A114" s="28" t="s">
        <v>2177</v>
      </c>
      <c r="B114" s="3">
        <v>2025</v>
      </c>
      <c r="C114" s="3" t="s">
        <v>2871</v>
      </c>
      <c r="D114" s="3" t="s">
        <v>94</v>
      </c>
      <c r="E114" s="3" t="s">
        <v>3533</v>
      </c>
      <c r="F114" s="3" t="s">
        <v>3322</v>
      </c>
      <c r="G114" s="12">
        <v>112</v>
      </c>
      <c r="H114" s="12" t="s">
        <v>1092</v>
      </c>
      <c r="I114" s="29">
        <v>45894</v>
      </c>
      <c r="J114" s="29">
        <v>45894</v>
      </c>
      <c r="L114" s="3" t="s">
        <v>181</v>
      </c>
      <c r="M114" s="3" t="s">
        <v>3533</v>
      </c>
      <c r="N114" s="3" t="s">
        <v>2179</v>
      </c>
      <c r="O114" s="3">
        <v>7</v>
      </c>
      <c r="P114" s="3">
        <v>3188102999</v>
      </c>
      <c r="Q114" s="3" t="s">
        <v>3323</v>
      </c>
      <c r="R114" s="3" t="s">
        <v>2180</v>
      </c>
      <c r="T114" s="3" t="s">
        <v>2181</v>
      </c>
      <c r="U114" s="3" t="s">
        <v>2182</v>
      </c>
      <c r="V114" s="3" t="s">
        <v>2183</v>
      </c>
      <c r="W114" s="3" t="s">
        <v>2180</v>
      </c>
      <c r="X114" s="3" t="s">
        <v>78</v>
      </c>
      <c r="Y114" s="3" t="s">
        <v>2184</v>
      </c>
      <c r="Z114" s="3" t="s">
        <v>2185</v>
      </c>
      <c r="AA114" s="29">
        <v>45923</v>
      </c>
      <c r="AB114" s="3" t="s">
        <v>218</v>
      </c>
      <c r="AC114" s="3" t="str">
        <f>VLOOKUP(A114,'[1]계산서(25하-대전)'!W$4:AI$150,2,FALSE)</f>
        <v>dalo7400@hometax.go.kr</v>
      </c>
      <c r="AD114" s="29">
        <f>VLOOKUP(A114,'[1]계산서(25하-대전)'!W$4:AI$150,3,FALSE)</f>
        <v>45895</v>
      </c>
      <c r="AE114" s="3">
        <f t="shared" si="2"/>
        <v>600000</v>
      </c>
      <c r="AF114" s="3">
        <f>VLOOKUP(A114,'[1]계산서(25하-대전)'!W$4:AI$150,4,FALSE)</f>
        <v>200000</v>
      </c>
      <c r="AG114" s="3">
        <f>VLOOKUP(A114,'[1]계산서(25하-대전)'!W$4:AI$150,5,FALSE)</f>
        <v>400000</v>
      </c>
      <c r="AH114" s="3">
        <f t="shared" si="3"/>
        <v>600000</v>
      </c>
      <c r="AI114" s="29">
        <f>VLOOKUP(A114,'[1]계산서(25하-대전)'!W$4:AI$150,8,FALSE)</f>
        <v>45926</v>
      </c>
      <c r="AJ114" s="3">
        <f>VLOOKUP(A114,'[1]계산서(25하-대전)'!W$4:AI$150,9,FALSE)</f>
        <v>200000</v>
      </c>
      <c r="AK114" s="29">
        <f>VLOOKUP(A114,'[1]계산서(25하-대전)'!W$4:AI$150,10,FALSE)</f>
        <v>45958</v>
      </c>
      <c r="AL114" s="3">
        <f>VLOOKUP(A114,'[1]계산서(25하-대전)'!W$4:AI$150,11,FALSE)</f>
        <v>400000</v>
      </c>
      <c r="AM114" s="3">
        <f>VLOOKUP(A114,'[1]계산서(25하-대전)'!W$4:AI$150,13,FALSE)</f>
        <v>0</v>
      </c>
    </row>
    <row r="115" spans="1:39" x14ac:dyDescent="0.3">
      <c r="A115" s="28" t="s">
        <v>3324</v>
      </c>
      <c r="B115" s="3">
        <v>2025</v>
      </c>
      <c r="C115" s="3" t="s">
        <v>2871</v>
      </c>
      <c r="D115" s="3" t="s">
        <v>94</v>
      </c>
      <c r="E115" s="3" t="s">
        <v>3533</v>
      </c>
      <c r="F115" s="3" t="s">
        <v>3325</v>
      </c>
      <c r="G115" s="12">
        <v>113</v>
      </c>
      <c r="H115" s="12" t="s">
        <v>1098</v>
      </c>
      <c r="I115" s="29">
        <v>45895</v>
      </c>
      <c r="J115" s="29">
        <v>45895</v>
      </c>
      <c r="L115" s="3" t="s">
        <v>97</v>
      </c>
      <c r="M115" s="3" t="s">
        <v>3533</v>
      </c>
      <c r="N115" s="3" t="s">
        <v>3326</v>
      </c>
      <c r="O115" s="3">
        <v>5</v>
      </c>
      <c r="P115" s="3">
        <v>8258802399</v>
      </c>
      <c r="Q115" s="3">
        <v>82588023990</v>
      </c>
      <c r="R115" s="3" t="s">
        <v>3327</v>
      </c>
      <c r="T115" s="3" t="s">
        <v>3328</v>
      </c>
      <c r="U115" s="3" t="s">
        <v>3329</v>
      </c>
      <c r="V115" s="3" t="s">
        <v>3330</v>
      </c>
      <c r="W115" s="3" t="s">
        <v>3327</v>
      </c>
      <c r="X115" s="3" t="s">
        <v>78</v>
      </c>
      <c r="Y115" s="3" t="s">
        <v>3331</v>
      </c>
      <c r="Z115" s="3" t="s">
        <v>3332</v>
      </c>
      <c r="AA115" s="29">
        <v>45924</v>
      </c>
      <c r="AB115" s="3" t="s">
        <v>46</v>
      </c>
      <c r="AC115" s="3" t="str">
        <f>VLOOKUP(A115,'[1]계산서(25하-대전)'!W$4:AI$150,2,FALSE)</f>
        <v>yeynav@naver.com</v>
      </c>
      <c r="AD115" s="29">
        <f>VLOOKUP(A115,'[1]계산서(25하-대전)'!W$4:AI$150,3,FALSE)</f>
        <v>45896</v>
      </c>
      <c r="AE115" s="3">
        <f t="shared" si="2"/>
        <v>650000</v>
      </c>
      <c r="AF115" s="3">
        <f>VLOOKUP(A115,'[1]계산서(25하-대전)'!W$4:AI$150,4,FALSE)</f>
        <v>250000</v>
      </c>
      <c r="AG115" s="3">
        <f>VLOOKUP(A115,'[1]계산서(25하-대전)'!W$4:AI$150,5,FALSE)</f>
        <v>400000</v>
      </c>
      <c r="AH115" s="3">
        <f t="shared" si="3"/>
        <v>650000</v>
      </c>
      <c r="AI115" s="29">
        <f>VLOOKUP(A115,'[1]계산서(25하-대전)'!W$4:AI$150,8,FALSE)</f>
        <v>45908</v>
      </c>
      <c r="AJ115" s="3">
        <f>VLOOKUP(A115,'[1]계산서(25하-대전)'!W$4:AI$150,9,FALSE)</f>
        <v>250000</v>
      </c>
      <c r="AK115" s="29">
        <f>VLOOKUP(A115,'[1]계산서(25하-대전)'!W$4:AI$150,10,FALSE)</f>
        <v>45958</v>
      </c>
      <c r="AL115" s="3">
        <f>VLOOKUP(A115,'[1]계산서(25하-대전)'!W$4:AI$150,11,FALSE)</f>
        <v>400000</v>
      </c>
      <c r="AM115" s="3">
        <f>VLOOKUP(A115,'[1]계산서(25하-대전)'!W$4:AI$150,13,FALSE)</f>
        <v>0</v>
      </c>
    </row>
    <row r="116" spans="1:39" x14ac:dyDescent="0.3">
      <c r="A116" s="28" t="s">
        <v>2438</v>
      </c>
      <c r="B116" s="3">
        <v>2025</v>
      </c>
      <c r="C116" s="3" t="s">
        <v>2871</v>
      </c>
      <c r="D116" s="3" t="s">
        <v>2439</v>
      </c>
      <c r="E116" s="3" t="s">
        <v>3533</v>
      </c>
      <c r="F116" s="3" t="s">
        <v>3333</v>
      </c>
      <c r="G116" s="12">
        <v>114</v>
      </c>
      <c r="H116" s="12" t="s">
        <v>1107</v>
      </c>
      <c r="I116" s="29">
        <v>45896</v>
      </c>
      <c r="J116" s="29">
        <v>45896</v>
      </c>
      <c r="L116" s="3" t="s">
        <v>46</v>
      </c>
      <c r="M116" s="3" t="s">
        <v>3533</v>
      </c>
      <c r="N116" s="3" t="s">
        <v>2441</v>
      </c>
      <c r="O116" s="3">
        <v>50</v>
      </c>
      <c r="P116" s="3">
        <v>2048203788</v>
      </c>
      <c r="Q116" s="3" t="s">
        <v>2896</v>
      </c>
      <c r="R116" s="3" t="s">
        <v>921</v>
      </c>
      <c r="T116" s="3" t="s">
        <v>2442</v>
      </c>
      <c r="U116" s="3" t="s">
        <v>2443</v>
      </c>
      <c r="V116" s="3" t="s">
        <v>2444</v>
      </c>
      <c r="W116" s="3" t="s">
        <v>1026</v>
      </c>
      <c r="Y116" s="3" t="s">
        <v>2445</v>
      </c>
      <c r="Z116" s="3" t="s">
        <v>2446</v>
      </c>
      <c r="AA116" s="29">
        <v>45925</v>
      </c>
      <c r="AB116" s="3" t="s">
        <v>46</v>
      </c>
      <c r="AC116" s="3" t="str">
        <f>VLOOKUP(A116,'[1]계산서(25하-대전)'!W$4:AI$150,2,FALSE)</f>
        <v>sbkim2@smlab.co.kr</v>
      </c>
      <c r="AD116" s="29">
        <f>VLOOKUP(A116,'[1]계산서(25하-대전)'!W$4:AI$150,3,FALSE)</f>
        <v>45925</v>
      </c>
      <c r="AE116" s="3">
        <f t="shared" si="2"/>
        <v>2150000</v>
      </c>
      <c r="AF116" s="3">
        <f>VLOOKUP(A116,'[1]계산서(25하-대전)'!W$4:AI$150,4,FALSE)</f>
        <v>2150000</v>
      </c>
      <c r="AG116" s="3">
        <v>0</v>
      </c>
      <c r="AH116" s="3">
        <f t="shared" si="3"/>
        <v>2150000</v>
      </c>
      <c r="AI116" s="29">
        <f>VLOOKUP(A116,'[1]계산서(25하-대전)'!W$4:AI$150,8,FALSE)</f>
        <v>45961</v>
      </c>
      <c r="AJ116" s="3">
        <f>VLOOKUP(A116,'[1]계산서(25하-대전)'!W$4:AI$150,9,FALSE)</f>
        <v>2150000</v>
      </c>
      <c r="AK116" s="29" t="str">
        <f>VLOOKUP(A116,'[1]계산서(25하-대전)'!W$4:AI$150,10,FALSE)</f>
        <v>국고 X</v>
      </c>
      <c r="AL116" s="3">
        <f>VLOOKUP(A116,'[1]계산서(25하-대전)'!W$4:AI$150,11,FALSE)</f>
        <v>0</v>
      </c>
      <c r="AM116" s="3">
        <f>VLOOKUP(A116,'[1]계산서(25하-대전)'!W$4:AI$150,13,FALSE)</f>
        <v>0</v>
      </c>
    </row>
    <row r="117" spans="1:39" x14ac:dyDescent="0.3">
      <c r="A117" s="28" t="s">
        <v>3334</v>
      </c>
      <c r="B117" s="3">
        <v>2025</v>
      </c>
      <c r="C117" s="3" t="s">
        <v>2871</v>
      </c>
      <c r="D117" s="3" t="s">
        <v>2953</v>
      </c>
      <c r="E117" s="3" t="s">
        <v>3533</v>
      </c>
      <c r="F117" s="3" t="s">
        <v>3335</v>
      </c>
      <c r="G117" s="12">
        <v>115</v>
      </c>
      <c r="H117" s="12" t="s">
        <v>1107</v>
      </c>
      <c r="I117" s="29">
        <v>45897</v>
      </c>
      <c r="J117" s="29">
        <v>45897</v>
      </c>
      <c r="L117" s="3" t="s">
        <v>73</v>
      </c>
      <c r="M117" s="3" t="s">
        <v>3533</v>
      </c>
      <c r="N117" s="3" t="s">
        <v>3336</v>
      </c>
      <c r="O117" s="3">
        <v>3</v>
      </c>
      <c r="P117" s="3">
        <v>5888100474</v>
      </c>
      <c r="Q117" s="3">
        <v>58881004746</v>
      </c>
      <c r="R117" s="3" t="s">
        <v>3337</v>
      </c>
      <c r="T117" s="3" t="s">
        <v>3338</v>
      </c>
      <c r="W117" s="3" t="s">
        <v>2958</v>
      </c>
      <c r="X117" s="3" t="s">
        <v>2959</v>
      </c>
      <c r="Y117" s="3" t="s">
        <v>2960</v>
      </c>
      <c r="Z117" s="3" t="s">
        <v>2961</v>
      </c>
      <c r="AA117" s="29">
        <v>45925</v>
      </c>
      <c r="AB117" s="3" t="s">
        <v>73</v>
      </c>
      <c r="AD117" s="29" t="str">
        <f>VLOOKUP(A117,'[1]계산서(25하-대전)'!W$4:AI$150,3,FALSE)</f>
        <v>국고 전액</v>
      </c>
      <c r="AE117" s="3">
        <f t="shared" si="2"/>
        <v>784750</v>
      </c>
      <c r="AF117" s="3">
        <v>0</v>
      </c>
      <c r="AG117" s="3">
        <f>VLOOKUP(A117,'[1]계산서(25하-대전)'!W$4:AI$150,5,FALSE)</f>
        <v>784750</v>
      </c>
      <c r="AH117" s="3">
        <f t="shared" si="3"/>
        <v>784750</v>
      </c>
      <c r="AI117" s="29"/>
      <c r="AJ117" s="3">
        <v>0</v>
      </c>
      <c r="AK117" s="29">
        <f>VLOOKUP(A117,'[1]계산서(25하-대전)'!W$4:AI$150,10,FALSE)</f>
        <v>45958</v>
      </c>
      <c r="AL117" s="3">
        <f>VLOOKUP(A117,'[1]계산서(25하-대전)'!W$4:AI$150,11,FALSE)</f>
        <v>784750</v>
      </c>
    </row>
    <row r="118" spans="1:39" x14ac:dyDescent="0.3">
      <c r="A118" s="28" t="s">
        <v>1962</v>
      </c>
      <c r="B118" s="3">
        <v>2025</v>
      </c>
      <c r="C118" s="3" t="s">
        <v>2871</v>
      </c>
      <c r="D118" s="3" t="s">
        <v>94</v>
      </c>
      <c r="E118" s="3" t="s">
        <v>3533</v>
      </c>
      <c r="F118" s="3" t="s">
        <v>3339</v>
      </c>
      <c r="G118" s="12">
        <v>116</v>
      </c>
      <c r="H118" s="12" t="s">
        <v>1117</v>
      </c>
      <c r="I118" s="29">
        <v>45902</v>
      </c>
      <c r="J118" s="29">
        <v>45902</v>
      </c>
      <c r="L118" s="3" t="s">
        <v>61</v>
      </c>
      <c r="M118" s="3" t="s">
        <v>3533</v>
      </c>
      <c r="N118" s="3" t="s">
        <v>1964</v>
      </c>
      <c r="O118" s="3">
        <v>45</v>
      </c>
      <c r="P118" s="3">
        <v>3148626446</v>
      </c>
      <c r="Q118" s="3" t="s">
        <v>3340</v>
      </c>
      <c r="R118" s="3" t="s">
        <v>1965</v>
      </c>
      <c r="T118" s="3" t="s">
        <v>1966</v>
      </c>
      <c r="U118" s="3" t="s">
        <v>1967</v>
      </c>
      <c r="V118" s="3" t="s">
        <v>1968</v>
      </c>
      <c r="W118" s="3" t="s">
        <v>1969</v>
      </c>
      <c r="Y118" s="3" t="s">
        <v>1970</v>
      </c>
      <c r="Z118" s="3" t="s">
        <v>1971</v>
      </c>
      <c r="AA118" s="29"/>
      <c r="AC118" s="3" t="str">
        <f>VLOOKUP(A118,'[1]계산서(25하-대전)'!W$4:AI$150,2,FALSE)</f>
        <v>ssh@jlrmotors.co.kr</v>
      </c>
      <c r="AD118" s="29">
        <f>VLOOKUP(A118,'[1]계산서(25하-대전)'!W$4:AI$150,3,FALSE)</f>
        <v>45902</v>
      </c>
      <c r="AE118" s="3">
        <f t="shared" si="2"/>
        <v>750000</v>
      </c>
      <c r="AF118" s="3">
        <f>VLOOKUP(A118,'[1]계산서(25하-대전)'!W$4:AI$150,4,FALSE)</f>
        <v>350000</v>
      </c>
      <c r="AG118" s="3">
        <f>VLOOKUP(A118,'[1]계산서(25하-대전)'!W$4:AI$150,5,FALSE)</f>
        <v>400000</v>
      </c>
      <c r="AH118" s="3">
        <f t="shared" si="3"/>
        <v>750000</v>
      </c>
      <c r="AI118" s="29">
        <f>VLOOKUP(A118,'[1]계산서(25하-대전)'!W$4:AI$150,8,FALSE)</f>
        <v>45918</v>
      </c>
      <c r="AJ118" s="3">
        <f>VLOOKUP(A118,'[1]계산서(25하-대전)'!W$4:AI$150,9,FALSE)</f>
        <v>350000</v>
      </c>
      <c r="AK118" s="29">
        <f>VLOOKUP(A118,'[1]계산서(25하-대전)'!W$4:AI$150,10,FALSE)</f>
        <v>45980</v>
      </c>
      <c r="AL118" s="3">
        <f>VLOOKUP(A118,'[1]계산서(25하-대전)'!W$4:AI$150,11,FALSE)</f>
        <v>400000</v>
      </c>
      <c r="AM118" s="3">
        <f>VLOOKUP(A118,'[1]계산서(25하-대전)'!W$4:AI$150,13,FALSE)</f>
        <v>0</v>
      </c>
    </row>
    <row r="119" spans="1:39" x14ac:dyDescent="0.3">
      <c r="A119" s="28" t="s">
        <v>2476</v>
      </c>
      <c r="B119" s="3">
        <v>2025</v>
      </c>
      <c r="C119" s="3" t="s">
        <v>2871</v>
      </c>
      <c r="D119" s="3" t="s">
        <v>94</v>
      </c>
      <c r="E119" s="3" t="s">
        <v>3533</v>
      </c>
      <c r="F119" s="3" t="s">
        <v>3341</v>
      </c>
      <c r="G119" s="12">
        <v>117</v>
      </c>
      <c r="H119" s="12" t="s">
        <v>1127</v>
      </c>
      <c r="I119" s="29">
        <v>45902</v>
      </c>
      <c r="J119" s="29">
        <v>45902</v>
      </c>
      <c r="L119" s="3" t="s">
        <v>181</v>
      </c>
      <c r="M119" s="3" t="s">
        <v>3533</v>
      </c>
      <c r="N119" s="3" t="s">
        <v>2478</v>
      </c>
      <c r="O119" s="3">
        <v>8</v>
      </c>
      <c r="P119" s="3">
        <v>6330601626</v>
      </c>
      <c r="Q119" s="3" t="s">
        <v>3342</v>
      </c>
      <c r="R119" s="3" t="s">
        <v>2479</v>
      </c>
      <c r="T119" s="3" t="s">
        <v>2480</v>
      </c>
      <c r="U119" s="3" t="s">
        <v>2481</v>
      </c>
      <c r="V119" s="3" t="s">
        <v>2482</v>
      </c>
      <c r="W119" s="3" t="s">
        <v>2479</v>
      </c>
      <c r="X119" s="3" t="s">
        <v>78</v>
      </c>
      <c r="Y119" s="3" t="s">
        <v>2483</v>
      </c>
      <c r="Z119" s="3" t="s">
        <v>2484</v>
      </c>
      <c r="AA119" s="29"/>
      <c r="AC119" s="3" t="str">
        <f>VLOOKUP(A119,'[1]계산서(25하-대전)'!W$4:AI$150,2,FALSE)</f>
        <v>rhkdfla7878@naver.com</v>
      </c>
      <c r="AD119" s="29">
        <f>VLOOKUP(A119,'[1]계산서(25하-대전)'!W$4:AI$150,3,FALSE)</f>
        <v>45902</v>
      </c>
      <c r="AE119" s="3">
        <f t="shared" si="2"/>
        <v>600000</v>
      </c>
      <c r="AF119" s="3">
        <f>VLOOKUP(A119,'[1]계산서(25하-대전)'!W$4:AI$150,4,FALSE)</f>
        <v>200000</v>
      </c>
      <c r="AG119" s="3">
        <f>VLOOKUP(A119,'[1]계산서(25하-대전)'!W$4:AI$150,5,FALSE)</f>
        <v>400000</v>
      </c>
      <c r="AH119" s="3">
        <f t="shared" si="3"/>
        <v>600000</v>
      </c>
      <c r="AI119" s="29">
        <f>VLOOKUP(A119,'[1]계산서(25하-대전)'!W$4:AI$150,8,FALSE)</f>
        <v>45905</v>
      </c>
      <c r="AJ119" s="3">
        <f>VLOOKUP(A119,'[1]계산서(25하-대전)'!W$4:AI$150,9,FALSE)</f>
        <v>200000</v>
      </c>
      <c r="AK119" s="29">
        <f>VLOOKUP(A119,'[1]계산서(25하-대전)'!W$4:AI$150,10,FALSE)</f>
        <v>45980</v>
      </c>
      <c r="AL119" s="3">
        <f>VLOOKUP(A119,'[1]계산서(25하-대전)'!W$4:AI$150,11,FALSE)</f>
        <v>400000</v>
      </c>
      <c r="AM119" s="3">
        <f>VLOOKUP(A119,'[1]계산서(25하-대전)'!W$4:AI$150,13,FALSE)</f>
        <v>0</v>
      </c>
    </row>
    <row r="120" spans="1:39" x14ac:dyDescent="0.3">
      <c r="A120" s="28" t="s">
        <v>2048</v>
      </c>
      <c r="B120" s="3">
        <v>2025</v>
      </c>
      <c r="C120" s="3" t="s">
        <v>2871</v>
      </c>
      <c r="D120" s="3" t="s">
        <v>94</v>
      </c>
      <c r="E120" s="3" t="s">
        <v>3533</v>
      </c>
      <c r="F120" s="3" t="s">
        <v>3343</v>
      </c>
      <c r="G120" s="12">
        <v>118</v>
      </c>
      <c r="H120" s="12" t="s">
        <v>1127</v>
      </c>
      <c r="I120" s="29">
        <v>45902</v>
      </c>
      <c r="J120" s="29">
        <v>45902</v>
      </c>
      <c r="L120" s="3" t="s">
        <v>46</v>
      </c>
      <c r="M120" s="3" t="s">
        <v>3533</v>
      </c>
      <c r="N120" s="3" t="s">
        <v>2050</v>
      </c>
      <c r="O120" s="3">
        <v>2</v>
      </c>
      <c r="P120" s="3">
        <v>3052115155</v>
      </c>
      <c r="Q120" s="3" t="s">
        <v>3344</v>
      </c>
      <c r="R120" s="3" t="s">
        <v>2051</v>
      </c>
      <c r="T120" s="3" t="s">
        <v>2052</v>
      </c>
      <c r="U120" s="3" t="s">
        <v>2053</v>
      </c>
      <c r="V120" s="3" t="s">
        <v>2054</v>
      </c>
      <c r="W120" s="3" t="s">
        <v>2051</v>
      </c>
      <c r="X120" s="3" t="s">
        <v>78</v>
      </c>
      <c r="Y120" s="3" t="s">
        <v>2055</v>
      </c>
      <c r="Z120" s="3" t="s">
        <v>2056</v>
      </c>
      <c r="AA120" s="29">
        <v>45930</v>
      </c>
      <c r="AB120" s="3" t="s">
        <v>73</v>
      </c>
      <c r="AC120" s="3" t="str">
        <f>VLOOKUP(A120,'[1]계산서(25하-대전)'!W$4:AI$150,2,FALSE)</f>
        <v>gosi67@naver.com</v>
      </c>
      <c r="AD120" s="29">
        <f>VLOOKUP(A120,'[1]계산서(25하-대전)'!W$4:AI$150,3,FALSE)</f>
        <v>45902</v>
      </c>
      <c r="AE120" s="3">
        <f t="shared" si="2"/>
        <v>600000</v>
      </c>
      <c r="AF120" s="3">
        <f>VLOOKUP(A120,'[1]계산서(25하-대전)'!W$4:AI$150,4,FALSE)</f>
        <v>200000</v>
      </c>
      <c r="AG120" s="3">
        <f>VLOOKUP(A120,'[1]계산서(25하-대전)'!W$4:AI$150,5,FALSE)</f>
        <v>400000</v>
      </c>
      <c r="AH120" s="3">
        <f t="shared" si="3"/>
        <v>400000</v>
      </c>
      <c r="AI120" s="29"/>
      <c r="AJ120" s="3">
        <v>0</v>
      </c>
      <c r="AK120" s="29">
        <f>VLOOKUP(A120,'[1]계산서(25하-대전)'!W$4:AI$150,10,FALSE)</f>
        <v>45958</v>
      </c>
      <c r="AL120" s="3">
        <f>VLOOKUP(A120,'[1]계산서(25하-대전)'!W$4:AI$150,11,FALSE)</f>
        <v>400000</v>
      </c>
      <c r="AM120" s="3">
        <f>VLOOKUP(A120,'[1]계산서(25하-대전)'!W$4:AI$150,13,FALSE)</f>
        <v>0</v>
      </c>
    </row>
    <row r="121" spans="1:39" x14ac:dyDescent="0.3">
      <c r="A121" s="28" t="s">
        <v>1837</v>
      </c>
      <c r="B121" s="3">
        <v>2025</v>
      </c>
      <c r="C121" s="3" t="s">
        <v>2871</v>
      </c>
      <c r="D121" s="3" t="s">
        <v>71</v>
      </c>
      <c r="E121" s="3" t="s">
        <v>3533</v>
      </c>
      <c r="F121" s="3" t="s">
        <v>3345</v>
      </c>
      <c r="G121" s="12">
        <v>119</v>
      </c>
      <c r="H121" s="12" t="s">
        <v>1138</v>
      </c>
      <c r="I121" s="29">
        <v>45902</v>
      </c>
      <c r="J121" s="29">
        <v>45902</v>
      </c>
      <c r="L121" s="3" t="s">
        <v>73</v>
      </c>
      <c r="M121" s="3" t="s">
        <v>3533</v>
      </c>
      <c r="N121" s="3" t="s">
        <v>1839</v>
      </c>
      <c r="O121" s="3">
        <v>9</v>
      </c>
      <c r="P121" s="3">
        <v>3060278109</v>
      </c>
      <c r="Q121" s="3">
        <v>30602781090</v>
      </c>
      <c r="R121" s="3" t="s">
        <v>1840</v>
      </c>
      <c r="T121" s="3" t="s">
        <v>1841</v>
      </c>
      <c r="U121" s="3" t="s">
        <v>1842</v>
      </c>
      <c r="V121" s="3" t="s">
        <v>1843</v>
      </c>
      <c r="W121" s="3" t="s">
        <v>1844</v>
      </c>
      <c r="X121" s="3" t="s">
        <v>78</v>
      </c>
      <c r="Y121" s="3" t="s">
        <v>1845</v>
      </c>
      <c r="Z121" s="3" t="s">
        <v>1846</v>
      </c>
      <c r="AA121" s="29">
        <v>45925</v>
      </c>
      <c r="AB121" s="3" t="s">
        <v>73</v>
      </c>
      <c r="AC121" s="3" t="str">
        <f>VLOOKUP(A121,'[1]계산서(25하-대전)'!W$4:AI$150,2,FALSE)</f>
        <v>dh15222@naver.com</v>
      </c>
      <c r="AD121" s="29">
        <f>VLOOKUP(A121,'[1]계산서(25하-대전)'!W$4:AI$150,3,FALSE)</f>
        <v>45925</v>
      </c>
      <c r="AE121" s="3">
        <f t="shared" si="2"/>
        <v>1900000</v>
      </c>
      <c r="AF121" s="3">
        <f>VLOOKUP(A121,'[1]계산서(25하-대전)'!W$4:AI$150,4,FALSE)</f>
        <v>1500000</v>
      </c>
      <c r="AG121" s="3">
        <f>VLOOKUP(A121,'[1]계산서(25하-대전)'!W$4:AI$150,5,FALSE)</f>
        <v>400000</v>
      </c>
      <c r="AH121" s="3">
        <f t="shared" si="3"/>
        <v>1900000</v>
      </c>
      <c r="AI121" s="29">
        <f>VLOOKUP(A121,'[1]계산서(25하-대전)'!W$4:AI$150,8,FALSE)</f>
        <v>45964</v>
      </c>
      <c r="AJ121" s="3">
        <f>VLOOKUP(A121,'[1]계산서(25하-대전)'!W$4:AI$150,9,FALSE)</f>
        <v>1500000</v>
      </c>
      <c r="AK121" s="29">
        <f>VLOOKUP(A121,'[1]계산서(25하-대전)'!W$4:AI$150,10,FALSE)</f>
        <v>45958</v>
      </c>
      <c r="AL121" s="3">
        <f>VLOOKUP(A121,'[1]계산서(25하-대전)'!W$4:AI$150,11,FALSE)</f>
        <v>400000</v>
      </c>
      <c r="AM121" s="3">
        <f>VLOOKUP(A121,'[1]계산서(25하-대전)'!W$4:AI$150,13,FALSE)</f>
        <v>0</v>
      </c>
    </row>
    <row r="122" spans="1:39" x14ac:dyDescent="0.3">
      <c r="A122" s="28" t="s">
        <v>2679</v>
      </c>
      <c r="B122" s="3">
        <v>2025</v>
      </c>
      <c r="C122" s="3" t="s">
        <v>2871</v>
      </c>
      <c r="D122" s="3" t="s">
        <v>94</v>
      </c>
      <c r="E122" s="3" t="s">
        <v>3533</v>
      </c>
      <c r="F122" s="3" t="s">
        <v>3346</v>
      </c>
      <c r="G122" s="12">
        <v>120</v>
      </c>
      <c r="H122" s="12" t="s">
        <v>1146</v>
      </c>
      <c r="I122" s="29">
        <v>45903</v>
      </c>
      <c r="J122" s="29">
        <v>45903</v>
      </c>
      <c r="L122" s="3" t="s">
        <v>61</v>
      </c>
      <c r="M122" s="3" t="s">
        <v>3533</v>
      </c>
      <c r="N122" s="3" t="s">
        <v>2682</v>
      </c>
      <c r="O122" s="3">
        <v>5</v>
      </c>
      <c r="P122" s="3">
        <v>7585000517</v>
      </c>
      <c r="Q122" s="3" t="s">
        <v>3347</v>
      </c>
      <c r="R122" s="3" t="s">
        <v>2683</v>
      </c>
      <c r="T122" s="3" t="s">
        <v>2684</v>
      </c>
      <c r="V122" s="3" t="s">
        <v>2685</v>
      </c>
      <c r="W122" s="3" t="s">
        <v>2686</v>
      </c>
      <c r="X122" s="3" t="s">
        <v>78</v>
      </c>
      <c r="Y122" s="3" t="s">
        <v>2687</v>
      </c>
      <c r="Z122" s="3" t="s">
        <v>2688</v>
      </c>
      <c r="AA122" s="29"/>
      <c r="AC122" s="3" t="str">
        <f>VLOOKUP(A122,'[1]계산서(25하-대전)'!W$4:AI$150,2,FALSE)</f>
        <v>ml3995@naver.com</v>
      </c>
      <c r="AD122" s="29">
        <f>VLOOKUP(A122,'[1]계산서(25하-대전)'!W$4:AI$150,3,FALSE)</f>
        <v>45904</v>
      </c>
      <c r="AE122" s="3">
        <f t="shared" si="2"/>
        <v>600000</v>
      </c>
      <c r="AF122" s="3">
        <f>VLOOKUP(A122,'[1]계산서(25하-대전)'!W$4:AI$150,4,FALSE)</f>
        <v>200000</v>
      </c>
      <c r="AG122" s="3">
        <f>VLOOKUP(A122,'[1]계산서(25하-대전)'!W$4:AI$150,5,FALSE)</f>
        <v>400000</v>
      </c>
      <c r="AH122" s="3">
        <f t="shared" si="3"/>
        <v>400000</v>
      </c>
      <c r="AI122" s="29"/>
      <c r="AJ122" s="3">
        <v>0</v>
      </c>
      <c r="AK122" s="29">
        <f>VLOOKUP(A122,'[1]계산서(25하-대전)'!W$4:AI$150,10,FALSE)</f>
        <v>45980</v>
      </c>
      <c r="AL122" s="3">
        <f>VLOOKUP(A122,'[1]계산서(25하-대전)'!W$4:AI$150,11,FALSE)</f>
        <v>400000</v>
      </c>
      <c r="AM122" s="3">
        <f>VLOOKUP(A122,'[1]계산서(25하-대전)'!W$4:AI$150,13,FALSE)</f>
        <v>0</v>
      </c>
    </row>
    <row r="123" spans="1:39" x14ac:dyDescent="0.3">
      <c r="A123" s="28" t="s">
        <v>2611</v>
      </c>
      <c r="B123" s="3">
        <v>2025</v>
      </c>
      <c r="C123" s="3" t="s">
        <v>2871</v>
      </c>
      <c r="D123" s="3" t="s">
        <v>94</v>
      </c>
      <c r="E123" s="3" t="s">
        <v>3533</v>
      </c>
      <c r="F123" s="3" t="s">
        <v>3348</v>
      </c>
      <c r="G123" s="12">
        <v>121</v>
      </c>
      <c r="H123" s="12" t="s">
        <v>1157</v>
      </c>
      <c r="I123" s="29">
        <v>45903</v>
      </c>
      <c r="J123" s="29">
        <v>45903</v>
      </c>
      <c r="L123" s="3" t="s">
        <v>97</v>
      </c>
      <c r="M123" s="3" t="s">
        <v>3533</v>
      </c>
      <c r="N123" s="3" t="s">
        <v>2613</v>
      </c>
      <c r="O123" s="3">
        <v>13</v>
      </c>
      <c r="P123" s="3">
        <v>3068122347</v>
      </c>
      <c r="Q123" s="3" t="s">
        <v>3349</v>
      </c>
      <c r="R123" s="3" t="s">
        <v>2614</v>
      </c>
      <c r="T123" s="3" t="s">
        <v>2615</v>
      </c>
      <c r="U123" s="3" t="s">
        <v>2616</v>
      </c>
      <c r="V123" s="3" t="s">
        <v>2617</v>
      </c>
      <c r="W123" s="3" t="s">
        <v>2618</v>
      </c>
      <c r="X123" s="3" t="s">
        <v>134</v>
      </c>
      <c r="Y123" s="3" t="s">
        <v>2619</v>
      </c>
      <c r="Z123" s="3" t="s">
        <v>2620</v>
      </c>
      <c r="AA123" s="29"/>
      <c r="AC123" s="3" t="str">
        <f>VLOOKUP(A123,'[1]계산서(25하-대전)'!W$4:AI$150,2,FALSE)</f>
        <v>yuyeu@hanmail.net</v>
      </c>
      <c r="AD123" s="29">
        <f>VLOOKUP(A123,'[1]계산서(25하-대전)'!W$4:AI$150,3,FALSE)</f>
        <v>45904</v>
      </c>
      <c r="AE123" s="3">
        <f t="shared" si="2"/>
        <v>600000</v>
      </c>
      <c r="AF123" s="3">
        <f>VLOOKUP(A123,'[1]계산서(25하-대전)'!W$4:AI$150,4,FALSE)</f>
        <v>200000</v>
      </c>
      <c r="AG123" s="3">
        <f>VLOOKUP(A123,'[1]계산서(25하-대전)'!W$4:AI$150,5,FALSE)</f>
        <v>400000</v>
      </c>
      <c r="AH123" s="3">
        <f t="shared" si="3"/>
        <v>600000</v>
      </c>
      <c r="AI123" s="29">
        <f>VLOOKUP(A123,'[1]계산서(25하-대전)'!W$4:AI$150,8,FALSE)</f>
        <v>45932</v>
      </c>
      <c r="AJ123" s="3">
        <f>VLOOKUP(A123,'[1]계산서(25하-대전)'!W$4:AI$150,9,FALSE)</f>
        <v>200000</v>
      </c>
      <c r="AK123" s="29">
        <f>VLOOKUP(A123,'[1]계산서(25하-대전)'!W$4:AI$150,10,FALSE)</f>
        <v>45980</v>
      </c>
      <c r="AL123" s="3">
        <f>VLOOKUP(A123,'[1]계산서(25하-대전)'!W$4:AI$150,11,FALSE)</f>
        <v>400000</v>
      </c>
      <c r="AM123" s="3">
        <f>VLOOKUP(A123,'[1]계산서(25하-대전)'!W$4:AI$150,13,FALSE)</f>
        <v>0</v>
      </c>
    </row>
    <row r="124" spans="1:39" x14ac:dyDescent="0.3">
      <c r="A124" s="28" t="s">
        <v>2621</v>
      </c>
      <c r="B124" s="3">
        <v>2025</v>
      </c>
      <c r="C124" s="3" t="s">
        <v>2871</v>
      </c>
      <c r="D124" s="3" t="s">
        <v>94</v>
      </c>
      <c r="E124" s="3" t="s">
        <v>3533</v>
      </c>
      <c r="F124" s="3" t="s">
        <v>3350</v>
      </c>
      <c r="G124" s="12">
        <v>122</v>
      </c>
      <c r="H124" s="12" t="s">
        <v>1172</v>
      </c>
      <c r="I124" s="29">
        <v>45903</v>
      </c>
      <c r="J124" s="29">
        <v>45903</v>
      </c>
      <c r="L124" s="3" t="s">
        <v>181</v>
      </c>
      <c r="M124" s="3" t="s">
        <v>3533</v>
      </c>
      <c r="N124" s="3" t="s">
        <v>2623</v>
      </c>
      <c r="O124" s="3">
        <v>6</v>
      </c>
      <c r="P124" s="3">
        <v>3180124593</v>
      </c>
      <c r="Q124" s="3" t="s">
        <v>3351</v>
      </c>
      <c r="R124" s="3" t="s">
        <v>2624</v>
      </c>
      <c r="T124" s="3" t="s">
        <v>2625</v>
      </c>
      <c r="U124" s="3" t="s">
        <v>2626</v>
      </c>
      <c r="V124" s="3" t="s">
        <v>2627</v>
      </c>
      <c r="W124" s="3" t="s">
        <v>2624</v>
      </c>
      <c r="X124" s="3" t="s">
        <v>78</v>
      </c>
      <c r="Y124" s="3" t="s">
        <v>2628</v>
      </c>
      <c r="Z124" s="3" t="s">
        <v>2629</v>
      </c>
      <c r="AA124" s="29"/>
      <c r="AC124" s="3" t="str">
        <f>VLOOKUP(A124,'[1]계산서(25하-대전)'!W$4:AI$150,2,FALSE)</f>
        <v>hanmaum5828@gmail.com</v>
      </c>
      <c r="AD124" s="29">
        <f>VLOOKUP(A124,'[1]계산서(25하-대전)'!W$4:AI$150,3,FALSE)</f>
        <v>45904</v>
      </c>
      <c r="AE124" s="3">
        <f t="shared" si="2"/>
        <v>600000</v>
      </c>
      <c r="AF124" s="3">
        <f>VLOOKUP(A124,'[1]계산서(25하-대전)'!W$4:AI$150,4,FALSE)</f>
        <v>200000</v>
      </c>
      <c r="AG124" s="3">
        <f>VLOOKUP(A124,'[1]계산서(25하-대전)'!W$4:AI$150,5,FALSE)</f>
        <v>400000</v>
      </c>
      <c r="AH124" s="3">
        <f t="shared" si="3"/>
        <v>600000</v>
      </c>
      <c r="AI124" s="29">
        <f>VLOOKUP(A124,'[1]계산서(25하-대전)'!W$4:AI$150,8,FALSE)</f>
        <v>45904</v>
      </c>
      <c r="AJ124" s="3">
        <f>VLOOKUP(A124,'[1]계산서(25하-대전)'!W$4:AI$150,9,FALSE)</f>
        <v>200000</v>
      </c>
      <c r="AK124" s="29">
        <f>VLOOKUP(A124,'[1]계산서(25하-대전)'!W$4:AI$150,10,FALSE)</f>
        <v>45980</v>
      </c>
      <c r="AL124" s="3">
        <f>VLOOKUP(A124,'[1]계산서(25하-대전)'!W$4:AI$150,11,FALSE)</f>
        <v>400000</v>
      </c>
      <c r="AM124" s="3">
        <f>VLOOKUP(A124,'[1]계산서(25하-대전)'!W$4:AI$150,13,FALSE)</f>
        <v>0</v>
      </c>
    </row>
    <row r="125" spans="1:39" x14ac:dyDescent="0.3">
      <c r="A125" s="28" t="s">
        <v>2494</v>
      </c>
      <c r="B125" s="3">
        <v>2025</v>
      </c>
      <c r="C125" s="3" t="s">
        <v>2871</v>
      </c>
      <c r="D125" s="3" t="s">
        <v>94</v>
      </c>
      <c r="E125" s="3" t="s">
        <v>3533</v>
      </c>
      <c r="F125" s="3" t="s">
        <v>3352</v>
      </c>
      <c r="G125" s="12">
        <v>123</v>
      </c>
      <c r="H125" s="12" t="s">
        <v>1172</v>
      </c>
      <c r="I125" s="29">
        <v>45904</v>
      </c>
      <c r="J125" s="29">
        <v>45904</v>
      </c>
      <c r="L125" s="3" t="s">
        <v>46</v>
      </c>
      <c r="M125" s="3" t="s">
        <v>3533</v>
      </c>
      <c r="N125" s="3" t="s">
        <v>2496</v>
      </c>
      <c r="O125" s="3">
        <v>2</v>
      </c>
      <c r="P125" s="3">
        <v>1111269544</v>
      </c>
      <c r="Q125" s="3" t="s">
        <v>3353</v>
      </c>
      <c r="R125" s="3" t="s">
        <v>2497</v>
      </c>
      <c r="T125" s="3" t="s">
        <v>2498</v>
      </c>
      <c r="U125" s="3" t="s">
        <v>2499</v>
      </c>
      <c r="V125" s="3" t="s">
        <v>2500</v>
      </c>
      <c r="W125" s="3" t="s">
        <v>2497</v>
      </c>
      <c r="X125" s="3" t="s">
        <v>78</v>
      </c>
      <c r="Y125" s="3" t="s">
        <v>2501</v>
      </c>
      <c r="Z125" s="3" t="s">
        <v>2502</v>
      </c>
      <c r="AA125" s="29"/>
      <c r="AC125" s="3" t="str">
        <f>VLOOKUP(A125,'[1]계산서(25하-대전)'!W$4:AI$150,2,FALSE)</f>
        <v>bum3175@hanmail.net</v>
      </c>
      <c r="AD125" s="29">
        <f>VLOOKUP(A125,'[1]계산서(25하-대전)'!W$4:AI$150,3,FALSE)</f>
        <v>45905</v>
      </c>
      <c r="AE125" s="3">
        <f t="shared" si="2"/>
        <v>600000</v>
      </c>
      <c r="AF125" s="3">
        <f>VLOOKUP(A125,'[1]계산서(25하-대전)'!W$4:AI$150,4,FALSE)</f>
        <v>200000</v>
      </c>
      <c r="AG125" s="3">
        <f>VLOOKUP(A125,'[1]계산서(25하-대전)'!W$4:AI$150,5,FALSE)</f>
        <v>400000</v>
      </c>
      <c r="AH125" s="3">
        <f t="shared" si="3"/>
        <v>400000</v>
      </c>
      <c r="AI125" s="29"/>
      <c r="AJ125" s="3">
        <v>0</v>
      </c>
      <c r="AK125" s="29">
        <f>VLOOKUP(A125,'[1]계산서(25하-대전)'!W$4:AI$150,10,FALSE)</f>
        <v>45980</v>
      </c>
      <c r="AL125" s="3">
        <f>VLOOKUP(A125,'[1]계산서(25하-대전)'!W$4:AI$150,11,FALSE)</f>
        <v>400000</v>
      </c>
      <c r="AM125" s="3">
        <f>VLOOKUP(A125,'[1]계산서(25하-대전)'!W$4:AI$150,13,FALSE)</f>
        <v>0</v>
      </c>
    </row>
    <row r="126" spans="1:39" x14ac:dyDescent="0.3">
      <c r="A126" s="28" t="s">
        <v>2572</v>
      </c>
      <c r="B126" s="3">
        <v>2025</v>
      </c>
      <c r="C126" s="3" t="s">
        <v>2871</v>
      </c>
      <c r="D126" s="3" t="s">
        <v>94</v>
      </c>
      <c r="E126" s="3" t="s">
        <v>3533</v>
      </c>
      <c r="F126" s="3" t="s">
        <v>3354</v>
      </c>
      <c r="G126" s="12">
        <v>124</v>
      </c>
      <c r="H126" s="12" t="s">
        <v>1172</v>
      </c>
      <c r="I126" s="29">
        <v>45904</v>
      </c>
      <c r="J126" s="29">
        <v>45904</v>
      </c>
      <c r="L126" s="3" t="s">
        <v>218</v>
      </c>
      <c r="M126" s="3" t="s">
        <v>3533</v>
      </c>
      <c r="N126" s="3" t="s">
        <v>2574</v>
      </c>
      <c r="O126" s="3">
        <v>3</v>
      </c>
      <c r="P126" s="3">
        <v>4705100652</v>
      </c>
      <c r="Q126" s="3">
        <v>47051006520</v>
      </c>
      <c r="R126" s="3" t="s">
        <v>2575</v>
      </c>
      <c r="T126" s="3" t="s">
        <v>2394</v>
      </c>
      <c r="U126" s="3" t="s">
        <v>2576</v>
      </c>
      <c r="V126" s="3" t="s">
        <v>2577</v>
      </c>
      <c r="W126" s="3" t="s">
        <v>2578</v>
      </c>
      <c r="X126" s="3" t="s">
        <v>66</v>
      </c>
      <c r="Y126" s="3" t="s">
        <v>2579</v>
      </c>
      <c r="Z126" s="3" t="s">
        <v>2580</v>
      </c>
      <c r="AA126" s="29"/>
      <c r="AC126" s="3" t="str">
        <f>VLOOKUP(A126,'[1]계산서(25하-대전)'!W$4:AI$150,2,FALSE)</f>
        <v>ghks9933@naver.com</v>
      </c>
      <c r="AD126" s="29">
        <f>VLOOKUP(A126,'[1]계산서(25하-대전)'!W$4:AI$150,3,FALSE)</f>
        <v>45905</v>
      </c>
      <c r="AE126" s="3">
        <f t="shared" si="2"/>
        <v>600000</v>
      </c>
      <c r="AF126" s="3">
        <f>VLOOKUP(A126,'[1]계산서(25하-대전)'!W$4:AI$150,4,FALSE)</f>
        <v>200000</v>
      </c>
      <c r="AG126" s="3">
        <f>VLOOKUP(A126,'[1]계산서(25하-대전)'!W$4:AI$150,5,FALSE)</f>
        <v>400000</v>
      </c>
      <c r="AH126" s="3">
        <f t="shared" si="3"/>
        <v>400000</v>
      </c>
      <c r="AI126" s="29"/>
      <c r="AJ126" s="3">
        <v>0</v>
      </c>
      <c r="AK126" s="29">
        <f>VLOOKUP(A126,'[1]계산서(25하-대전)'!W$4:AI$150,10,FALSE)</f>
        <v>45980</v>
      </c>
      <c r="AL126" s="3">
        <f>VLOOKUP(A126,'[1]계산서(25하-대전)'!W$4:AI$150,11,FALSE)</f>
        <v>400000</v>
      </c>
      <c r="AM126" s="3">
        <f>VLOOKUP(A126,'[1]계산서(25하-대전)'!W$4:AI$150,13,FALSE)</f>
        <v>0</v>
      </c>
    </row>
    <row r="127" spans="1:39" x14ac:dyDescent="0.3">
      <c r="A127" s="28" t="s">
        <v>2668</v>
      </c>
      <c r="B127" s="3">
        <v>2025</v>
      </c>
      <c r="C127" s="3" t="s">
        <v>2871</v>
      </c>
      <c r="D127" s="3" t="s">
        <v>94</v>
      </c>
      <c r="E127" s="3" t="s">
        <v>3533</v>
      </c>
      <c r="F127" s="3" t="s">
        <v>3355</v>
      </c>
      <c r="G127" s="12">
        <v>125</v>
      </c>
      <c r="H127" s="12" t="s">
        <v>1178</v>
      </c>
      <c r="I127" s="29">
        <v>45904</v>
      </c>
      <c r="J127" s="29">
        <v>45904</v>
      </c>
      <c r="L127" s="3" t="s">
        <v>181</v>
      </c>
      <c r="M127" s="3" t="s">
        <v>3533</v>
      </c>
      <c r="N127" s="3" t="s">
        <v>2671</v>
      </c>
      <c r="O127" s="3">
        <v>6</v>
      </c>
      <c r="P127" s="3">
        <v>3140393020</v>
      </c>
      <c r="Q127" s="3" t="s">
        <v>3356</v>
      </c>
      <c r="R127" s="3" t="s">
        <v>2672</v>
      </c>
      <c r="T127" s="3" t="s">
        <v>2673</v>
      </c>
      <c r="U127" s="3" t="s">
        <v>2674</v>
      </c>
      <c r="V127" s="3" t="s">
        <v>2675</v>
      </c>
      <c r="W127" s="3" t="s">
        <v>2676</v>
      </c>
      <c r="X127" s="3" t="s">
        <v>134</v>
      </c>
      <c r="Y127" s="3" t="s">
        <v>2677</v>
      </c>
      <c r="Z127" s="3" t="s">
        <v>2678</v>
      </c>
      <c r="AA127" s="29"/>
      <c r="AC127" s="3" t="str">
        <f>VLOOKUP(A127,'[1]계산서(25하-대전)'!W$4:AI$150,2,FALSE)</f>
        <v>ys6344100@hanmail.net</v>
      </c>
      <c r="AD127" s="29">
        <f>VLOOKUP(A127,'[1]계산서(25하-대전)'!W$4:AI$150,3,FALSE)</f>
        <v>45905</v>
      </c>
      <c r="AE127" s="3">
        <f t="shared" si="2"/>
        <v>600000</v>
      </c>
      <c r="AF127" s="3">
        <f>VLOOKUP(A127,'[1]계산서(25하-대전)'!W$4:AI$150,4,FALSE)</f>
        <v>200000</v>
      </c>
      <c r="AG127" s="3">
        <f>VLOOKUP(A127,'[1]계산서(25하-대전)'!W$4:AI$150,5,FALSE)</f>
        <v>400000</v>
      </c>
      <c r="AH127" s="3">
        <f t="shared" si="3"/>
        <v>400000</v>
      </c>
      <c r="AI127" s="29"/>
      <c r="AJ127" s="3">
        <v>0</v>
      </c>
      <c r="AK127" s="29">
        <f>VLOOKUP(A127,'[1]계산서(25하-대전)'!W$4:AI$150,10,FALSE)</f>
        <v>45980</v>
      </c>
      <c r="AL127" s="3">
        <f>VLOOKUP(A127,'[1]계산서(25하-대전)'!W$4:AI$150,11,FALSE)</f>
        <v>400000</v>
      </c>
      <c r="AM127" s="3">
        <f>VLOOKUP(A127,'[1]계산서(25하-대전)'!W$4:AI$150,13,FALSE)</f>
        <v>0</v>
      </c>
    </row>
    <row r="128" spans="1:39" x14ac:dyDescent="0.3">
      <c r="A128" s="28" t="s">
        <v>2430</v>
      </c>
      <c r="B128" s="3">
        <v>2025</v>
      </c>
      <c r="C128" s="3" t="s">
        <v>2871</v>
      </c>
      <c r="D128" s="3" t="s">
        <v>94</v>
      </c>
      <c r="E128" s="3" t="s">
        <v>3533</v>
      </c>
      <c r="F128" s="3" t="s">
        <v>3357</v>
      </c>
      <c r="G128" s="12">
        <v>126</v>
      </c>
      <c r="H128" s="12" t="s">
        <v>1189</v>
      </c>
      <c r="I128" s="29">
        <v>45904</v>
      </c>
      <c r="J128" s="29">
        <v>45904</v>
      </c>
      <c r="L128" s="3" t="s">
        <v>61</v>
      </c>
      <c r="M128" s="3" t="s">
        <v>3533</v>
      </c>
      <c r="N128" s="3" t="s">
        <v>2432</v>
      </c>
      <c r="O128" s="3">
        <v>6</v>
      </c>
      <c r="P128" s="3">
        <v>6098135227</v>
      </c>
      <c r="Q128" s="3">
        <v>60981352276</v>
      </c>
      <c r="R128" s="3" t="s">
        <v>2433</v>
      </c>
      <c r="T128" s="3" t="s">
        <v>2434</v>
      </c>
      <c r="W128" s="3" t="s">
        <v>2435</v>
      </c>
      <c r="X128" s="3" t="s">
        <v>532</v>
      </c>
      <c r="Y128" s="3" t="s">
        <v>2436</v>
      </c>
      <c r="Z128" s="3" t="s">
        <v>2437</v>
      </c>
      <c r="AA128" s="29"/>
      <c r="AC128" s="3" t="str">
        <f>VLOOKUP(A128,'[1]계산서(25하-대전)'!W$4:AI$150,2,FALSE)</f>
        <v>changhyun.moon@sfa.co.kr</v>
      </c>
      <c r="AD128" s="29">
        <f>VLOOKUP(A128,'[1]계산서(25하-대전)'!W$4:AI$150,3,FALSE)</f>
        <v>45943</v>
      </c>
      <c r="AE128" s="3">
        <f t="shared" si="2"/>
        <v>1300000</v>
      </c>
      <c r="AF128" s="3">
        <f>VLOOKUP(A128,'[1]계산서(25하-대전)'!W$4:AI$150,4,FALSE)</f>
        <v>1300000</v>
      </c>
      <c r="AG128" s="3">
        <v>0</v>
      </c>
      <c r="AH128" s="3">
        <f t="shared" si="3"/>
        <v>1300000</v>
      </c>
      <c r="AI128" s="29">
        <f>VLOOKUP(A128,'[1]계산서(25하-대전)'!W$4:AI$150,8,FALSE)</f>
        <v>45951</v>
      </c>
      <c r="AJ128" s="3">
        <f>VLOOKUP(A128,'[1]계산서(25하-대전)'!W$4:AI$150,9,FALSE)</f>
        <v>1300000</v>
      </c>
      <c r="AK128" s="29" t="str">
        <f>VLOOKUP(A128,'[1]계산서(25하-대전)'!W$4:AI$150,10,FALSE)</f>
        <v>국고 X</v>
      </c>
      <c r="AL128" s="3">
        <f>VLOOKUP(A128,'[1]계산서(25하-대전)'!W$4:AI$150,11,FALSE)</f>
        <v>0</v>
      </c>
      <c r="AM128" s="3">
        <f>VLOOKUP(A128,'[1]계산서(25하-대전)'!W$4:AI$150,13,FALSE)</f>
        <v>0</v>
      </c>
    </row>
    <row r="129" spans="1:39" x14ac:dyDescent="0.3">
      <c r="A129" s="28" t="s">
        <v>1828</v>
      </c>
      <c r="B129" s="3">
        <v>2025</v>
      </c>
      <c r="C129" s="3" t="s">
        <v>2871</v>
      </c>
      <c r="D129" s="3" t="s">
        <v>94</v>
      </c>
      <c r="E129" s="3" t="s">
        <v>3533</v>
      </c>
      <c r="F129" s="3" t="s">
        <v>3358</v>
      </c>
      <c r="G129" s="12">
        <v>127</v>
      </c>
      <c r="H129" s="12" t="s">
        <v>1206</v>
      </c>
      <c r="I129" s="29">
        <v>45908</v>
      </c>
      <c r="J129" s="29">
        <v>45908</v>
      </c>
      <c r="L129" s="3" t="s">
        <v>73</v>
      </c>
      <c r="M129" s="3" t="s">
        <v>3533</v>
      </c>
      <c r="N129" s="3" t="s">
        <v>1830</v>
      </c>
      <c r="O129" s="3">
        <v>74</v>
      </c>
      <c r="P129" s="3">
        <v>6878100785</v>
      </c>
      <c r="Q129" s="3">
        <v>11881160786</v>
      </c>
      <c r="R129" s="3" t="s">
        <v>1831</v>
      </c>
      <c r="T129" s="3" t="s">
        <v>1832</v>
      </c>
      <c r="W129" s="3" t="s">
        <v>1833</v>
      </c>
      <c r="X129" s="3" t="s">
        <v>1834</v>
      </c>
      <c r="Y129" s="3" t="s">
        <v>1835</v>
      </c>
      <c r="Z129" s="3" t="s">
        <v>1836</v>
      </c>
      <c r="AA129" s="29">
        <v>45930</v>
      </c>
      <c r="AB129" s="3" t="s">
        <v>73</v>
      </c>
      <c r="AC129" s="3" t="str">
        <f>VLOOKUP(A129,'[1]계산서(25하-대전)'!W$4:AI$150,2,FALSE)</f>
        <v>jihyun-park@lotte.net</v>
      </c>
      <c r="AD129" s="29">
        <f>VLOOKUP(A129,'[1]계산서(25하-대전)'!W$4:AI$150,3,FALSE)</f>
        <v>45946</v>
      </c>
      <c r="AE129" s="3">
        <f t="shared" si="2"/>
        <v>1800000</v>
      </c>
      <c r="AF129" s="3">
        <f>VLOOKUP(A129,'[1]계산서(25하-대전)'!W$4:AI$150,4,FALSE)</f>
        <v>1800000</v>
      </c>
      <c r="AG129" s="3">
        <v>0</v>
      </c>
      <c r="AH129" s="3">
        <f t="shared" si="3"/>
        <v>1800000</v>
      </c>
      <c r="AI129" s="29">
        <f>VLOOKUP(A129,'[1]계산서(25하-대전)'!W$4:AI$150,8,FALSE)</f>
        <v>45960</v>
      </c>
      <c r="AJ129" s="3">
        <f>VLOOKUP(A129,'[1]계산서(25하-대전)'!W$4:AI$150,9,FALSE)</f>
        <v>1800000</v>
      </c>
      <c r="AK129" s="29" t="str">
        <f>VLOOKUP(A129,'[1]계산서(25하-대전)'!W$4:AI$150,10,FALSE)</f>
        <v>국고 X</v>
      </c>
      <c r="AL129" s="3">
        <f>VLOOKUP(A129,'[1]계산서(25하-대전)'!W$4:AI$150,11,FALSE)</f>
        <v>0</v>
      </c>
      <c r="AM129" s="3">
        <f>VLOOKUP(A129,'[1]계산서(25하-대전)'!W$4:AI$150,13,FALSE)</f>
        <v>0</v>
      </c>
    </row>
    <row r="130" spans="1:39" x14ac:dyDescent="0.3">
      <c r="A130" s="3" t="s">
        <v>2552</v>
      </c>
      <c r="B130" s="3">
        <v>2025</v>
      </c>
      <c r="C130" s="3" t="s">
        <v>2871</v>
      </c>
      <c r="D130" s="3" t="s">
        <v>94</v>
      </c>
      <c r="E130" s="3" t="s">
        <v>3533</v>
      </c>
      <c r="F130" s="3" t="s">
        <v>3359</v>
      </c>
      <c r="G130" s="12">
        <v>128</v>
      </c>
      <c r="H130" s="12" t="s">
        <v>1218</v>
      </c>
      <c r="I130" s="29">
        <v>45910</v>
      </c>
      <c r="J130" s="29">
        <v>45910</v>
      </c>
      <c r="L130" s="3" t="s">
        <v>97</v>
      </c>
      <c r="M130" s="3" t="s">
        <v>3533</v>
      </c>
      <c r="N130" s="3" t="s">
        <v>2554</v>
      </c>
      <c r="O130" s="3">
        <v>6</v>
      </c>
      <c r="P130" s="3">
        <v>7773900847</v>
      </c>
      <c r="Q130" s="3" t="s">
        <v>3360</v>
      </c>
      <c r="R130" s="3" t="s">
        <v>2555</v>
      </c>
      <c r="T130" s="3" t="s">
        <v>2556</v>
      </c>
      <c r="U130" s="3" t="s">
        <v>2557</v>
      </c>
      <c r="V130" s="3" t="s">
        <v>2558</v>
      </c>
      <c r="W130" s="3" t="s">
        <v>2559</v>
      </c>
      <c r="X130" s="3" t="s">
        <v>78</v>
      </c>
      <c r="Y130" s="3" t="s">
        <v>2560</v>
      </c>
      <c r="Z130" s="3" t="s">
        <v>2561</v>
      </c>
      <c r="AA130" s="29">
        <v>45931</v>
      </c>
      <c r="AB130" s="3" t="s">
        <v>218</v>
      </c>
      <c r="AC130" s="3" t="str">
        <f>VLOOKUP(A130,'[1]계산서(25하-대전)'!W$4:AI$150,2,FALSE)</f>
        <v>miye2430@naver.com</v>
      </c>
      <c r="AD130" s="29">
        <f>VLOOKUP(A130,'[1]계산서(25하-대전)'!W$4:AI$150,3,FALSE)</f>
        <v>45911</v>
      </c>
      <c r="AE130" s="3">
        <f t="shared" si="2"/>
        <v>600000</v>
      </c>
      <c r="AF130" s="3">
        <f>VLOOKUP(A130,'[1]계산서(25하-대전)'!W$4:AI$150,4,FALSE)</f>
        <v>200000</v>
      </c>
      <c r="AG130" s="3">
        <f>VLOOKUP(A130,'[1]계산서(25하-대전)'!W$4:AI$150,5,FALSE)</f>
        <v>400000</v>
      </c>
      <c r="AH130" s="3">
        <f t="shared" si="3"/>
        <v>400000</v>
      </c>
      <c r="AI130" s="29"/>
      <c r="AJ130" s="3">
        <v>0</v>
      </c>
      <c r="AK130" s="29">
        <f>VLOOKUP(A130,'[1]계산서(25하-대전)'!W$4:AI$150,10,FALSE)</f>
        <v>45980</v>
      </c>
      <c r="AL130" s="3">
        <f>VLOOKUP(A130,'[1]계산서(25하-대전)'!W$4:AI$150,11,FALSE)</f>
        <v>400000</v>
      </c>
      <c r="AM130" s="3">
        <f>VLOOKUP(A130,'[1]계산서(25하-대전)'!W$4:AI$150,13,FALSE)</f>
        <v>0</v>
      </c>
    </row>
    <row r="131" spans="1:39" x14ac:dyDescent="0.3">
      <c r="A131" s="3" t="s">
        <v>2689</v>
      </c>
      <c r="B131" s="3">
        <v>2025</v>
      </c>
      <c r="C131" s="3" t="s">
        <v>2871</v>
      </c>
      <c r="D131" s="3" t="s">
        <v>94</v>
      </c>
      <c r="E131" s="3" t="s">
        <v>3533</v>
      </c>
      <c r="F131" s="3" t="s">
        <v>3361</v>
      </c>
      <c r="G131" s="12">
        <v>129</v>
      </c>
      <c r="H131" s="12" t="s">
        <v>1226</v>
      </c>
      <c r="I131" s="29">
        <v>45910</v>
      </c>
      <c r="J131" s="29">
        <v>45910</v>
      </c>
      <c r="L131" s="3" t="s">
        <v>61</v>
      </c>
      <c r="M131" s="3" t="s">
        <v>3533</v>
      </c>
      <c r="N131" s="3" t="s">
        <v>2692</v>
      </c>
      <c r="O131" s="3">
        <v>8</v>
      </c>
      <c r="P131" s="3">
        <v>4262900218</v>
      </c>
      <c r="Q131" s="3" t="s">
        <v>3362</v>
      </c>
      <c r="R131" s="3" t="s">
        <v>2693</v>
      </c>
      <c r="T131" s="3" t="s">
        <v>2120</v>
      </c>
      <c r="U131" s="3" t="s">
        <v>2694</v>
      </c>
      <c r="V131" s="3" t="s">
        <v>2695</v>
      </c>
      <c r="W131" s="3" t="s">
        <v>2696</v>
      </c>
      <c r="X131" s="3" t="s">
        <v>78</v>
      </c>
      <c r="Y131" s="3" t="s">
        <v>2697</v>
      </c>
      <c r="Z131" s="3" t="s">
        <v>2698</v>
      </c>
      <c r="AA131" s="29">
        <v>45931</v>
      </c>
      <c r="AB131" s="3" t="s">
        <v>218</v>
      </c>
      <c r="AC131" s="3" t="str">
        <f>VLOOKUP(A131,'[1]계산서(25하-대전)'!W$4:AI$150,2,FALSE)</f>
        <v>snmts5048@hanmail.net</v>
      </c>
      <c r="AD131" s="29">
        <f>VLOOKUP(A131,'[1]계산서(25하-대전)'!W$4:AI$150,3,FALSE)</f>
        <v>45911</v>
      </c>
      <c r="AE131" s="3">
        <f t="shared" si="2"/>
        <v>600000</v>
      </c>
      <c r="AF131" s="3">
        <f>VLOOKUP(A131,'[1]계산서(25하-대전)'!W$4:AI$150,4,FALSE)</f>
        <v>200000</v>
      </c>
      <c r="AG131" s="3">
        <f>VLOOKUP(A131,'[1]계산서(25하-대전)'!W$4:AI$150,5,FALSE)</f>
        <v>400000</v>
      </c>
      <c r="AH131" s="3">
        <f t="shared" si="3"/>
        <v>600000</v>
      </c>
      <c r="AI131" s="29">
        <f>VLOOKUP(A131,'[1]계산서(25하-대전)'!W$4:AI$150,8,FALSE)</f>
        <v>46010</v>
      </c>
      <c r="AJ131" s="3">
        <f>VLOOKUP(A131,'[1]계산서(25하-대전)'!W$4:AI$150,9,FALSE)</f>
        <v>200000</v>
      </c>
      <c r="AK131" s="29">
        <f>VLOOKUP(A131,'[1]계산서(25하-대전)'!W$4:AI$150,10,FALSE)</f>
        <v>45980</v>
      </c>
      <c r="AL131" s="3">
        <f>VLOOKUP(A131,'[1]계산서(25하-대전)'!W$4:AI$150,11,FALSE)</f>
        <v>400000</v>
      </c>
      <c r="AM131" s="3">
        <f>VLOOKUP(A131,'[1]계산서(25하-대전)'!W$4:AI$150,13,FALSE)</f>
        <v>0</v>
      </c>
    </row>
    <row r="132" spans="1:39" x14ac:dyDescent="0.3">
      <c r="A132" s="3" t="s">
        <v>2562</v>
      </c>
      <c r="B132" s="3">
        <v>2025</v>
      </c>
      <c r="C132" s="3" t="s">
        <v>2871</v>
      </c>
      <c r="D132" s="3" t="s">
        <v>94</v>
      </c>
      <c r="E132" s="3" t="s">
        <v>3533</v>
      </c>
      <c r="F132" s="3" t="s">
        <v>3363</v>
      </c>
      <c r="G132" s="12">
        <v>130</v>
      </c>
      <c r="H132" s="12" t="s">
        <v>1261</v>
      </c>
      <c r="I132" s="29">
        <v>45910</v>
      </c>
      <c r="J132" s="29">
        <v>45910</v>
      </c>
      <c r="L132" s="3" t="s">
        <v>218</v>
      </c>
      <c r="M132" s="3" t="s">
        <v>3533</v>
      </c>
      <c r="N132" s="3" t="s">
        <v>2564</v>
      </c>
      <c r="O132" s="3">
        <v>8</v>
      </c>
      <c r="P132" s="3">
        <v>2211908993</v>
      </c>
      <c r="Q132" s="3" t="s">
        <v>3364</v>
      </c>
      <c r="R132" s="3" t="s">
        <v>2565</v>
      </c>
      <c r="T132" s="3" t="s">
        <v>2566</v>
      </c>
      <c r="U132" s="3" t="s">
        <v>2567</v>
      </c>
      <c r="V132" s="3" t="s">
        <v>2568</v>
      </c>
      <c r="W132" s="3" t="s">
        <v>2569</v>
      </c>
      <c r="X132" s="3" t="s">
        <v>224</v>
      </c>
      <c r="Y132" s="3" t="s">
        <v>2570</v>
      </c>
      <c r="Z132" s="3" t="s">
        <v>3365</v>
      </c>
      <c r="AA132" s="29">
        <v>45931</v>
      </c>
      <c r="AB132" s="3" t="s">
        <v>218</v>
      </c>
      <c r="AC132" s="3" t="str">
        <f>VLOOKUP(A132,'[1]계산서(25하-대전)'!W$4:AI$150,2,FALSE)</f>
        <v>hs-motors6936@daum.net</v>
      </c>
      <c r="AD132" s="29">
        <f>VLOOKUP(A132,'[1]계산서(25하-대전)'!W$4:AI$150,3,FALSE)</f>
        <v>45911</v>
      </c>
      <c r="AE132" s="3">
        <f t="shared" ref="AE132:AE149" si="4">AF132+AG132</f>
        <v>600000</v>
      </c>
      <c r="AF132" s="3">
        <f>VLOOKUP(A132,'[1]계산서(25하-대전)'!W$4:AI$150,4,FALSE)</f>
        <v>200000</v>
      </c>
      <c r="AG132" s="3">
        <f>VLOOKUP(A132,'[1]계산서(25하-대전)'!W$4:AI$150,5,FALSE)</f>
        <v>400000</v>
      </c>
      <c r="AH132" s="3">
        <f t="shared" ref="AH132:AH149" si="5">AJ132+AL132</f>
        <v>600000</v>
      </c>
      <c r="AI132" s="29">
        <f>VLOOKUP(A132,'[1]계산서(25하-대전)'!W$4:AI$150,8,FALSE)</f>
        <v>45961</v>
      </c>
      <c r="AJ132" s="3">
        <f>VLOOKUP(A132,'[1]계산서(25하-대전)'!W$4:AI$150,9,FALSE)</f>
        <v>200000</v>
      </c>
      <c r="AK132" s="29">
        <f>VLOOKUP(A132,'[1]계산서(25하-대전)'!W$4:AI$150,10,FALSE)</f>
        <v>45980</v>
      </c>
      <c r="AL132" s="3">
        <f>VLOOKUP(A132,'[1]계산서(25하-대전)'!W$4:AI$150,11,FALSE)</f>
        <v>400000</v>
      </c>
      <c r="AM132" s="3">
        <f>VLOOKUP(A132,'[1]계산서(25하-대전)'!W$4:AI$150,13,FALSE)</f>
        <v>0</v>
      </c>
    </row>
    <row r="133" spans="1:39" x14ac:dyDescent="0.3">
      <c r="A133" s="3" t="s">
        <v>1972</v>
      </c>
      <c r="B133" s="3">
        <v>2025</v>
      </c>
      <c r="C133" s="3" t="s">
        <v>2871</v>
      </c>
      <c r="D133" s="3" t="s">
        <v>94</v>
      </c>
      <c r="E133" s="3" t="s">
        <v>3533</v>
      </c>
      <c r="F133" s="3" t="s">
        <v>3366</v>
      </c>
      <c r="G133" s="12">
        <v>131</v>
      </c>
      <c r="H133" s="12" t="s">
        <v>1269</v>
      </c>
      <c r="I133" s="29">
        <v>45917</v>
      </c>
      <c r="J133" s="29">
        <v>45917</v>
      </c>
      <c r="L133" s="3" t="s">
        <v>218</v>
      </c>
      <c r="M133" s="3" t="s">
        <v>3533</v>
      </c>
      <c r="N133" s="3" t="s">
        <v>1974</v>
      </c>
      <c r="O133" s="3">
        <v>8</v>
      </c>
      <c r="P133" s="3">
        <v>3148552194</v>
      </c>
      <c r="Q133" s="3" t="s">
        <v>3367</v>
      </c>
      <c r="R133" s="3" t="s">
        <v>1965</v>
      </c>
      <c r="T133" s="3" t="s">
        <v>1975</v>
      </c>
      <c r="U133" s="3" t="s">
        <v>1976</v>
      </c>
      <c r="V133" s="3" t="s">
        <v>1977</v>
      </c>
      <c r="W133" s="3" t="s">
        <v>1978</v>
      </c>
      <c r="X133" s="3" t="s">
        <v>168</v>
      </c>
      <c r="Y133" s="3" t="s">
        <v>1979</v>
      </c>
      <c r="Z133" s="3" t="s">
        <v>1980</v>
      </c>
      <c r="AA133" s="29">
        <v>45945</v>
      </c>
      <c r="AB133" s="3" t="s">
        <v>218</v>
      </c>
      <c r="AC133" s="3" t="str">
        <f>VLOOKUP(A133,'[1]계산서(25하-대전)'!W$4:AI$150,2,FALSE)</f>
        <v>jnh5000@naver.com</v>
      </c>
      <c r="AD133" s="29">
        <f>VLOOKUP(A133,'[1]계산서(25하-대전)'!W$4:AI$150,3,FALSE)</f>
        <v>45918</v>
      </c>
      <c r="AE133" s="3">
        <f t="shared" si="4"/>
        <v>600000</v>
      </c>
      <c r="AF133" s="3">
        <f>VLOOKUP(A133,'[1]계산서(25하-대전)'!W$4:AI$150,4,FALSE)</f>
        <v>200000</v>
      </c>
      <c r="AG133" s="3">
        <f>VLOOKUP(A133,'[1]계산서(25하-대전)'!W$4:AI$150,5,FALSE)</f>
        <v>400000</v>
      </c>
      <c r="AH133" s="3">
        <f t="shared" si="5"/>
        <v>600000</v>
      </c>
      <c r="AI133" s="29">
        <f>VLOOKUP(A133,'[1]계산서(25하-대전)'!W$4:AI$150,8,FALSE)</f>
        <v>45930</v>
      </c>
      <c r="AJ133" s="3">
        <f>VLOOKUP(A133,'[1]계산서(25하-대전)'!W$4:AI$150,9,FALSE)</f>
        <v>200000</v>
      </c>
      <c r="AK133" s="29">
        <f>VLOOKUP(A133,'[1]계산서(25하-대전)'!W$4:AI$150,10,FALSE)</f>
        <v>46009</v>
      </c>
      <c r="AL133" s="3">
        <f>VLOOKUP(A133,'[1]계산서(25하-대전)'!W$4:AI$150,11,FALSE)</f>
        <v>400000</v>
      </c>
      <c r="AM133" s="3">
        <f>VLOOKUP(A133,'[1]계산서(25하-대전)'!W$4:AI$150,13,FALSE)</f>
        <v>0</v>
      </c>
    </row>
    <row r="134" spans="1:39" x14ac:dyDescent="0.3">
      <c r="A134" s="3" t="s">
        <v>2581</v>
      </c>
      <c r="B134" s="3">
        <v>2025</v>
      </c>
      <c r="C134" s="3" t="s">
        <v>2871</v>
      </c>
      <c r="D134" s="3" t="s">
        <v>71</v>
      </c>
      <c r="E134" s="3" t="s">
        <v>3533</v>
      </c>
      <c r="F134" s="3" t="s">
        <v>3368</v>
      </c>
      <c r="G134" s="12">
        <v>132</v>
      </c>
      <c r="H134" s="12" t="s">
        <v>1289</v>
      </c>
      <c r="I134" s="29">
        <v>45950</v>
      </c>
      <c r="J134" s="29">
        <v>45950</v>
      </c>
      <c r="L134" s="3" t="s">
        <v>73</v>
      </c>
      <c r="M134" s="3" t="s">
        <v>3533</v>
      </c>
      <c r="N134" s="3" t="s">
        <v>2583</v>
      </c>
      <c r="O134" s="3">
        <v>27</v>
      </c>
      <c r="P134" s="3">
        <v>3178105431</v>
      </c>
      <c r="Q134" s="3" t="s">
        <v>3369</v>
      </c>
      <c r="R134" s="3" t="s">
        <v>2584</v>
      </c>
      <c r="T134" s="3" t="s">
        <v>2585</v>
      </c>
      <c r="U134" s="3" t="s">
        <v>2586</v>
      </c>
      <c r="V134" s="3" t="s">
        <v>2587</v>
      </c>
      <c r="W134" s="3" t="s">
        <v>2588</v>
      </c>
      <c r="X134" s="3" t="s">
        <v>134</v>
      </c>
      <c r="Y134" s="3" t="s">
        <v>2589</v>
      </c>
      <c r="Z134" s="3" t="s">
        <v>2590</v>
      </c>
      <c r="AA134" s="29">
        <v>45980</v>
      </c>
      <c r="AB134" s="3" t="s">
        <v>73</v>
      </c>
      <c r="AC134" s="3" t="str">
        <f>VLOOKUP(A134,'[1]계산서(25하-대전)'!W$4:AI$150,2,FALSE)</f>
        <v>dreamtns@daum.net</v>
      </c>
      <c r="AD134" s="29">
        <f>VLOOKUP(A134,'[1]계산서(25하-대전)'!W$4:AI$150,3,FALSE)</f>
        <v>45965</v>
      </c>
      <c r="AE134" s="3">
        <f t="shared" si="4"/>
        <v>1700000</v>
      </c>
      <c r="AF134" s="3">
        <f>VLOOKUP(A134,'[1]계산서(25하-대전)'!W$4:AI$150,4,FALSE)</f>
        <v>1300000</v>
      </c>
      <c r="AG134" s="3">
        <f>VLOOKUP(A134,'[1]계산서(25하-대전)'!W$4:AI$150,5,FALSE)</f>
        <v>400000</v>
      </c>
      <c r="AH134" s="3">
        <f t="shared" si="5"/>
        <v>1700000</v>
      </c>
      <c r="AI134" s="29">
        <f>VLOOKUP(A134,'[1]계산서(25하-대전)'!W$4:AI$150,8,FALSE)</f>
        <v>45971</v>
      </c>
      <c r="AJ134" s="3">
        <f>VLOOKUP(A134,'[1]계산서(25하-대전)'!W$4:AI$150,9,FALSE)</f>
        <v>1300000</v>
      </c>
      <c r="AK134" s="29">
        <f>VLOOKUP(A134,'[1]계산서(25하-대전)'!W$4:AI$150,10,FALSE)</f>
        <v>46009</v>
      </c>
      <c r="AL134" s="3">
        <f>VLOOKUP(A134,'[1]계산서(25하-대전)'!W$4:AI$150,11,FALSE)</f>
        <v>400000</v>
      </c>
      <c r="AM134" s="3">
        <f>VLOOKUP(A134,'[1]계산서(25하-대전)'!W$4:AI$150,13,FALSE)</f>
        <v>0</v>
      </c>
    </row>
    <row r="135" spans="1:39" x14ac:dyDescent="0.3">
      <c r="A135" s="3" t="s">
        <v>2758</v>
      </c>
      <c r="B135" s="3">
        <v>2025</v>
      </c>
      <c r="C135" s="3" t="s">
        <v>2871</v>
      </c>
      <c r="D135" s="3" t="s">
        <v>94</v>
      </c>
      <c r="E135" s="3" t="s">
        <v>3533</v>
      </c>
      <c r="F135" s="3" t="s">
        <v>3370</v>
      </c>
      <c r="G135" s="12">
        <v>133</v>
      </c>
      <c r="H135" s="12" t="s">
        <v>1301</v>
      </c>
      <c r="I135" s="29">
        <v>45950</v>
      </c>
      <c r="J135" s="29">
        <v>45950</v>
      </c>
      <c r="L135" s="3" t="s">
        <v>218</v>
      </c>
      <c r="M135" s="3" t="s">
        <v>3533</v>
      </c>
      <c r="N135" s="3" t="s">
        <v>2762</v>
      </c>
      <c r="O135" s="3">
        <v>5</v>
      </c>
      <c r="P135" s="3">
        <v>3060230973</v>
      </c>
      <c r="Q135" s="3">
        <v>30602309730</v>
      </c>
      <c r="R135" s="3" t="s">
        <v>2763</v>
      </c>
      <c r="T135" s="3" t="s">
        <v>2764</v>
      </c>
      <c r="U135" s="3" t="s">
        <v>2765</v>
      </c>
      <c r="V135" s="3" t="s">
        <v>2766</v>
      </c>
      <c r="W135" s="3" t="s">
        <v>2767</v>
      </c>
      <c r="Y135" s="3" t="s">
        <v>2768</v>
      </c>
      <c r="Z135" s="3" t="s">
        <v>2769</v>
      </c>
      <c r="AA135" s="29">
        <v>45974</v>
      </c>
      <c r="AB135" s="3" t="s">
        <v>73</v>
      </c>
      <c r="AC135" s="3" t="str">
        <f>VLOOKUP(A135,'[1]계산서(25하-대전)'!W$4:AI$150,2,FALSE)</f>
        <v>chi1966@nate.com</v>
      </c>
      <c r="AD135" s="29">
        <f>VLOOKUP(A135,'[1]계산서(25하-대전)'!W$4:AI$150,3,FALSE)</f>
        <v>45954</v>
      </c>
      <c r="AE135" s="3">
        <f t="shared" si="4"/>
        <v>600000</v>
      </c>
      <c r="AF135" s="3">
        <f>VLOOKUP(A135,'[1]계산서(25하-대전)'!W$4:AI$150,4,FALSE)</f>
        <v>200000</v>
      </c>
      <c r="AG135" s="3">
        <f>VLOOKUP(A135,'[1]계산서(25하-대전)'!W$4:AI$150,5,FALSE)</f>
        <v>400000</v>
      </c>
      <c r="AH135" s="3">
        <f t="shared" si="5"/>
        <v>600000</v>
      </c>
      <c r="AI135" s="29">
        <f>VLOOKUP(A135,'[1]계산서(25하-대전)'!W$4:AI$150,8,FALSE)</f>
        <v>45979</v>
      </c>
      <c r="AJ135" s="3">
        <f>VLOOKUP(A135,'[1]계산서(25하-대전)'!W$4:AI$150,9,FALSE)</f>
        <v>200000</v>
      </c>
      <c r="AK135" s="29">
        <f>VLOOKUP(A135,'[1]계산서(25하-대전)'!W$4:AI$150,10,FALSE)</f>
        <v>46009</v>
      </c>
      <c r="AL135" s="3">
        <f>VLOOKUP(A135,'[1]계산서(25하-대전)'!W$4:AI$150,11,FALSE)</f>
        <v>400000</v>
      </c>
      <c r="AM135" s="3">
        <f>VLOOKUP(A135,'[1]계산서(25하-대전)'!W$4:AI$150,13,FALSE)</f>
        <v>0</v>
      </c>
    </row>
    <row r="136" spans="1:39" x14ac:dyDescent="0.3">
      <c r="A136" s="3" t="s">
        <v>2592</v>
      </c>
      <c r="B136" s="3">
        <v>2025</v>
      </c>
      <c r="C136" s="3" t="s">
        <v>2871</v>
      </c>
      <c r="D136" s="3" t="s">
        <v>94</v>
      </c>
      <c r="E136" s="3" t="s">
        <v>3533</v>
      </c>
      <c r="F136" s="3" t="s">
        <v>3371</v>
      </c>
      <c r="G136" s="12">
        <v>134</v>
      </c>
      <c r="H136" s="12" t="s">
        <v>1311</v>
      </c>
      <c r="I136" s="29">
        <v>45954</v>
      </c>
      <c r="J136" s="29">
        <v>45954</v>
      </c>
      <c r="L136" s="3" t="s">
        <v>2899</v>
      </c>
      <c r="M136" s="3" t="s">
        <v>3533</v>
      </c>
      <c r="N136" s="3" t="s">
        <v>2594</v>
      </c>
      <c r="O136" s="3">
        <v>147</v>
      </c>
      <c r="P136" s="3">
        <v>1078549859</v>
      </c>
      <c r="Q136" s="3" t="s">
        <v>3372</v>
      </c>
      <c r="R136" s="3" t="s">
        <v>2595</v>
      </c>
      <c r="T136" s="3" t="s">
        <v>2596</v>
      </c>
      <c r="U136" s="3" t="s">
        <v>2597</v>
      </c>
      <c r="V136" s="3" t="s">
        <v>2598</v>
      </c>
      <c r="W136" s="3" t="s">
        <v>2599</v>
      </c>
      <c r="X136" s="3" t="s">
        <v>123</v>
      </c>
      <c r="Y136" s="3" t="s">
        <v>2600</v>
      </c>
      <c r="Z136" s="3" t="s">
        <v>2601</v>
      </c>
      <c r="AA136" s="29">
        <v>45980</v>
      </c>
      <c r="AB136" s="3" t="s">
        <v>73</v>
      </c>
      <c r="AC136" s="3" t="str">
        <f>VLOOKUP(A136,'[1]계산서(25하-대전)'!W$4:AI$150,2,FALSE)</f>
        <v>taeho.ahn@smlinescon.co.kr</v>
      </c>
      <c r="AD136" s="29">
        <f>VLOOKUP(A136,'[1]계산서(25하-대전)'!W$4:AI$150,3,FALSE)</f>
        <v>45992</v>
      </c>
      <c r="AE136" s="3">
        <f t="shared" si="4"/>
        <v>5100000</v>
      </c>
      <c r="AF136" s="3">
        <f>VLOOKUP(A136,'[1]계산서(25하-대전)'!W$4:AI$150,4,FALSE)</f>
        <v>5100000</v>
      </c>
      <c r="AG136" s="3">
        <v>0</v>
      </c>
      <c r="AH136" s="3">
        <f t="shared" si="5"/>
        <v>5100000</v>
      </c>
      <c r="AI136" s="29">
        <f>VLOOKUP(A136,'[1]계산서(25하-대전)'!W$4:AI$150,8,FALSE)</f>
        <v>46021</v>
      </c>
      <c r="AJ136" s="3">
        <f>VLOOKUP(A136,'[1]계산서(25하-대전)'!W$4:AI$150,9,FALSE)</f>
        <v>5100000</v>
      </c>
      <c r="AK136" s="29" t="str">
        <f>VLOOKUP(A136,'[1]계산서(25하-대전)'!W$4:AI$150,10,FALSE)</f>
        <v>국고 X</v>
      </c>
      <c r="AL136" s="3">
        <f>VLOOKUP(A136,'[1]계산서(25하-대전)'!W$4:AI$150,11,FALSE)</f>
        <v>0</v>
      </c>
      <c r="AM136" s="3">
        <f>VLOOKUP(A136,'[1]계산서(25하-대전)'!W$4:AI$150,13,FALSE)</f>
        <v>0</v>
      </c>
    </row>
    <row r="137" spans="1:39" x14ac:dyDescent="0.3">
      <c r="A137" s="3" t="s">
        <v>2770</v>
      </c>
      <c r="B137" s="3">
        <v>2025</v>
      </c>
      <c r="C137" s="3" t="s">
        <v>2871</v>
      </c>
      <c r="D137" s="3" t="s">
        <v>94</v>
      </c>
      <c r="E137" s="3" t="s">
        <v>3533</v>
      </c>
      <c r="F137" s="3" t="s">
        <v>3373</v>
      </c>
      <c r="G137" s="12">
        <v>135</v>
      </c>
      <c r="H137" s="12" t="s">
        <v>2670</v>
      </c>
      <c r="I137" s="29">
        <v>45965</v>
      </c>
      <c r="J137" s="29">
        <v>45965</v>
      </c>
      <c r="L137" s="3" t="s">
        <v>73</v>
      </c>
      <c r="M137" s="3" t="s">
        <v>3533</v>
      </c>
      <c r="N137" s="3" t="s">
        <v>2773</v>
      </c>
      <c r="O137" s="3">
        <v>10</v>
      </c>
      <c r="P137" s="3">
        <v>1462300950</v>
      </c>
      <c r="Q137" s="3">
        <v>14623009500</v>
      </c>
      <c r="R137" s="3" t="s">
        <v>2774</v>
      </c>
      <c r="T137" s="3" t="s">
        <v>2775</v>
      </c>
      <c r="U137" s="3" t="s">
        <v>2776</v>
      </c>
      <c r="V137" s="3" t="s">
        <v>2777</v>
      </c>
      <c r="W137" s="3" t="s">
        <v>2774</v>
      </c>
      <c r="X137" s="3" t="s">
        <v>78</v>
      </c>
      <c r="Y137" s="3" t="s">
        <v>2778</v>
      </c>
      <c r="Z137" s="3" t="s">
        <v>2779</v>
      </c>
      <c r="AA137" s="29">
        <v>45992</v>
      </c>
      <c r="AB137" s="3" t="s">
        <v>73</v>
      </c>
      <c r="AC137" s="3" t="str">
        <f>VLOOKUP(A137,'[1]계산서(25하-대전)'!W$4:AI$150,2,FALSE)</f>
        <v>yujk53@hanmail.net</v>
      </c>
      <c r="AD137" s="29">
        <f>VLOOKUP(A137,'[1]계산서(25하-대전)'!W$4:AI$150,3,FALSE)</f>
        <v>45966</v>
      </c>
      <c r="AE137" s="3">
        <f t="shared" si="4"/>
        <v>600000</v>
      </c>
      <c r="AF137" s="3">
        <f>VLOOKUP(A137,'[1]계산서(25하-대전)'!W$4:AI$150,4,FALSE)</f>
        <v>200000</v>
      </c>
      <c r="AG137" s="3">
        <f>VLOOKUP(A137,'[1]계산서(25하-대전)'!W$4:AI$150,5,FALSE)</f>
        <v>400000</v>
      </c>
      <c r="AH137" s="3">
        <f t="shared" si="5"/>
        <v>200000</v>
      </c>
      <c r="AI137" s="29">
        <f>VLOOKUP(A137,'[1]계산서(25하-대전)'!W$4:AI$150,8,FALSE)</f>
        <v>45995</v>
      </c>
      <c r="AJ137" s="3">
        <f>VLOOKUP(A137,'[1]계산서(25하-대전)'!W$4:AI$150,9,FALSE)</f>
        <v>200000</v>
      </c>
      <c r="AK137" s="29"/>
      <c r="AL137" s="3">
        <f>VLOOKUP(A137,'[1]계산서(25하-대전)'!W$4:AI$150,11,FALSE)</f>
        <v>0</v>
      </c>
      <c r="AM137" s="3">
        <f>VLOOKUP(A137,'[1]계산서(25하-대전)'!W$4:AI$150,13,FALSE)</f>
        <v>0</v>
      </c>
    </row>
    <row r="138" spans="1:39" x14ac:dyDescent="0.3">
      <c r="A138" s="3" t="s">
        <v>2657</v>
      </c>
      <c r="B138" s="3">
        <v>2025</v>
      </c>
      <c r="C138" s="3" t="s">
        <v>2871</v>
      </c>
      <c r="D138" s="3" t="s">
        <v>2878</v>
      </c>
      <c r="E138" s="3" t="s">
        <v>3533</v>
      </c>
      <c r="F138" s="3" t="s">
        <v>3374</v>
      </c>
      <c r="G138" s="12">
        <v>136</v>
      </c>
      <c r="H138" s="12" t="s">
        <v>2681</v>
      </c>
      <c r="I138" s="29">
        <v>45968</v>
      </c>
      <c r="J138" s="29">
        <v>45968</v>
      </c>
      <c r="L138" s="3" t="s">
        <v>73</v>
      </c>
      <c r="M138" s="3" t="s">
        <v>3533</v>
      </c>
      <c r="N138" s="3" t="s">
        <v>2659</v>
      </c>
      <c r="O138" s="3">
        <v>57</v>
      </c>
      <c r="P138" s="3">
        <v>3068104878</v>
      </c>
      <c r="Q138" s="3" t="s">
        <v>3375</v>
      </c>
      <c r="R138" s="3" t="s">
        <v>2660</v>
      </c>
      <c r="T138" s="3" t="s">
        <v>2661</v>
      </c>
      <c r="U138" s="3" t="s">
        <v>2662</v>
      </c>
      <c r="V138" s="3" t="s">
        <v>2663</v>
      </c>
      <c r="W138" s="3" t="s">
        <v>2664</v>
      </c>
      <c r="X138" s="3" t="s">
        <v>2159</v>
      </c>
      <c r="Y138" s="3" t="s">
        <v>2665</v>
      </c>
      <c r="Z138" s="3" t="s">
        <v>2666</v>
      </c>
      <c r="AA138" s="29">
        <v>45993</v>
      </c>
      <c r="AB138" s="3" t="s">
        <v>73</v>
      </c>
      <c r="AC138" s="3" t="str">
        <f>VLOOKUP(A138,'[1]계산서(25하-대전)'!W$4:AI$150,2,FALSE)</f>
        <v>hanmiacc4141@daum.net</v>
      </c>
      <c r="AD138" s="29">
        <f>VLOOKUP(A138,'[1]계산서(25하-대전)'!W$4:AI$150,3,FALSE)</f>
        <v>45994</v>
      </c>
      <c r="AE138" s="3">
        <f t="shared" si="4"/>
        <v>700000</v>
      </c>
      <c r="AF138" s="3">
        <f>VLOOKUP(A138,'[1]계산서(25하-대전)'!W$4:AI$150,4,FALSE)</f>
        <v>700000</v>
      </c>
      <c r="AG138" s="3">
        <v>0</v>
      </c>
      <c r="AH138" s="3">
        <f t="shared" si="5"/>
        <v>700000</v>
      </c>
      <c r="AI138" s="29">
        <f>VLOOKUP(A138,'[1]계산서(25하-대전)'!W$4:AI$150,8,FALSE)</f>
        <v>45999</v>
      </c>
      <c r="AJ138" s="3">
        <f>VLOOKUP(A138,'[1]계산서(25하-대전)'!W$4:AI$150,9,FALSE)</f>
        <v>700000</v>
      </c>
      <c r="AK138" s="29" t="str">
        <f>VLOOKUP(A138,'[1]계산서(25하-대전)'!W$4:AI$150,10,FALSE)</f>
        <v>국고 X</v>
      </c>
      <c r="AL138" s="3">
        <f>VLOOKUP(A138,'[1]계산서(25하-대전)'!W$4:AI$150,11,FALSE)</f>
        <v>0</v>
      </c>
      <c r="AM138" s="3">
        <f>VLOOKUP(A138,'[1]계산서(25하-대전)'!W$4:AI$150,13,FALSE)</f>
        <v>0</v>
      </c>
    </row>
    <row r="139" spans="1:39" x14ac:dyDescent="0.3">
      <c r="A139" s="3" t="s">
        <v>2638</v>
      </c>
      <c r="B139" s="3">
        <v>2025</v>
      </c>
      <c r="C139" s="3" t="s">
        <v>2871</v>
      </c>
      <c r="D139" s="3" t="s">
        <v>94</v>
      </c>
      <c r="E139" s="3" t="s">
        <v>3533</v>
      </c>
      <c r="F139" s="3" t="s">
        <v>3376</v>
      </c>
      <c r="G139" s="12">
        <v>137</v>
      </c>
      <c r="H139" s="12" t="s">
        <v>2681</v>
      </c>
      <c r="I139" s="29">
        <v>45971</v>
      </c>
      <c r="J139" s="29">
        <v>45971</v>
      </c>
      <c r="L139" s="3" t="s">
        <v>73</v>
      </c>
      <c r="M139" s="3" t="s">
        <v>3533</v>
      </c>
      <c r="N139" s="3" t="s">
        <v>2640</v>
      </c>
      <c r="O139" s="3">
        <v>4</v>
      </c>
      <c r="P139" s="3">
        <v>3088137832</v>
      </c>
      <c r="Q139" s="3" t="s">
        <v>3377</v>
      </c>
      <c r="R139" s="3" t="s">
        <v>2641</v>
      </c>
      <c r="T139" s="3" t="s">
        <v>2642</v>
      </c>
      <c r="U139" s="3" t="s">
        <v>2643</v>
      </c>
      <c r="V139" s="3" t="s">
        <v>2644</v>
      </c>
      <c r="W139" s="3" t="s">
        <v>3378</v>
      </c>
      <c r="X139" s="3" t="s">
        <v>638</v>
      </c>
      <c r="Y139" s="3" t="s">
        <v>2646</v>
      </c>
      <c r="Z139" s="3" t="s">
        <v>2647</v>
      </c>
      <c r="AA139" s="29">
        <v>45985</v>
      </c>
      <c r="AB139" s="3" t="s">
        <v>73</v>
      </c>
      <c r="AC139" s="3" t="str">
        <f>VLOOKUP(A139,'[1]계산서(25하-대전)'!W$4:AI$150,2,FALSE)</f>
        <v>LEOPLE@hometax.go.kr</v>
      </c>
      <c r="AD139" s="29">
        <f>VLOOKUP(A139,'[1]계산서(25하-대전)'!W$4:AI$150,3,FALSE)</f>
        <v>45985</v>
      </c>
      <c r="AE139" s="3">
        <f t="shared" si="4"/>
        <v>700000</v>
      </c>
      <c r="AF139" s="3">
        <f>VLOOKUP(A139,'[1]계산서(25하-대전)'!W$4:AI$150,4,FALSE)</f>
        <v>700000</v>
      </c>
      <c r="AG139" s="3">
        <v>0</v>
      </c>
      <c r="AH139" s="3">
        <f t="shared" si="5"/>
        <v>700000</v>
      </c>
      <c r="AI139" s="29">
        <f>VLOOKUP(A139,'[1]계산서(25하-대전)'!W$4:AI$150,8,FALSE)</f>
        <v>45999</v>
      </c>
      <c r="AJ139" s="3">
        <f>VLOOKUP(A139,'[1]계산서(25하-대전)'!W$4:AI$150,9,FALSE)</f>
        <v>700000</v>
      </c>
      <c r="AK139" s="29" t="str">
        <f>VLOOKUP(A139,'[1]계산서(25하-대전)'!W$4:AI$150,10,FALSE)</f>
        <v>국고 X</v>
      </c>
      <c r="AL139" s="3">
        <f>VLOOKUP(A139,'[1]계산서(25하-대전)'!W$4:AI$150,11,FALSE)</f>
        <v>0</v>
      </c>
      <c r="AM139" s="3">
        <f>VLOOKUP(A139,'[1]계산서(25하-대전)'!W$4:AI$150,13,FALSE)</f>
        <v>0</v>
      </c>
    </row>
    <row r="140" spans="1:39" x14ac:dyDescent="0.3">
      <c r="A140" s="3" t="s">
        <v>2722</v>
      </c>
      <c r="B140" s="3">
        <v>2025</v>
      </c>
      <c r="C140" s="3" t="s">
        <v>2871</v>
      </c>
      <c r="D140" s="3" t="s">
        <v>71</v>
      </c>
      <c r="E140" s="3" t="s">
        <v>3533</v>
      </c>
      <c r="F140" s="3" t="s">
        <v>3379</v>
      </c>
      <c r="G140" s="12">
        <v>138</v>
      </c>
      <c r="H140" s="12" t="s">
        <v>2691</v>
      </c>
      <c r="I140" s="29">
        <v>45981</v>
      </c>
      <c r="J140" s="29">
        <v>45981</v>
      </c>
      <c r="L140" s="3" t="s">
        <v>73</v>
      </c>
      <c r="M140" s="3" t="s">
        <v>3533</v>
      </c>
      <c r="N140" s="3" t="s">
        <v>2725</v>
      </c>
      <c r="O140" s="3">
        <v>406</v>
      </c>
      <c r="P140" s="3">
        <v>3078201717</v>
      </c>
      <c r="Q140" s="3" t="s">
        <v>3380</v>
      </c>
      <c r="R140" s="3" t="s">
        <v>2726</v>
      </c>
      <c r="T140" s="3" t="s">
        <v>2727</v>
      </c>
      <c r="U140" s="3" t="s">
        <v>2728</v>
      </c>
      <c r="V140" s="3" t="s">
        <v>2729</v>
      </c>
      <c r="W140" s="3" t="s">
        <v>2730</v>
      </c>
      <c r="Y140" s="3" t="s">
        <v>2731</v>
      </c>
      <c r="Z140" s="3" t="s">
        <v>2732</v>
      </c>
      <c r="AA140" s="29">
        <v>46007</v>
      </c>
      <c r="AB140" s="3" t="s">
        <v>73</v>
      </c>
      <c r="AC140" s="3" t="str">
        <f>VLOOKUP(A140,'[1]계산서(25하-대전)'!W$4:AI$150,2,FALSE)</f>
        <v>gjmc1111@naver.com</v>
      </c>
      <c r="AD140" s="29">
        <f>VLOOKUP(A140,'[1]계산서(25하-대전)'!W$4:AI$150,3,FALSE)</f>
        <v>46007</v>
      </c>
      <c r="AE140" s="3">
        <f t="shared" si="4"/>
        <v>2000000</v>
      </c>
      <c r="AF140" s="3">
        <f>VLOOKUP(A140,'[1]계산서(25하-대전)'!W$4:AI$150,4,FALSE)</f>
        <v>2000000</v>
      </c>
      <c r="AG140" s="3">
        <v>0</v>
      </c>
      <c r="AH140" s="3">
        <f t="shared" si="5"/>
        <v>0</v>
      </c>
      <c r="AI140" s="29"/>
      <c r="AJ140" s="3">
        <v>0</v>
      </c>
      <c r="AK140" s="29" t="str">
        <f>VLOOKUP(A140,'[1]계산서(25하-대전)'!W$4:AI$150,10,FALSE)</f>
        <v>국고 X</v>
      </c>
      <c r="AL140" s="3">
        <f>VLOOKUP(A140,'[1]계산서(25하-대전)'!W$4:AI$150,11,FALSE)</f>
        <v>0</v>
      </c>
      <c r="AM140" s="3">
        <f>VLOOKUP(A140,'[1]계산서(25하-대전)'!W$4:AI$150,13,FALSE)</f>
        <v>0</v>
      </c>
    </row>
    <row r="141" spans="1:39" x14ac:dyDescent="0.3">
      <c r="A141" s="3" t="s">
        <v>2780</v>
      </c>
      <c r="B141" s="3">
        <v>2025</v>
      </c>
      <c r="C141" s="3" t="s">
        <v>2871</v>
      </c>
      <c r="D141" s="3" t="s">
        <v>94</v>
      </c>
      <c r="E141" s="3" t="s">
        <v>3533</v>
      </c>
      <c r="F141" s="3" t="s">
        <v>3381</v>
      </c>
      <c r="G141" s="12">
        <v>139</v>
      </c>
      <c r="H141" s="12" t="s">
        <v>2691</v>
      </c>
      <c r="I141" s="29">
        <v>45993</v>
      </c>
      <c r="J141" s="29">
        <v>45993</v>
      </c>
      <c r="L141" s="3" t="s">
        <v>61</v>
      </c>
      <c r="M141" s="3" t="s">
        <v>3533</v>
      </c>
      <c r="N141" s="3" t="s">
        <v>2782</v>
      </c>
      <c r="O141" s="3">
        <v>3</v>
      </c>
      <c r="P141" s="3">
        <v>2391001800</v>
      </c>
      <c r="Q141" s="3" t="s">
        <v>3382</v>
      </c>
      <c r="R141" s="3" t="s">
        <v>2783</v>
      </c>
      <c r="T141" s="3" t="s">
        <v>2784</v>
      </c>
      <c r="U141" s="3" t="s">
        <v>2785</v>
      </c>
      <c r="V141" s="3" t="s">
        <v>2786</v>
      </c>
      <c r="W141" s="3" t="s">
        <v>2783</v>
      </c>
      <c r="X141" s="3" t="s">
        <v>78</v>
      </c>
      <c r="Y141" s="3" t="s">
        <v>2787</v>
      </c>
      <c r="Z141" s="3" t="s">
        <v>2788</v>
      </c>
      <c r="AA141" s="29">
        <v>46015</v>
      </c>
      <c r="AB141" s="3" t="s">
        <v>218</v>
      </c>
      <c r="AC141" s="3" t="str">
        <f>VLOOKUP(A141,'[1]계산서(25하-대전)'!W$4:AI$150,2,FALSE)</f>
        <v>darkox0063@naver.com</v>
      </c>
      <c r="AD141" s="29">
        <f>VLOOKUP(A141,'[1]계산서(25하-대전)'!W$4:AI$150,3,FALSE)</f>
        <v>45994</v>
      </c>
      <c r="AE141" s="3">
        <f t="shared" si="4"/>
        <v>600000</v>
      </c>
      <c r="AF141" s="3">
        <f>VLOOKUP(A141,'[1]계산서(25하-대전)'!W$4:AI$150,4,FALSE)</f>
        <v>200000</v>
      </c>
      <c r="AG141" s="3">
        <f>VLOOKUP(A141,'[1]계산서(25하-대전)'!W$4:AI$150,5,FALSE)</f>
        <v>400000</v>
      </c>
      <c r="AH141" s="3">
        <f t="shared" si="5"/>
        <v>0</v>
      </c>
      <c r="AI141" s="29"/>
      <c r="AJ141" s="3">
        <v>0</v>
      </c>
      <c r="AK141" s="29"/>
      <c r="AM141" s="3">
        <f>VLOOKUP(A141,'[1]계산서(25하-대전)'!W$4:AI$150,13,FALSE)</f>
        <v>0</v>
      </c>
    </row>
    <row r="142" spans="1:39" x14ac:dyDescent="0.3">
      <c r="A142" s="3" t="s">
        <v>2265</v>
      </c>
      <c r="B142" s="3">
        <v>2025</v>
      </c>
      <c r="C142" s="3" t="s">
        <v>2871</v>
      </c>
      <c r="D142" s="3" t="s">
        <v>94</v>
      </c>
      <c r="E142" s="3" t="s">
        <v>3533</v>
      </c>
      <c r="F142" s="3" t="s">
        <v>3383</v>
      </c>
      <c r="G142" s="12">
        <v>140</v>
      </c>
      <c r="H142" s="12" t="s">
        <v>2691</v>
      </c>
      <c r="I142" s="29">
        <v>45993</v>
      </c>
      <c r="J142" s="29">
        <v>45993</v>
      </c>
      <c r="L142" s="3" t="s">
        <v>218</v>
      </c>
      <c r="M142" s="3" t="s">
        <v>3533</v>
      </c>
      <c r="N142" s="3" t="s">
        <v>2267</v>
      </c>
      <c r="O142" s="3">
        <v>3</v>
      </c>
      <c r="P142" s="3">
        <v>2520901485</v>
      </c>
      <c r="Q142" s="3" t="s">
        <v>3384</v>
      </c>
      <c r="R142" s="3" t="s">
        <v>2268</v>
      </c>
      <c r="T142" s="3" t="s">
        <v>2269</v>
      </c>
      <c r="U142" s="3" t="s">
        <v>2270</v>
      </c>
      <c r="V142" s="3" t="s">
        <v>2271</v>
      </c>
      <c r="W142" s="3" t="s">
        <v>2268</v>
      </c>
      <c r="X142" s="3" t="s">
        <v>78</v>
      </c>
      <c r="Y142" s="3" t="s">
        <v>2272</v>
      </c>
      <c r="Z142" s="3" t="s">
        <v>2273</v>
      </c>
      <c r="AA142" s="29">
        <v>46015</v>
      </c>
      <c r="AB142" s="3" t="s">
        <v>218</v>
      </c>
      <c r="AC142" s="3" t="str">
        <f>VLOOKUP(A142,'[1]계산서(25하-대전)'!W$4:AI$150,2,FALSE)</f>
        <v>a39445236@gmail.com</v>
      </c>
      <c r="AD142" s="29">
        <f>VLOOKUP(A142,'[1]계산서(25하-대전)'!W$4:AI$150,3,FALSE)</f>
        <v>45994</v>
      </c>
      <c r="AE142" s="3">
        <f t="shared" si="4"/>
        <v>600000</v>
      </c>
      <c r="AF142" s="3">
        <f>VLOOKUP(A142,'[1]계산서(25하-대전)'!W$4:AI$150,4,FALSE)</f>
        <v>200000</v>
      </c>
      <c r="AG142" s="3">
        <f>VLOOKUP(A142,'[1]계산서(25하-대전)'!W$4:AI$150,5,FALSE)</f>
        <v>400000</v>
      </c>
      <c r="AH142" s="3">
        <f t="shared" si="5"/>
        <v>0</v>
      </c>
      <c r="AI142" s="29"/>
      <c r="AJ142" s="3">
        <v>0</v>
      </c>
      <c r="AK142" s="29"/>
      <c r="AM142" s="3">
        <f>VLOOKUP(A142,'[1]계산서(25하-대전)'!W$4:AI$150,13,FALSE)</f>
        <v>0</v>
      </c>
    </row>
    <row r="143" spans="1:39" x14ac:dyDescent="0.3">
      <c r="A143" s="3" t="s">
        <v>2699</v>
      </c>
      <c r="B143" s="3">
        <v>2025</v>
      </c>
      <c r="C143" s="3" t="s">
        <v>2871</v>
      </c>
      <c r="E143" s="3" t="s">
        <v>3533</v>
      </c>
      <c r="F143" s="3" t="s">
        <v>3385</v>
      </c>
      <c r="G143" s="12">
        <v>141</v>
      </c>
      <c r="H143" s="12" t="s">
        <v>2701</v>
      </c>
      <c r="I143" s="29">
        <v>45993</v>
      </c>
      <c r="J143" s="29">
        <v>45993</v>
      </c>
      <c r="L143" s="3" t="s">
        <v>73</v>
      </c>
      <c r="M143" s="3" t="s">
        <v>3533</v>
      </c>
      <c r="N143" s="3" t="s">
        <v>2702</v>
      </c>
      <c r="O143" s="3">
        <v>74</v>
      </c>
      <c r="P143" s="3">
        <v>7308502523</v>
      </c>
      <c r="Q143" s="3">
        <v>73085025230</v>
      </c>
      <c r="R143" s="3" t="s">
        <v>2703</v>
      </c>
      <c r="T143" s="3" t="s">
        <v>2704</v>
      </c>
      <c r="U143" s="3" t="s">
        <v>2705</v>
      </c>
      <c r="V143" s="3" t="s">
        <v>2706</v>
      </c>
      <c r="W143" s="3" t="s">
        <v>2707</v>
      </c>
      <c r="X143" s="3" t="s">
        <v>52</v>
      </c>
      <c r="Y143" s="3" t="s">
        <v>2708</v>
      </c>
      <c r="Z143" s="3" t="s">
        <v>2709</v>
      </c>
      <c r="AA143" s="29">
        <v>46015</v>
      </c>
      <c r="AB143" s="3" t="s">
        <v>73</v>
      </c>
      <c r="AC143" s="3" t="str">
        <f>VLOOKUP(A143,'[1]계산서(25하-대전)'!W$4:AI$150,2,FALSE)</f>
        <v>hs.kwon@hydroli.co.kr</v>
      </c>
      <c r="AD143" s="29">
        <f>VLOOKUP(A143,'[1]계산서(25하-대전)'!W$4:AI$150,3,FALSE)</f>
        <v>46013</v>
      </c>
      <c r="AE143" s="3">
        <f t="shared" si="4"/>
        <v>1700000</v>
      </c>
      <c r="AF143" s="3">
        <f>VLOOKUP(A143,'[1]계산서(25하-대전)'!W$4:AI$150,4,FALSE)</f>
        <v>1700000</v>
      </c>
      <c r="AG143" s="3">
        <v>0</v>
      </c>
      <c r="AH143" s="3">
        <f t="shared" si="5"/>
        <v>0</v>
      </c>
      <c r="AI143" s="29"/>
      <c r="AJ143" s="3">
        <v>0</v>
      </c>
      <c r="AK143" s="29" t="str">
        <f>VLOOKUP(A143,'[1]계산서(25하-대전)'!W$4:AI$150,10,FALSE)</f>
        <v>국고 X</v>
      </c>
      <c r="AL143" s="3">
        <f>VLOOKUP(A143,'[1]계산서(25하-대전)'!W$4:AI$150,11,FALSE)</f>
        <v>0</v>
      </c>
      <c r="AM143" s="3">
        <f>VLOOKUP(A143,'[1]계산서(25하-대전)'!W$4:AI$150,13,FALSE)</f>
        <v>0</v>
      </c>
    </row>
    <row r="144" spans="1:39" x14ac:dyDescent="0.3">
      <c r="A144" s="3" t="s">
        <v>3386</v>
      </c>
      <c r="B144" s="3">
        <v>2025</v>
      </c>
      <c r="C144" s="3" t="s">
        <v>2871</v>
      </c>
      <c r="D144" s="3" t="s">
        <v>2953</v>
      </c>
      <c r="E144" s="3" t="s">
        <v>3533</v>
      </c>
      <c r="F144" s="3" t="s">
        <v>3387</v>
      </c>
      <c r="G144" s="12">
        <v>142</v>
      </c>
      <c r="H144" s="12" t="s">
        <v>2713</v>
      </c>
      <c r="I144" s="29">
        <v>45993</v>
      </c>
      <c r="J144" s="29">
        <v>45993</v>
      </c>
      <c r="L144" s="3" t="s">
        <v>61</v>
      </c>
      <c r="M144" s="3" t="s">
        <v>3533</v>
      </c>
      <c r="N144" s="3" t="s">
        <v>3388</v>
      </c>
      <c r="O144" s="3">
        <v>7</v>
      </c>
      <c r="P144" s="3">
        <v>6218143241</v>
      </c>
      <c r="Q144" s="3">
        <v>62181432416</v>
      </c>
      <c r="R144" s="3" t="s">
        <v>3389</v>
      </c>
      <c r="T144" s="3" t="s">
        <v>3390</v>
      </c>
      <c r="W144" s="3" t="s">
        <v>3391</v>
      </c>
      <c r="Y144" s="3" t="s">
        <v>3392</v>
      </c>
      <c r="Z144" s="3" t="s">
        <v>3393</v>
      </c>
      <c r="AA144" s="29">
        <v>46021</v>
      </c>
      <c r="AB144" s="3" t="s">
        <v>61</v>
      </c>
      <c r="AD144" s="29" t="str">
        <f>VLOOKUP(A144,'[1]계산서(25하-대전)'!W$4:AI$150,3,FALSE)</f>
        <v>국고 전액</v>
      </c>
      <c r="AE144" s="3">
        <f t="shared" si="4"/>
        <v>981880</v>
      </c>
      <c r="AF144" s="3">
        <v>0</v>
      </c>
      <c r="AG144" s="3">
        <f>VLOOKUP(A144,'[1]계산서(25하-대전)'!W$4:AI$150,5,FALSE)</f>
        <v>981880</v>
      </c>
      <c r="AH144" s="3">
        <f t="shared" si="5"/>
        <v>0</v>
      </c>
      <c r="AI144" s="29"/>
      <c r="AJ144" s="3">
        <v>0</v>
      </c>
      <c r="AK144" s="29"/>
    </row>
    <row r="145" spans="1:39" x14ac:dyDescent="0.3">
      <c r="A145" s="3" t="s">
        <v>2734</v>
      </c>
      <c r="B145" s="3">
        <v>2025</v>
      </c>
      <c r="C145" s="3" t="s">
        <v>2871</v>
      </c>
      <c r="D145" s="3" t="s">
        <v>71</v>
      </c>
      <c r="E145" s="3" t="s">
        <v>3533</v>
      </c>
      <c r="F145" s="3" t="s">
        <v>3394</v>
      </c>
      <c r="G145" s="12">
        <v>143</v>
      </c>
      <c r="H145" s="12" t="s">
        <v>2724</v>
      </c>
      <c r="I145" s="29">
        <v>46000</v>
      </c>
      <c r="J145" s="29">
        <v>46000</v>
      </c>
      <c r="L145" s="3" t="s">
        <v>46</v>
      </c>
      <c r="M145" s="3" t="s">
        <v>3533</v>
      </c>
      <c r="N145" s="3" t="s">
        <v>2737</v>
      </c>
      <c r="O145" s="3">
        <v>103</v>
      </c>
      <c r="P145" s="3">
        <v>7058200339</v>
      </c>
      <c r="Q145" s="3" t="s">
        <v>3395</v>
      </c>
      <c r="R145" s="3" t="s">
        <v>2738</v>
      </c>
      <c r="T145" s="3" t="s">
        <v>2739</v>
      </c>
      <c r="U145" s="3" t="s">
        <v>2740</v>
      </c>
      <c r="V145" s="3" t="s">
        <v>2741</v>
      </c>
      <c r="W145" s="3" t="s">
        <v>2742</v>
      </c>
      <c r="X145" s="3" t="s">
        <v>2743</v>
      </c>
      <c r="Y145" s="3" t="s">
        <v>2744</v>
      </c>
      <c r="Z145" s="3" t="s">
        <v>2745</v>
      </c>
      <c r="AA145" s="29">
        <v>46028</v>
      </c>
      <c r="AB145" s="3" t="s">
        <v>46</v>
      </c>
      <c r="AC145" s="3" t="str">
        <f>VLOOKUP(A145,'[1]계산서(25하-대전)'!W$4:AI$150,2,FALSE)</f>
        <v>kjhd00@gmail.com</v>
      </c>
      <c r="AD145" s="29"/>
      <c r="AE145" s="3">
        <f t="shared" si="4"/>
        <v>700000</v>
      </c>
      <c r="AF145" s="3">
        <f>VLOOKUP(A145,'[1]계산서(25하-대전)'!W$4:AI$150,4,FALSE)</f>
        <v>700000</v>
      </c>
      <c r="AG145" s="3">
        <v>0</v>
      </c>
      <c r="AH145" s="3">
        <f t="shared" si="5"/>
        <v>0</v>
      </c>
      <c r="AI145" s="29"/>
      <c r="AJ145" s="3">
        <v>0</v>
      </c>
      <c r="AK145" s="29" t="str">
        <f>VLOOKUP(A145,'[1]계산서(25하-대전)'!W$4:AI$150,10,FALSE)</f>
        <v>국고 X</v>
      </c>
      <c r="AL145" s="3">
        <v>0</v>
      </c>
    </row>
    <row r="146" spans="1:39" x14ac:dyDescent="0.3">
      <c r="A146" s="3" t="s">
        <v>3396</v>
      </c>
      <c r="B146" s="3">
        <v>2025</v>
      </c>
      <c r="C146" s="3" t="s">
        <v>2871</v>
      </c>
      <c r="E146" s="3" t="s">
        <v>3533</v>
      </c>
      <c r="F146" s="3" t="s">
        <v>3397</v>
      </c>
      <c r="G146" s="12">
        <v>144</v>
      </c>
      <c r="H146" s="12" t="s">
        <v>2736</v>
      </c>
      <c r="I146" s="29">
        <v>46009</v>
      </c>
      <c r="J146" s="29">
        <v>46009</v>
      </c>
      <c r="L146" s="3" t="s">
        <v>73</v>
      </c>
      <c r="M146" s="3" t="s">
        <v>3533</v>
      </c>
      <c r="N146" s="3" t="s">
        <v>3398</v>
      </c>
      <c r="O146" s="3">
        <v>72</v>
      </c>
      <c r="P146" s="3">
        <v>3058195094</v>
      </c>
      <c r="Q146" s="3">
        <v>30581950940</v>
      </c>
      <c r="R146" s="3" t="s">
        <v>3399</v>
      </c>
      <c r="T146" s="3" t="s">
        <v>3400</v>
      </c>
      <c r="U146" s="3" t="s">
        <v>3401</v>
      </c>
      <c r="V146" s="3" t="s">
        <v>3402</v>
      </c>
      <c r="W146" s="3" t="s">
        <v>3403</v>
      </c>
      <c r="X146" s="3" t="s">
        <v>134</v>
      </c>
      <c r="Y146" s="3" t="s">
        <v>3404</v>
      </c>
      <c r="Z146" s="3" t="s">
        <v>3405</v>
      </c>
      <c r="AA146" s="29"/>
      <c r="AC146" s="3" t="str">
        <f>VLOOKUP(A146,'[1]계산서(25하-대전)'!W$4:AI$150,2,FALSE)</f>
        <v>sunjinsuchul@hometax.go.kr</v>
      </c>
      <c r="AD146" s="29">
        <f>VLOOKUP(A146,'[1]계산서(25하-대전)'!W$4:AI$150,3,FALSE)</f>
        <v>46009</v>
      </c>
      <c r="AE146" s="3">
        <f t="shared" si="4"/>
        <v>1650000</v>
      </c>
      <c r="AF146" s="3">
        <f>VLOOKUP(A146,'[1]계산서(25하-대전)'!W$4:AI$150,4,FALSE)</f>
        <v>1650000</v>
      </c>
      <c r="AG146" s="3">
        <v>0</v>
      </c>
      <c r="AH146" s="3">
        <f t="shared" si="5"/>
        <v>1650000</v>
      </c>
      <c r="AI146" s="29">
        <f>VLOOKUP(A146,'[1]계산서(25하-대전)'!W$4:AI$150,8,FALSE)</f>
        <v>46020</v>
      </c>
      <c r="AJ146" s="3">
        <f>VLOOKUP(A146,'[1]계산서(25하-대전)'!W$4:AI$150,9,FALSE)</f>
        <v>1650000</v>
      </c>
      <c r="AK146" s="29" t="str">
        <f>VLOOKUP(A146,'[1]계산서(25하-대전)'!W$4:AI$150,10,FALSE)</f>
        <v>국고 X</v>
      </c>
      <c r="AL146" s="3">
        <f>VLOOKUP(A146,'[1]계산서(25하-대전)'!W$4:AI$150,11,FALSE)</f>
        <v>0</v>
      </c>
      <c r="AM146" s="3">
        <f>VLOOKUP(A146,'[1]계산서(25하-대전)'!W$4:AI$150,13,FALSE)</f>
        <v>0</v>
      </c>
    </row>
    <row r="147" spans="1:39" x14ac:dyDescent="0.3">
      <c r="A147" s="3" t="s">
        <v>2746</v>
      </c>
      <c r="B147" s="3">
        <v>2025</v>
      </c>
      <c r="C147" s="3" t="s">
        <v>2871</v>
      </c>
      <c r="D147" s="3" t="s">
        <v>71</v>
      </c>
      <c r="E147" s="3" t="s">
        <v>3533</v>
      </c>
      <c r="F147" s="3" t="s">
        <v>3407</v>
      </c>
      <c r="G147" s="12">
        <v>145</v>
      </c>
      <c r="H147" s="12" t="s">
        <v>2748</v>
      </c>
      <c r="I147" s="29">
        <v>46013</v>
      </c>
      <c r="J147" s="29">
        <v>46013</v>
      </c>
      <c r="L147" s="3" t="s">
        <v>73</v>
      </c>
      <c r="M147" s="3" t="s">
        <v>3533</v>
      </c>
      <c r="N147" s="3" t="s">
        <v>2749</v>
      </c>
      <c r="O147" s="3">
        <v>44</v>
      </c>
      <c r="P147" s="3">
        <v>3148164111</v>
      </c>
      <c r="Q147" s="3" t="s">
        <v>3408</v>
      </c>
      <c r="R147" s="3" t="s">
        <v>2750</v>
      </c>
      <c r="T147" s="3" t="s">
        <v>2751</v>
      </c>
      <c r="U147" s="3" t="s">
        <v>2752</v>
      </c>
      <c r="V147" s="3" t="s">
        <v>2753</v>
      </c>
      <c r="W147" s="3" t="s">
        <v>2754</v>
      </c>
      <c r="X147" s="3" t="s">
        <v>168</v>
      </c>
      <c r="Y147" s="3" t="s">
        <v>2755</v>
      </c>
      <c r="Z147" s="3" t="s">
        <v>2756</v>
      </c>
      <c r="AA147" s="29"/>
      <c r="AC147" s="3" t="str">
        <f>VLOOKUP(A147,'[1]계산서(25하-대전)'!W$4:AI$150,2,FALSE)</f>
        <v>syeng92@hanmail.net</v>
      </c>
      <c r="AD147" s="29">
        <f>VLOOKUP(A147,'[1]계산서(25하-대전)'!W$4:AI$150,3,FALSE)</f>
        <v>46010</v>
      </c>
      <c r="AE147" s="3">
        <f t="shared" si="4"/>
        <v>1400000</v>
      </c>
      <c r="AF147" s="3">
        <f>VLOOKUP(A147,'[1]계산서(25하-대전)'!W$4:AI$150,4,FALSE)</f>
        <v>1000000</v>
      </c>
      <c r="AG147" s="3">
        <f>VLOOKUP(A147,'[1]계산서(25하-대전)'!W$4:AI$150,5,FALSE)</f>
        <v>400000</v>
      </c>
      <c r="AH147" s="3">
        <f t="shared" si="5"/>
        <v>0</v>
      </c>
      <c r="AI147" s="29"/>
      <c r="AJ147" s="3">
        <v>0</v>
      </c>
      <c r="AK147" s="29"/>
      <c r="AM147" s="3">
        <f>VLOOKUP(A147,'[1]계산서(25하-대전)'!W$4:AI$150,13,FALSE)</f>
        <v>0</v>
      </c>
    </row>
    <row r="148" spans="1:39" x14ac:dyDescent="0.3">
      <c r="A148" s="3" t="s">
        <v>3409</v>
      </c>
      <c r="B148" s="3">
        <v>2025</v>
      </c>
      <c r="C148" s="3" t="s">
        <v>2871</v>
      </c>
      <c r="D148" s="3" t="s">
        <v>2953</v>
      </c>
      <c r="E148" s="3" t="s">
        <v>3533</v>
      </c>
      <c r="F148" s="3" t="s">
        <v>3410</v>
      </c>
      <c r="G148" s="12">
        <v>146</v>
      </c>
      <c r="H148" s="12" t="s">
        <v>2761</v>
      </c>
      <c r="I148" s="29">
        <v>46020</v>
      </c>
      <c r="J148" s="29">
        <v>46020</v>
      </c>
      <c r="L148" s="3" t="s">
        <v>73</v>
      </c>
      <c r="M148" s="3" t="s">
        <v>3533</v>
      </c>
      <c r="N148" s="3" t="s">
        <v>3411</v>
      </c>
      <c r="O148" s="3">
        <v>15</v>
      </c>
      <c r="P148" s="3">
        <v>7968701173</v>
      </c>
      <c r="Q148" s="3">
        <v>37387007246</v>
      </c>
      <c r="R148" s="3" t="s">
        <v>3412</v>
      </c>
      <c r="T148" s="3" t="s">
        <v>3413</v>
      </c>
      <c r="W148" s="3" t="s">
        <v>3414</v>
      </c>
      <c r="Y148" s="3" t="s">
        <v>3415</v>
      </c>
      <c r="Z148" s="3" t="s">
        <v>3416</v>
      </c>
      <c r="AA148" s="29"/>
      <c r="AD148" s="29"/>
      <c r="AE148" s="3">
        <f t="shared" si="4"/>
        <v>1350000</v>
      </c>
      <c r="AF148" s="3">
        <f>VLOOKUP(A148,'[1]계산서(25하-대전)'!W$4:AI$150,4,FALSE)</f>
        <v>1350000</v>
      </c>
      <c r="AG148" s="3">
        <v>0</v>
      </c>
      <c r="AH148" s="3">
        <f t="shared" si="5"/>
        <v>0</v>
      </c>
      <c r="AI148" s="29"/>
      <c r="AJ148" s="3">
        <v>0</v>
      </c>
      <c r="AK148" s="29" t="str">
        <f>VLOOKUP(A148,'[1]계산서(25하-대전)'!W$4:AI$150,10,FALSE)</f>
        <v>국고 X</v>
      </c>
      <c r="AL148" s="3">
        <v>0</v>
      </c>
    </row>
    <row r="149" spans="1:39" x14ac:dyDescent="0.3">
      <c r="A149" s="3" t="s">
        <v>3417</v>
      </c>
      <c r="B149" s="3">
        <v>2025</v>
      </c>
      <c r="C149" s="3" t="s">
        <v>2871</v>
      </c>
      <c r="D149" s="3" t="s">
        <v>2953</v>
      </c>
      <c r="E149" s="3" t="s">
        <v>3533</v>
      </c>
      <c r="F149" s="3" t="s">
        <v>3418</v>
      </c>
      <c r="G149" s="12">
        <v>147</v>
      </c>
      <c r="H149" s="12" t="s">
        <v>2772</v>
      </c>
      <c r="I149" s="29">
        <v>46020</v>
      </c>
      <c r="J149" s="29">
        <v>46020</v>
      </c>
      <c r="L149" s="3" t="s">
        <v>181</v>
      </c>
      <c r="M149" s="3" t="s">
        <v>3533</v>
      </c>
      <c r="N149" s="3" t="s">
        <v>3419</v>
      </c>
      <c r="O149" s="3">
        <v>7</v>
      </c>
      <c r="P149" s="3">
        <v>3128157803</v>
      </c>
      <c r="Q149" s="3">
        <v>31281578036</v>
      </c>
      <c r="R149" s="3" t="s">
        <v>3420</v>
      </c>
      <c r="T149" s="3" t="s">
        <v>3421</v>
      </c>
      <c r="W149" s="3" t="s">
        <v>3422</v>
      </c>
      <c r="X149" s="3" t="s">
        <v>224</v>
      </c>
      <c r="Y149" s="3" t="s">
        <v>3423</v>
      </c>
      <c r="Z149" s="3" t="s">
        <v>3424</v>
      </c>
      <c r="AA149" s="29"/>
      <c r="AD149" s="29" t="str">
        <f>VLOOKUP(A149,'[1]계산서(25하-대전)'!W$4:AI$150,3,FALSE)</f>
        <v>국고 전액</v>
      </c>
      <c r="AE149" s="3">
        <f t="shared" si="4"/>
        <v>572090</v>
      </c>
      <c r="AF149" s="3">
        <v>0</v>
      </c>
      <c r="AG149" s="3">
        <f>VLOOKUP(A149,'[1]계산서(25하-대전)'!W$4:AI$150,5,FALSE)</f>
        <v>572090</v>
      </c>
      <c r="AH149" s="3">
        <f t="shared" si="5"/>
        <v>0</v>
      </c>
      <c r="AI149" s="29"/>
      <c r="AJ149" s="3">
        <v>0</v>
      </c>
      <c r="AK149" s="29"/>
    </row>
    <row r="150" spans="1:39" x14ac:dyDescent="0.3">
      <c r="B150" s="3" t="s">
        <v>3534</v>
      </c>
      <c r="C150" s="3" t="s">
        <v>3534</v>
      </c>
      <c r="D150" s="3" t="s">
        <v>3534</v>
      </c>
      <c r="E150" s="3" t="s">
        <v>3534</v>
      </c>
      <c r="F150" s="3" t="s">
        <v>3534</v>
      </c>
      <c r="G150" s="12" t="s">
        <v>3534</v>
      </c>
      <c r="H150" s="12" t="s">
        <v>3534</v>
      </c>
      <c r="I150" s="29" t="s">
        <v>3534</v>
      </c>
      <c r="J150" s="29" t="s">
        <v>3534</v>
      </c>
      <c r="K150" s="3" t="s">
        <v>3534</v>
      </c>
      <c r="L150" s="3" t="s">
        <v>3534</v>
      </c>
      <c r="M150" s="3" t="s">
        <v>3534</v>
      </c>
      <c r="N150" s="3" t="s">
        <v>3534</v>
      </c>
      <c r="O150" s="3" t="s">
        <v>3534</v>
      </c>
      <c r="P150" s="3" t="s">
        <v>3534</v>
      </c>
      <c r="Q150" s="3" t="s">
        <v>3534</v>
      </c>
      <c r="R150" s="3" t="s">
        <v>3534</v>
      </c>
      <c r="S150" s="3" t="s">
        <v>3534</v>
      </c>
      <c r="T150" s="3" t="s">
        <v>3534</v>
      </c>
      <c r="U150" s="3" t="s">
        <v>3534</v>
      </c>
      <c r="V150" s="3" t="s">
        <v>3534</v>
      </c>
      <c r="W150" s="3" t="s">
        <v>3534</v>
      </c>
      <c r="X150" s="3" t="s">
        <v>3534</v>
      </c>
      <c r="Y150" s="3" t="s">
        <v>3534</v>
      </c>
      <c r="Z150" s="3" t="s">
        <v>3534</v>
      </c>
      <c r="AA150" s="3" t="s">
        <v>3534</v>
      </c>
      <c r="AB150" s="3" t="s">
        <v>3534</v>
      </c>
      <c r="AC150" s="3" t="s">
        <v>3534</v>
      </c>
      <c r="AD150" s="3" t="s">
        <v>3534</v>
      </c>
      <c r="AE150" s="3" t="s">
        <v>3534</v>
      </c>
      <c r="AF150" s="3" t="s">
        <v>3534</v>
      </c>
      <c r="AG150" s="3" t="s">
        <v>3534</v>
      </c>
      <c r="AH150" s="3" t="s">
        <v>3534</v>
      </c>
      <c r="AI150" s="3" t="s">
        <v>3534</v>
      </c>
      <c r="AJ150" s="3" t="s">
        <v>3534</v>
      </c>
      <c r="AK150" s="3" t="s">
        <v>3534</v>
      </c>
      <c r="AL150" s="3" t="s">
        <v>3534</v>
      </c>
      <c r="AM150" s="3" t="s">
        <v>3534</v>
      </c>
    </row>
    <row r="151" spans="1:39" x14ac:dyDescent="0.3">
      <c r="I151" s="29"/>
      <c r="J151" s="29"/>
    </row>
    <row r="152" spans="1:39" x14ac:dyDescent="0.3">
      <c r="I152" s="29"/>
      <c r="J152" s="29"/>
    </row>
    <row r="153" spans="1:39" x14ac:dyDescent="0.3">
      <c r="I153" s="29"/>
      <c r="J153" s="29"/>
    </row>
    <row r="154" spans="1:39" x14ac:dyDescent="0.3">
      <c r="I154" s="29"/>
      <c r="J154" s="29"/>
    </row>
    <row r="155" spans="1:39" x14ac:dyDescent="0.3">
      <c r="I155" s="29"/>
      <c r="J155" s="29"/>
    </row>
    <row r="156" spans="1:39" x14ac:dyDescent="0.3">
      <c r="I156" s="29"/>
      <c r="J156" s="29"/>
    </row>
    <row r="157" spans="1:39" x14ac:dyDescent="0.3">
      <c r="I157" s="29"/>
      <c r="J157" s="29"/>
    </row>
    <row r="158" spans="1:39" x14ac:dyDescent="0.3">
      <c r="I158" s="29"/>
      <c r="J158" s="29"/>
    </row>
    <row r="159" spans="1:39" x14ac:dyDescent="0.3">
      <c r="I159" s="29"/>
      <c r="J159" s="29"/>
    </row>
    <row r="160" spans="1:39" x14ac:dyDescent="0.3">
      <c r="I160" s="29"/>
      <c r="J160" s="29"/>
    </row>
    <row r="161" spans="9:10" x14ac:dyDescent="0.3">
      <c r="I161" s="29"/>
      <c r="J161" s="29"/>
    </row>
    <row r="162" spans="9:10" x14ac:dyDescent="0.3">
      <c r="I162" s="29"/>
      <c r="J162" s="29"/>
    </row>
    <row r="163" spans="9:10" x14ac:dyDescent="0.3">
      <c r="I163" s="29"/>
      <c r="J163" s="29"/>
    </row>
    <row r="164" spans="9:10" x14ac:dyDescent="0.3">
      <c r="I164" s="29"/>
      <c r="J164" s="29"/>
    </row>
    <row r="165" spans="9:10" x14ac:dyDescent="0.3">
      <c r="I165" s="29"/>
      <c r="J165" s="29"/>
    </row>
    <row r="166" spans="9:10" x14ac:dyDescent="0.3">
      <c r="I166" s="29"/>
      <c r="J166" s="29"/>
    </row>
    <row r="167" spans="9:10" x14ac:dyDescent="0.3">
      <c r="I167" s="29"/>
      <c r="J167" s="29"/>
    </row>
    <row r="168" spans="9:10" x14ac:dyDescent="0.3">
      <c r="I168" s="29"/>
      <c r="J168" s="29"/>
    </row>
    <row r="169" spans="9:10" x14ac:dyDescent="0.3">
      <c r="I169" s="29"/>
      <c r="J169" s="29"/>
    </row>
    <row r="170" spans="9:10" x14ac:dyDescent="0.3">
      <c r="I170" s="29"/>
      <c r="J170" s="29"/>
    </row>
    <row r="171" spans="9:10" x14ac:dyDescent="0.3">
      <c r="I171" s="29"/>
      <c r="J171" s="29"/>
    </row>
    <row r="172" spans="9:10" x14ac:dyDescent="0.3">
      <c r="I172" s="29"/>
      <c r="J172" s="29"/>
    </row>
    <row r="173" spans="9:10" x14ac:dyDescent="0.3">
      <c r="I173" s="29"/>
      <c r="J173" s="29"/>
    </row>
    <row r="174" spans="9:10" x14ac:dyDescent="0.3">
      <c r="I174" s="29"/>
      <c r="J174" s="29"/>
    </row>
    <row r="175" spans="9:10" x14ac:dyDescent="0.3">
      <c r="I175" s="29"/>
      <c r="J175" s="29"/>
    </row>
    <row r="176" spans="9:10" x14ac:dyDescent="0.3">
      <c r="I176" s="29"/>
      <c r="J176" s="29"/>
    </row>
    <row r="177" spans="9:10" x14ac:dyDescent="0.3">
      <c r="I177" s="29"/>
      <c r="J177" s="29"/>
    </row>
    <row r="178" spans="9:10" x14ac:dyDescent="0.3">
      <c r="I178" s="29"/>
      <c r="J178" s="29"/>
    </row>
    <row r="179" spans="9:10" x14ac:dyDescent="0.3">
      <c r="I179" s="29"/>
      <c r="J179" s="29"/>
    </row>
    <row r="180" spans="9:10" x14ac:dyDescent="0.3">
      <c r="I180" s="29"/>
      <c r="J180" s="29"/>
    </row>
    <row r="181" spans="9:10" x14ac:dyDescent="0.3">
      <c r="I181" s="29"/>
      <c r="J181" s="29"/>
    </row>
    <row r="182" spans="9:10" x14ac:dyDescent="0.3">
      <c r="I182" s="29"/>
      <c r="J182" s="29"/>
    </row>
    <row r="183" spans="9:10" x14ac:dyDescent="0.3">
      <c r="I183" s="29"/>
      <c r="J183" s="29"/>
    </row>
    <row r="184" spans="9:10" x14ac:dyDescent="0.3">
      <c r="I184" s="29"/>
      <c r="J184" s="29"/>
    </row>
    <row r="185" spans="9:10" x14ac:dyDescent="0.3">
      <c r="I185" s="29"/>
      <c r="J185" s="29"/>
    </row>
    <row r="186" spans="9:10" x14ac:dyDescent="0.3">
      <c r="I186" s="29"/>
      <c r="J186" s="29"/>
    </row>
    <row r="187" spans="9:10" x14ac:dyDescent="0.3">
      <c r="I187" s="29"/>
      <c r="J187" s="29"/>
    </row>
    <row r="188" spans="9:10" x14ac:dyDescent="0.3">
      <c r="I188" s="29"/>
      <c r="J188" s="29"/>
    </row>
    <row r="189" spans="9:10" x14ac:dyDescent="0.3">
      <c r="I189" s="29"/>
      <c r="J189" s="29"/>
    </row>
    <row r="190" spans="9:10" x14ac:dyDescent="0.3">
      <c r="I190" s="29"/>
      <c r="J190" s="29"/>
    </row>
    <row r="191" spans="9:10" x14ac:dyDescent="0.3">
      <c r="I191" s="29"/>
      <c r="J191" s="29"/>
    </row>
    <row r="192" spans="9:10" x14ac:dyDescent="0.3">
      <c r="I192" s="29"/>
      <c r="J192" s="29"/>
    </row>
    <row r="193" spans="9:10" x14ac:dyDescent="0.3">
      <c r="I193" s="29"/>
      <c r="J193" s="29"/>
    </row>
    <row r="194" spans="9:10" x14ac:dyDescent="0.3">
      <c r="I194" s="29"/>
      <c r="J194" s="29"/>
    </row>
    <row r="195" spans="9:10" x14ac:dyDescent="0.3">
      <c r="I195" s="29"/>
      <c r="J195" s="29"/>
    </row>
    <row r="196" spans="9:10" x14ac:dyDescent="0.3">
      <c r="I196" s="29"/>
      <c r="J196" s="29"/>
    </row>
    <row r="197" spans="9:10" x14ac:dyDescent="0.3">
      <c r="I197" s="29"/>
      <c r="J197" s="29"/>
    </row>
    <row r="198" spans="9:10" x14ac:dyDescent="0.3">
      <c r="I198" s="29"/>
      <c r="J198" s="29"/>
    </row>
    <row r="199" spans="9:10" x14ac:dyDescent="0.3">
      <c r="I199" s="29"/>
      <c r="J199" s="29"/>
    </row>
    <row r="200" spans="9:10" x14ac:dyDescent="0.3">
      <c r="I200" s="29"/>
      <c r="J200" s="29"/>
    </row>
    <row r="201" spans="9:10" x14ac:dyDescent="0.3">
      <c r="I201" s="29"/>
      <c r="J201" s="29"/>
    </row>
    <row r="202" spans="9:10" x14ac:dyDescent="0.3">
      <c r="I202" s="29"/>
      <c r="J202" s="29"/>
    </row>
    <row r="203" spans="9:10" x14ac:dyDescent="0.3">
      <c r="I203" s="29"/>
      <c r="J203" s="29"/>
    </row>
    <row r="204" spans="9:10" x14ac:dyDescent="0.3">
      <c r="I204" s="29"/>
      <c r="J204" s="29"/>
    </row>
    <row r="205" spans="9:10" x14ac:dyDescent="0.3">
      <c r="I205" s="29"/>
      <c r="J205" s="29"/>
    </row>
    <row r="206" spans="9:10" x14ac:dyDescent="0.3">
      <c r="I206" s="29"/>
      <c r="J206" s="29"/>
    </row>
    <row r="207" spans="9:10" x14ac:dyDescent="0.3">
      <c r="I207" s="29"/>
      <c r="J207" s="29"/>
    </row>
    <row r="208" spans="9:10" x14ac:dyDescent="0.3">
      <c r="I208" s="29"/>
      <c r="J208" s="29"/>
    </row>
    <row r="209" spans="9:10" x14ac:dyDescent="0.3">
      <c r="I209" s="29"/>
      <c r="J209" s="29"/>
    </row>
    <row r="210" spans="9:10" x14ac:dyDescent="0.3">
      <c r="I210" s="29"/>
      <c r="J210" s="29"/>
    </row>
    <row r="211" spans="9:10" x14ac:dyDescent="0.3">
      <c r="I211" s="29"/>
      <c r="J211" s="29"/>
    </row>
    <row r="212" spans="9:10" x14ac:dyDescent="0.3">
      <c r="I212" s="29"/>
      <c r="J212" s="29"/>
    </row>
    <row r="213" spans="9:10" x14ac:dyDescent="0.3">
      <c r="I213" s="29"/>
      <c r="J213" s="29"/>
    </row>
    <row r="214" spans="9:10" x14ac:dyDescent="0.3">
      <c r="I214" s="29"/>
      <c r="J214" s="29"/>
    </row>
    <row r="215" spans="9:10" x14ac:dyDescent="0.3">
      <c r="I215" s="29"/>
      <c r="J215" s="29"/>
    </row>
    <row r="216" spans="9:10" x14ac:dyDescent="0.3">
      <c r="I216" s="29"/>
      <c r="J216" s="29"/>
    </row>
    <row r="217" spans="9:10" x14ac:dyDescent="0.3">
      <c r="I217" s="29"/>
      <c r="J217" s="29"/>
    </row>
    <row r="218" spans="9:10" x14ac:dyDescent="0.3">
      <c r="I218" s="29"/>
      <c r="J218" s="29"/>
    </row>
    <row r="219" spans="9:10" x14ac:dyDescent="0.3">
      <c r="I219" s="29"/>
      <c r="J219" s="29"/>
    </row>
    <row r="220" spans="9:10" x14ac:dyDescent="0.3">
      <c r="I220" s="29"/>
      <c r="J220" s="29"/>
    </row>
    <row r="221" spans="9:10" x14ac:dyDescent="0.3">
      <c r="I221" s="29"/>
      <c r="J221" s="29"/>
    </row>
    <row r="222" spans="9:10" x14ac:dyDescent="0.3">
      <c r="I222" s="29"/>
      <c r="J222" s="29"/>
    </row>
    <row r="223" spans="9:10" x14ac:dyDescent="0.3">
      <c r="I223" s="29"/>
      <c r="J223" s="29"/>
    </row>
    <row r="224" spans="9:10" x14ac:dyDescent="0.3">
      <c r="I224" s="29"/>
      <c r="J224" s="29"/>
    </row>
    <row r="225" spans="9:10" x14ac:dyDescent="0.3">
      <c r="I225" s="29"/>
      <c r="J225" s="29"/>
    </row>
    <row r="226" spans="9:10" x14ac:dyDescent="0.3">
      <c r="I226" s="29"/>
      <c r="J226" s="29"/>
    </row>
    <row r="227" spans="9:10" x14ac:dyDescent="0.3">
      <c r="I227" s="29"/>
      <c r="J227" s="29"/>
    </row>
    <row r="228" spans="9:10" x14ac:dyDescent="0.3">
      <c r="I228" s="29"/>
      <c r="J228" s="29"/>
    </row>
    <row r="229" spans="9:10" x14ac:dyDescent="0.3">
      <c r="I229" s="29"/>
      <c r="J229" s="29"/>
    </row>
    <row r="230" spans="9:10" x14ac:dyDescent="0.3">
      <c r="I230" s="29"/>
      <c r="J230" s="29"/>
    </row>
    <row r="231" spans="9:10" x14ac:dyDescent="0.3">
      <c r="I231" s="29"/>
      <c r="J231" s="29"/>
    </row>
    <row r="232" spans="9:10" x14ac:dyDescent="0.3">
      <c r="I232" s="29"/>
      <c r="J232" s="29"/>
    </row>
    <row r="233" spans="9:10" x14ac:dyDescent="0.3">
      <c r="I233" s="29"/>
      <c r="J233" s="29"/>
    </row>
    <row r="234" spans="9:10" x14ac:dyDescent="0.3">
      <c r="I234" s="29"/>
      <c r="J234" s="29"/>
    </row>
    <row r="235" spans="9:10" x14ac:dyDescent="0.3">
      <c r="I235" s="29"/>
      <c r="J235" s="29"/>
    </row>
    <row r="236" spans="9:10" x14ac:dyDescent="0.3">
      <c r="I236" s="29"/>
      <c r="J236" s="29"/>
    </row>
    <row r="237" spans="9:10" x14ac:dyDescent="0.3">
      <c r="I237" s="29"/>
      <c r="J237" s="29"/>
    </row>
    <row r="238" spans="9:10" x14ac:dyDescent="0.3">
      <c r="I238" s="29"/>
      <c r="J238" s="29"/>
    </row>
    <row r="239" spans="9:10" x14ac:dyDescent="0.3">
      <c r="I239" s="29"/>
      <c r="J239" s="29"/>
    </row>
    <row r="240" spans="9:10" x14ac:dyDescent="0.3">
      <c r="I240" s="29"/>
      <c r="J240" s="29"/>
    </row>
    <row r="241" spans="9:10" x14ac:dyDescent="0.3">
      <c r="I241" s="29"/>
      <c r="J241" s="29"/>
    </row>
    <row r="242" spans="9:10" x14ac:dyDescent="0.3">
      <c r="I242" s="29"/>
      <c r="J242" s="29"/>
    </row>
    <row r="243" spans="9:10" x14ac:dyDescent="0.3">
      <c r="I243" s="29"/>
      <c r="J243" s="29"/>
    </row>
    <row r="244" spans="9:10" x14ac:dyDescent="0.3">
      <c r="I244" s="29"/>
      <c r="J244" s="29"/>
    </row>
    <row r="245" spans="9:10" x14ac:dyDescent="0.3">
      <c r="I245" s="29"/>
      <c r="J245" s="29"/>
    </row>
    <row r="246" spans="9:10" x14ac:dyDescent="0.3">
      <c r="I246" s="29"/>
      <c r="J246" s="29"/>
    </row>
    <row r="247" spans="9:10" x14ac:dyDescent="0.3">
      <c r="I247" s="29"/>
      <c r="J247" s="29"/>
    </row>
    <row r="248" spans="9:10" x14ac:dyDescent="0.3">
      <c r="I248" s="29"/>
      <c r="J248" s="29"/>
    </row>
    <row r="249" spans="9:10" x14ac:dyDescent="0.3">
      <c r="I249" s="29"/>
      <c r="J249" s="29"/>
    </row>
    <row r="250" spans="9:10" x14ac:dyDescent="0.3">
      <c r="I250" s="29"/>
      <c r="J250" s="29"/>
    </row>
    <row r="251" spans="9:10" x14ac:dyDescent="0.3">
      <c r="I251" s="29"/>
      <c r="J251" s="29"/>
    </row>
    <row r="252" spans="9:10" x14ac:dyDescent="0.3">
      <c r="I252" s="29"/>
      <c r="J252" s="29"/>
    </row>
    <row r="253" spans="9:10" x14ac:dyDescent="0.3">
      <c r="I253" s="29"/>
      <c r="J253" s="29"/>
    </row>
    <row r="254" spans="9:10" x14ac:dyDescent="0.3">
      <c r="I254" s="29"/>
      <c r="J254" s="29"/>
    </row>
    <row r="255" spans="9:10" x14ac:dyDescent="0.3">
      <c r="I255" s="29"/>
      <c r="J255" s="29"/>
    </row>
    <row r="256" spans="9:10" x14ac:dyDescent="0.3">
      <c r="I256" s="29"/>
      <c r="J256" s="29"/>
    </row>
    <row r="257" spans="9:10" x14ac:dyDescent="0.3">
      <c r="I257" s="29"/>
      <c r="J257" s="29"/>
    </row>
    <row r="258" spans="9:10" x14ac:dyDescent="0.3">
      <c r="I258" s="29"/>
      <c r="J258" s="29"/>
    </row>
    <row r="259" spans="9:10" x14ac:dyDescent="0.3">
      <c r="I259" s="29"/>
      <c r="J259" s="29"/>
    </row>
    <row r="260" spans="9:10" x14ac:dyDescent="0.3">
      <c r="I260" s="29"/>
      <c r="J260" s="29"/>
    </row>
    <row r="261" spans="9:10" x14ac:dyDescent="0.3">
      <c r="I261" s="29"/>
      <c r="J261" s="29"/>
    </row>
    <row r="262" spans="9:10" x14ac:dyDescent="0.3">
      <c r="I262" s="29"/>
      <c r="J262" s="29"/>
    </row>
    <row r="263" spans="9:10" x14ac:dyDescent="0.3">
      <c r="I263" s="29"/>
      <c r="J263" s="29"/>
    </row>
    <row r="264" spans="9:10" x14ac:dyDescent="0.3">
      <c r="I264" s="29"/>
      <c r="J264" s="29"/>
    </row>
    <row r="265" spans="9:10" x14ac:dyDescent="0.3">
      <c r="I265" s="29"/>
      <c r="J265" s="29"/>
    </row>
    <row r="266" spans="9:10" x14ac:dyDescent="0.3">
      <c r="I266" s="29"/>
      <c r="J266" s="29"/>
    </row>
    <row r="267" spans="9:10" x14ac:dyDescent="0.3">
      <c r="I267" s="29"/>
      <c r="J267" s="29"/>
    </row>
    <row r="268" spans="9:10" x14ac:dyDescent="0.3">
      <c r="I268" s="29"/>
      <c r="J268" s="29"/>
    </row>
    <row r="269" spans="9:10" x14ac:dyDescent="0.3">
      <c r="I269" s="29"/>
      <c r="J269" s="29"/>
    </row>
    <row r="270" spans="9:10" x14ac:dyDescent="0.3">
      <c r="I270" s="29"/>
      <c r="J270" s="29"/>
    </row>
    <row r="271" spans="9:10" x14ac:dyDescent="0.3">
      <c r="I271" s="29"/>
      <c r="J271" s="29"/>
    </row>
    <row r="272" spans="9:10" x14ac:dyDescent="0.3">
      <c r="I272" s="29"/>
      <c r="J272" s="29"/>
    </row>
    <row r="273" spans="9:10" x14ac:dyDescent="0.3">
      <c r="I273" s="29"/>
      <c r="J273" s="29"/>
    </row>
    <row r="274" spans="9:10" x14ac:dyDescent="0.3">
      <c r="I274" s="29"/>
      <c r="J274" s="29"/>
    </row>
    <row r="275" spans="9:10" x14ac:dyDescent="0.3">
      <c r="I275" s="29"/>
      <c r="J275" s="29"/>
    </row>
    <row r="276" spans="9:10" x14ac:dyDescent="0.3">
      <c r="I276" s="29"/>
      <c r="J276" s="29"/>
    </row>
    <row r="277" spans="9:10" x14ac:dyDescent="0.3">
      <c r="I277" s="29"/>
      <c r="J277" s="29"/>
    </row>
    <row r="278" spans="9:10" x14ac:dyDescent="0.3">
      <c r="I278" s="29"/>
      <c r="J278" s="29"/>
    </row>
    <row r="279" spans="9:10" x14ac:dyDescent="0.3">
      <c r="I279" s="29"/>
      <c r="J279" s="29"/>
    </row>
    <row r="280" spans="9:10" x14ac:dyDescent="0.3">
      <c r="I280" s="29"/>
      <c r="J280" s="29"/>
    </row>
    <row r="281" spans="9:10" x14ac:dyDescent="0.3">
      <c r="I281" s="29"/>
      <c r="J281" s="29"/>
    </row>
    <row r="282" spans="9:10" x14ac:dyDescent="0.3">
      <c r="I282" s="29"/>
      <c r="J282" s="29"/>
    </row>
    <row r="283" spans="9:10" x14ac:dyDescent="0.3">
      <c r="I283" s="29"/>
      <c r="J283" s="29"/>
    </row>
    <row r="284" spans="9:10" x14ac:dyDescent="0.3">
      <c r="I284" s="29"/>
      <c r="J284" s="29"/>
    </row>
    <row r="285" spans="9:10" x14ac:dyDescent="0.3">
      <c r="I285" s="29"/>
      <c r="J285" s="29"/>
    </row>
    <row r="286" spans="9:10" x14ac:dyDescent="0.3">
      <c r="I286" s="29"/>
      <c r="J286" s="29"/>
    </row>
    <row r="287" spans="9:10" x14ac:dyDescent="0.3">
      <c r="I287" s="29"/>
      <c r="J287" s="29"/>
    </row>
    <row r="288" spans="9:10" x14ac:dyDescent="0.3">
      <c r="I288" s="29"/>
      <c r="J288" s="29"/>
    </row>
    <row r="289" spans="9:10" x14ac:dyDescent="0.3">
      <c r="I289" s="29"/>
      <c r="J289" s="29"/>
    </row>
    <row r="290" spans="9:10" x14ac:dyDescent="0.3">
      <c r="I290" s="29"/>
      <c r="J290" s="29"/>
    </row>
    <row r="291" spans="9:10" x14ac:dyDescent="0.3">
      <c r="I291" s="29"/>
      <c r="J291" s="29"/>
    </row>
  </sheetData>
  <autoFilter ref="A2:AM291" xr:uid="{00000000-0001-0000-0000-000000000000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692A-04B3-414C-BF5D-1C66960F07AE}">
  <dimension ref="A1:AM293"/>
  <sheetViews>
    <sheetView topLeftCell="H1" zoomScale="85" zoomScaleNormal="85" workbookViewId="0">
      <selection activeCell="C290" sqref="C290"/>
    </sheetView>
  </sheetViews>
  <sheetFormatPr defaultRowHeight="17.25" x14ac:dyDescent="0.3"/>
  <cols>
    <col min="1" max="3" width="12.125" style="3" customWidth="1"/>
    <col min="4" max="4" width="37.875" style="3" bestFit="1" customWidth="1"/>
    <col min="5" max="5" width="12.75" style="3" customWidth="1"/>
    <col min="6" max="6" width="14.375" style="3" customWidth="1"/>
    <col min="7" max="7" width="9.75" style="12" bestFit="1" customWidth="1"/>
    <col min="8" max="8" width="15.375" style="12" customWidth="1"/>
    <col min="9" max="10" width="14.375" style="3" customWidth="1"/>
    <col min="11" max="11" width="12.125" style="3" customWidth="1"/>
    <col min="12" max="12" width="17.75" style="3" customWidth="1"/>
    <col min="13" max="13" width="16.75" style="3" bestFit="1" customWidth="1"/>
    <col min="14" max="14" width="65.875" style="3" bestFit="1" customWidth="1"/>
    <col min="15" max="15" width="12.125" style="3" customWidth="1"/>
    <col min="16" max="18" width="17.75" style="3" customWidth="1"/>
    <col min="19" max="19" width="14.375" style="3" customWidth="1"/>
    <col min="20" max="20" width="88.625" style="3" bestFit="1" customWidth="1"/>
    <col min="21" max="23" width="17.75" style="3" customWidth="1"/>
    <col min="24" max="24" width="14.375" style="3" customWidth="1"/>
    <col min="25" max="25" width="17.75" style="3" customWidth="1"/>
    <col min="26" max="26" width="29" style="3" customWidth="1"/>
    <col min="27" max="27" width="14.375" style="3" customWidth="1"/>
    <col min="28" max="28" width="17.75" style="3" customWidth="1"/>
    <col min="29" max="29" width="29" style="3" customWidth="1"/>
    <col min="30" max="30" width="20.875" style="3" customWidth="1"/>
    <col min="31" max="34" width="17.75" style="3" customWidth="1"/>
    <col min="35" max="35" width="14.375" style="3" customWidth="1"/>
    <col min="36" max="36" width="17.75" style="3" customWidth="1"/>
    <col min="37" max="37" width="14.375" style="3" customWidth="1"/>
    <col min="38" max="38" width="17.75" style="3" customWidth="1"/>
    <col min="39" max="39" width="34.625" style="3" customWidth="1"/>
    <col min="40" max="16384" width="9" style="3"/>
  </cols>
  <sheetData>
    <row r="1" spans="1:39" x14ac:dyDescent="0.3">
      <c r="AC1" s="25">
        <v>2</v>
      </c>
      <c r="AD1" s="25">
        <v>3</v>
      </c>
      <c r="AE1" s="25"/>
      <c r="AF1" s="25">
        <v>4</v>
      </c>
      <c r="AG1" s="25">
        <v>5</v>
      </c>
      <c r="AH1" s="25"/>
      <c r="AI1" s="25">
        <v>8</v>
      </c>
      <c r="AJ1" s="25">
        <v>9</v>
      </c>
      <c r="AK1" s="25">
        <v>10</v>
      </c>
      <c r="AL1" s="25">
        <v>11</v>
      </c>
      <c r="AM1" s="25">
        <v>13</v>
      </c>
    </row>
    <row r="2" spans="1:39" x14ac:dyDescent="0.3">
      <c r="A2" s="26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7" t="s">
        <v>6</v>
      </c>
      <c r="H2" s="27" t="s">
        <v>7</v>
      </c>
      <c r="I2" s="26" t="s">
        <v>8</v>
      </c>
      <c r="J2" s="26" t="s">
        <v>9</v>
      </c>
      <c r="K2" s="26" t="s">
        <v>10</v>
      </c>
      <c r="L2" s="26" t="s">
        <v>11</v>
      </c>
      <c r="M2" s="26" t="s">
        <v>12</v>
      </c>
      <c r="N2" s="26" t="s">
        <v>13</v>
      </c>
      <c r="O2" s="26" t="s">
        <v>14</v>
      </c>
      <c r="P2" s="26" t="s">
        <v>15</v>
      </c>
      <c r="Q2" s="26" t="s">
        <v>16</v>
      </c>
      <c r="R2" s="26" t="s">
        <v>17</v>
      </c>
      <c r="S2" s="26" t="s">
        <v>18</v>
      </c>
      <c r="T2" s="26" t="s">
        <v>19</v>
      </c>
      <c r="U2" s="26" t="s">
        <v>20</v>
      </c>
      <c r="V2" s="26" t="s">
        <v>21</v>
      </c>
      <c r="W2" s="26" t="s">
        <v>22</v>
      </c>
      <c r="X2" s="26" t="s">
        <v>23</v>
      </c>
      <c r="Y2" s="26" t="s">
        <v>24</v>
      </c>
      <c r="Z2" s="26" t="s">
        <v>25</v>
      </c>
      <c r="AA2" s="26" t="s">
        <v>26</v>
      </c>
      <c r="AB2" s="26" t="s">
        <v>27</v>
      </c>
      <c r="AC2" s="33" t="s">
        <v>28</v>
      </c>
      <c r="AD2" s="33" t="s">
        <v>29</v>
      </c>
      <c r="AE2" s="26" t="s">
        <v>30</v>
      </c>
      <c r="AF2" s="33" t="s">
        <v>31</v>
      </c>
      <c r="AG2" s="33" t="s">
        <v>32</v>
      </c>
      <c r="AH2" s="26" t="s">
        <v>33</v>
      </c>
      <c r="AI2" s="33" t="s">
        <v>34</v>
      </c>
      <c r="AJ2" s="33" t="s">
        <v>35</v>
      </c>
      <c r="AK2" s="33" t="s">
        <v>36</v>
      </c>
      <c r="AL2" s="33" t="s">
        <v>37</v>
      </c>
      <c r="AM2" s="33" t="s">
        <v>38</v>
      </c>
    </row>
    <row r="3" spans="1:39" x14ac:dyDescent="0.3">
      <c r="A3" s="28" t="s">
        <v>2789</v>
      </c>
      <c r="B3" s="3">
        <v>2025</v>
      </c>
      <c r="C3" s="3" t="s">
        <v>3535</v>
      </c>
      <c r="D3" s="3" t="s">
        <v>71</v>
      </c>
      <c r="E3" s="3" t="s">
        <v>3536</v>
      </c>
      <c r="F3" s="3" t="s">
        <v>3425</v>
      </c>
      <c r="G3" s="12">
        <v>1</v>
      </c>
      <c r="H3" s="12" t="s">
        <v>44</v>
      </c>
      <c r="I3" s="34">
        <v>45890</v>
      </c>
      <c r="J3" s="34">
        <v>45890</v>
      </c>
      <c r="L3" s="3" t="s">
        <v>73</v>
      </c>
      <c r="M3" s="3" t="s">
        <v>3536</v>
      </c>
      <c r="N3" s="3" t="s">
        <v>2792</v>
      </c>
      <c r="O3" s="3">
        <v>130</v>
      </c>
      <c r="P3" s="3">
        <v>1318628077</v>
      </c>
      <c r="Q3" s="3">
        <v>13186280770</v>
      </c>
      <c r="R3" s="3" t="s">
        <v>2793</v>
      </c>
      <c r="T3" s="3" t="s">
        <v>2794</v>
      </c>
      <c r="U3" s="3" t="s">
        <v>2795</v>
      </c>
      <c r="V3" s="3" t="s">
        <v>2796</v>
      </c>
      <c r="W3" s="3" t="s">
        <v>2797</v>
      </c>
      <c r="X3" s="3" t="s">
        <v>2798</v>
      </c>
      <c r="Y3" s="3" t="s">
        <v>2799</v>
      </c>
      <c r="Z3" s="3" t="s">
        <v>2800</v>
      </c>
      <c r="AA3" s="29">
        <v>45918</v>
      </c>
      <c r="AB3" s="3" t="s">
        <v>73</v>
      </c>
      <c r="AC3" s="3" t="str">
        <f>VLOOKUP(A3,'[1]계산서(25하-평택)'!W$3:AI$11,2,FALSE)</f>
        <v>willggg@naturalsolution.co.kr</v>
      </c>
      <c r="AD3" s="29">
        <f>VLOOKUP(A3,'[1]계산서(25하-평택)'!W$3:AI$11,3,FALSE)</f>
        <v>45890</v>
      </c>
      <c r="AE3" s="3">
        <f t="shared" ref="AE3:AE11" si="0">AF3+AG3</f>
        <v>2500000</v>
      </c>
      <c r="AF3" s="3">
        <f>VLOOKUP(A3,'[1]계산서(25하-평택)'!W$3:AI$11,4,FALSE)</f>
        <v>2500000</v>
      </c>
      <c r="AG3" s="3">
        <f>VLOOKUP(A3,'[1]계산서(25하-평택)'!W$3:AI$11,5,FALSE)</f>
        <v>0</v>
      </c>
      <c r="AH3" s="3">
        <f>AJ3+AL3</f>
        <v>2500000</v>
      </c>
      <c r="AI3" s="29">
        <f>VLOOKUP(A3,'[1]계산서(25하-평택)'!W$3:AI$11,8,FALSE)</f>
        <v>45898</v>
      </c>
      <c r="AJ3" s="3">
        <f>VLOOKUP(A3,'[1]계산서(25하-평택)'!W$3:AI$11,9,FALSE)</f>
        <v>2500000</v>
      </c>
      <c r="AK3" s="29" t="str">
        <f>VLOOKUP(A3,'[1]계산서(25하-평택)'!W$3:AI$11,10,FALSE)</f>
        <v>국고 X</v>
      </c>
      <c r="AL3" s="3">
        <f>VLOOKUP(A3,'[1]계산서(25하-평택)'!W$3:AI$11,11,FALSE)</f>
        <v>0</v>
      </c>
    </row>
    <row r="4" spans="1:39" x14ac:dyDescent="0.3">
      <c r="A4" s="28" t="s">
        <v>2801</v>
      </c>
      <c r="B4" s="3">
        <v>2025</v>
      </c>
      <c r="C4" s="3" t="s">
        <v>3535</v>
      </c>
      <c r="D4" s="3" t="s">
        <v>71</v>
      </c>
      <c r="E4" s="3" t="s">
        <v>3536</v>
      </c>
      <c r="F4" s="3" t="s">
        <v>3426</v>
      </c>
      <c r="G4" s="12">
        <v>2</v>
      </c>
      <c r="H4" s="12" t="s">
        <v>60</v>
      </c>
      <c r="I4" s="34">
        <v>45890</v>
      </c>
      <c r="J4" s="34">
        <v>45890</v>
      </c>
      <c r="L4" s="3" t="s">
        <v>97</v>
      </c>
      <c r="M4" s="3" t="s">
        <v>3536</v>
      </c>
      <c r="N4" s="3" t="s">
        <v>2803</v>
      </c>
      <c r="O4" s="3">
        <v>9</v>
      </c>
      <c r="P4" s="3">
        <v>3258101192</v>
      </c>
      <c r="Q4" s="3">
        <v>32581011920</v>
      </c>
      <c r="R4" s="3" t="s">
        <v>2804</v>
      </c>
      <c r="T4" s="3" t="s">
        <v>2794</v>
      </c>
      <c r="U4" s="3" t="s">
        <v>2795</v>
      </c>
      <c r="V4" s="3" t="s">
        <v>2796</v>
      </c>
      <c r="W4" s="3" t="s">
        <v>2797</v>
      </c>
      <c r="X4" s="3" t="s">
        <v>2798</v>
      </c>
      <c r="Y4" s="3" t="s">
        <v>2799</v>
      </c>
      <c r="Z4" s="3" t="s">
        <v>2800</v>
      </c>
      <c r="AA4" s="29">
        <v>45918</v>
      </c>
      <c r="AB4" s="3" t="s">
        <v>73</v>
      </c>
      <c r="AC4" s="3" t="str">
        <f>VLOOKUP(A4,'[1]계산서(25하-평택)'!W$3:AI$11,2,FALSE)</f>
        <v>willggg@naturalsolution.co.kr</v>
      </c>
      <c r="AD4" s="29">
        <f>VLOOKUP(A4,'[1]계산서(25하-평택)'!W$3:AI$11,3,FALSE)</f>
        <v>45890</v>
      </c>
      <c r="AE4" s="3">
        <f t="shared" si="0"/>
        <v>1800000</v>
      </c>
      <c r="AF4" s="3">
        <f>VLOOKUP(A4,'[1]계산서(25하-평택)'!W$3:AI$11,4,FALSE)</f>
        <v>1400000</v>
      </c>
      <c r="AG4" s="3">
        <f>VLOOKUP(A4,'[1]계산서(25하-평택)'!W$3:AI$11,5,FALSE)</f>
        <v>400000</v>
      </c>
      <c r="AH4" s="3">
        <f t="shared" ref="AH4:AH11" si="1">AJ4+AL4</f>
        <v>1800000</v>
      </c>
      <c r="AI4" s="29">
        <f>VLOOKUP(A4,'[1]계산서(25하-평택)'!W$3:AI$11,8,FALSE)</f>
        <v>45898</v>
      </c>
      <c r="AJ4" s="3">
        <f>VLOOKUP(A4,'[1]계산서(25하-평택)'!W$3:AI$11,9,FALSE)</f>
        <v>1400000</v>
      </c>
      <c r="AK4" s="29">
        <f>VLOOKUP(A4,'[1]계산서(25하-평택)'!W$3:AI$11,10,FALSE)</f>
        <v>45944</v>
      </c>
      <c r="AL4" s="3">
        <f>VLOOKUP(A4,'[1]계산서(25하-평택)'!W$3:AI$11,11,FALSE)</f>
        <v>400000</v>
      </c>
    </row>
    <row r="5" spans="1:39" x14ac:dyDescent="0.3">
      <c r="A5" s="28" t="s">
        <v>3427</v>
      </c>
      <c r="B5" s="3">
        <v>2025</v>
      </c>
      <c r="C5" s="3" t="s">
        <v>3535</v>
      </c>
      <c r="D5" s="3" t="s">
        <v>3428</v>
      </c>
      <c r="E5" s="3" t="s">
        <v>3536</v>
      </c>
      <c r="F5" s="3" t="s">
        <v>3429</v>
      </c>
      <c r="G5" s="12">
        <v>3</v>
      </c>
      <c r="H5" s="12" t="s">
        <v>83</v>
      </c>
      <c r="I5" s="34">
        <v>45950</v>
      </c>
      <c r="J5" s="34">
        <v>45950</v>
      </c>
      <c r="L5" s="3" t="s">
        <v>181</v>
      </c>
      <c r="M5" s="3" t="s">
        <v>3536</v>
      </c>
      <c r="N5" s="3" t="s">
        <v>3430</v>
      </c>
      <c r="O5" s="3">
        <v>5</v>
      </c>
      <c r="P5" s="3">
        <v>3128169949</v>
      </c>
      <c r="Q5" s="3">
        <v>31281699490</v>
      </c>
      <c r="R5" s="3" t="s">
        <v>656</v>
      </c>
      <c r="T5" s="3" t="s">
        <v>3431</v>
      </c>
      <c r="U5" s="3" t="s">
        <v>658</v>
      </c>
      <c r="V5" s="3" t="s">
        <v>3432</v>
      </c>
      <c r="W5" s="3" t="s">
        <v>659</v>
      </c>
      <c r="X5" s="3" t="s">
        <v>388</v>
      </c>
      <c r="Y5" s="3" t="s">
        <v>660</v>
      </c>
      <c r="Z5" s="3" t="s">
        <v>661</v>
      </c>
      <c r="AA5" s="29">
        <v>45978</v>
      </c>
      <c r="AB5" s="3" t="s">
        <v>181</v>
      </c>
      <c r="AC5" s="3" t="str">
        <f>VLOOKUP(A5,'[1]계산서(25하-평택)'!W$3:AI$11,2,FALSE)</f>
        <v>gy5230@naver.com</v>
      </c>
      <c r="AD5" s="29">
        <f>VLOOKUP(A5,'[1]계산서(25하-평택)'!W$3:AI$11,3,FALSE)</f>
        <v>45994</v>
      </c>
      <c r="AE5" s="3">
        <f t="shared" si="0"/>
        <v>500000</v>
      </c>
      <c r="AF5" s="3">
        <f>VLOOKUP(A5,'[1]계산서(25하-평택)'!W$3:AI$11,4,FALSE)</f>
        <v>500000</v>
      </c>
      <c r="AG5" s="3">
        <f>VLOOKUP(A5,'[1]계산서(25하-평택)'!W$3:AI$11,5,FALSE)</f>
        <v>0</v>
      </c>
      <c r="AH5" s="3">
        <f t="shared" si="1"/>
        <v>500000</v>
      </c>
      <c r="AI5" s="29">
        <f>VLOOKUP(A5,'[1]계산서(25하-평택)'!W$3:AI$11,8,FALSE)</f>
        <v>46017</v>
      </c>
      <c r="AJ5" s="3">
        <f>VLOOKUP(A5,'[1]계산서(25하-평택)'!W$3:AI$11,9,FALSE)</f>
        <v>500000</v>
      </c>
      <c r="AK5" s="29" t="str">
        <f>VLOOKUP(A5,'[1]계산서(25하-평택)'!W$3:AI$11,10,FALSE)</f>
        <v>국고 X</v>
      </c>
      <c r="AL5" s="3">
        <f>VLOOKUP(A5,'[1]계산서(25하-평택)'!W$3:AI$11,11,FALSE)</f>
        <v>0</v>
      </c>
    </row>
    <row r="6" spans="1:39" x14ac:dyDescent="0.3">
      <c r="A6" s="28" t="s">
        <v>3433</v>
      </c>
      <c r="B6" s="3">
        <v>2025</v>
      </c>
      <c r="C6" s="3" t="s">
        <v>3535</v>
      </c>
      <c r="D6" s="3" t="s">
        <v>3428</v>
      </c>
      <c r="E6" s="3" t="s">
        <v>3536</v>
      </c>
      <c r="F6" s="3" t="s">
        <v>3434</v>
      </c>
      <c r="G6" s="12">
        <v>4</v>
      </c>
      <c r="H6" s="12" t="s">
        <v>96</v>
      </c>
      <c r="I6" s="34">
        <v>45954</v>
      </c>
      <c r="J6" s="34">
        <v>45954</v>
      </c>
      <c r="L6" s="3" t="s">
        <v>61</v>
      </c>
      <c r="M6" s="3" t="s">
        <v>3536</v>
      </c>
      <c r="N6" s="3" t="s">
        <v>3435</v>
      </c>
      <c r="O6" s="3">
        <v>37</v>
      </c>
      <c r="P6" s="3">
        <v>1258188075</v>
      </c>
      <c r="Q6" s="3">
        <v>12581880750</v>
      </c>
      <c r="R6" s="3" t="s">
        <v>3436</v>
      </c>
      <c r="T6" s="3" t="s">
        <v>3437</v>
      </c>
      <c r="U6" s="3" t="s">
        <v>3438</v>
      </c>
      <c r="V6" s="3" t="s">
        <v>3439</v>
      </c>
      <c r="W6" s="3" t="s">
        <v>3440</v>
      </c>
      <c r="X6" s="3" t="s">
        <v>224</v>
      </c>
      <c r="Y6" s="3" t="s">
        <v>3441</v>
      </c>
      <c r="Z6" s="3" t="s">
        <v>3442</v>
      </c>
      <c r="AA6" s="29">
        <v>45966</v>
      </c>
      <c r="AB6" s="3" t="s">
        <v>73</v>
      </c>
      <c r="AC6" s="3" t="str">
        <f>VLOOKUP(A6,'[1]계산서(25하-평택)'!W$3:AI$11,2,FALSE)</f>
        <v>hosan01@nate.com</v>
      </c>
      <c r="AD6" s="29">
        <f>VLOOKUP(A6,'[1]계산서(25하-평택)'!W$3:AI$11,3,FALSE)</f>
        <v>45972</v>
      </c>
      <c r="AE6" s="3">
        <f t="shared" si="0"/>
        <v>1400000</v>
      </c>
      <c r="AF6" s="3">
        <f>VLOOKUP(A6,'[1]계산서(25하-평택)'!W$3:AI$11,4,FALSE)</f>
        <v>400000</v>
      </c>
      <c r="AG6" s="3">
        <f>VLOOKUP(A6,'[1]계산서(25하-평택)'!W$3:AI$11,5,FALSE)</f>
        <v>1000000</v>
      </c>
      <c r="AH6" s="3">
        <f t="shared" si="1"/>
        <v>1400000</v>
      </c>
      <c r="AI6" s="29">
        <f>VLOOKUP(A6,'[1]계산서(25하-평택)'!W$3:AI$11,8,FALSE)</f>
        <v>45978</v>
      </c>
      <c r="AJ6" s="3">
        <f>VLOOKUP(A6,'[1]계산서(25하-평택)'!W$3:AI$11,9,FALSE)</f>
        <v>400000</v>
      </c>
      <c r="AK6" s="29">
        <f>VLOOKUP(A6,'[1]계산서(25하-평택)'!W$3:AI$11,10,FALSE)</f>
        <v>46009</v>
      </c>
      <c r="AL6" s="3">
        <f>VLOOKUP(A6,'[1]계산서(25하-평택)'!W$3:AI$11,11,FALSE)</f>
        <v>1000000</v>
      </c>
    </row>
    <row r="7" spans="1:39" x14ac:dyDescent="0.3">
      <c r="A7" s="28" t="s">
        <v>2829</v>
      </c>
      <c r="B7" s="3">
        <v>2025</v>
      </c>
      <c r="C7" s="3" t="s">
        <v>3535</v>
      </c>
      <c r="D7" s="3" t="s">
        <v>71</v>
      </c>
      <c r="E7" s="3" t="s">
        <v>3536</v>
      </c>
      <c r="F7" s="3" t="s">
        <v>3444</v>
      </c>
      <c r="G7" s="12">
        <v>5</v>
      </c>
      <c r="H7" s="12" t="s">
        <v>106</v>
      </c>
      <c r="I7" s="34">
        <v>45957</v>
      </c>
      <c r="J7" s="34">
        <v>45957</v>
      </c>
      <c r="L7" s="3" t="s">
        <v>218</v>
      </c>
      <c r="M7" s="3" t="s">
        <v>3536</v>
      </c>
      <c r="N7" s="3" t="s">
        <v>2831</v>
      </c>
      <c r="O7" s="3">
        <v>19</v>
      </c>
      <c r="P7" s="3">
        <v>1258134604</v>
      </c>
      <c r="Q7" s="3">
        <v>12581346040</v>
      </c>
      <c r="R7" s="3" t="s">
        <v>571</v>
      </c>
      <c r="T7" s="3" t="s">
        <v>2832</v>
      </c>
      <c r="U7" s="3" t="s">
        <v>573</v>
      </c>
      <c r="V7" s="3" t="s">
        <v>2833</v>
      </c>
      <c r="W7" s="3" t="s">
        <v>574</v>
      </c>
      <c r="X7" s="3" t="s">
        <v>178</v>
      </c>
      <c r="Y7" s="3" t="s">
        <v>575</v>
      </c>
      <c r="Z7" s="3" t="s">
        <v>576</v>
      </c>
      <c r="AA7" s="29">
        <v>45986</v>
      </c>
      <c r="AB7" s="3" t="s">
        <v>218</v>
      </c>
      <c r="AC7" s="3" t="str">
        <f>VLOOKUP(A7,'[1]계산서(25하-평택)'!W$3:AI$11,2,FALSE)</f>
        <v>ssw3147@nate.com</v>
      </c>
      <c r="AD7" s="29">
        <f>VLOOKUP(A7,'[1]계산서(25하-평택)'!W$3:AI$11,3,FALSE)</f>
        <v>45989</v>
      </c>
      <c r="AE7" s="3">
        <f t="shared" si="0"/>
        <v>600000</v>
      </c>
      <c r="AF7" s="3">
        <f>VLOOKUP(A7,'[1]계산서(25하-평택)'!W$3:AI$11,4,FALSE)</f>
        <v>600000</v>
      </c>
      <c r="AG7" s="3">
        <f>VLOOKUP(A7,'[1]계산서(25하-평택)'!W$3:AI$11,5,FALSE)</f>
        <v>0</v>
      </c>
      <c r="AH7" s="3">
        <f t="shared" si="1"/>
        <v>600000</v>
      </c>
      <c r="AI7" s="29">
        <f>VLOOKUP(A7,'[1]계산서(25하-평택)'!W$3:AI$11,8,FALSE)</f>
        <v>45992</v>
      </c>
      <c r="AJ7" s="3">
        <f>VLOOKUP(A7,'[1]계산서(25하-평택)'!W$3:AI$11,9,FALSE)</f>
        <v>600000</v>
      </c>
      <c r="AK7" s="29" t="str">
        <f>VLOOKUP(A7,'[1]계산서(25하-평택)'!W$3:AI$11,10,FALSE)</f>
        <v>국고 X</v>
      </c>
      <c r="AL7" s="3">
        <f>VLOOKUP(A7,'[1]계산서(25하-평택)'!W$3:AI$11,11,FALSE)</f>
        <v>0</v>
      </c>
    </row>
    <row r="8" spans="1:39" x14ac:dyDescent="0.3">
      <c r="A8" s="28" t="s">
        <v>2845</v>
      </c>
      <c r="B8" s="3">
        <v>2025</v>
      </c>
      <c r="C8" s="3" t="s">
        <v>3535</v>
      </c>
      <c r="D8" s="3" t="s">
        <v>71</v>
      </c>
      <c r="E8" s="3" t="s">
        <v>3536</v>
      </c>
      <c r="F8" s="3" t="s">
        <v>3445</v>
      </c>
      <c r="G8" s="12">
        <v>6</v>
      </c>
      <c r="H8" s="12" t="s">
        <v>117</v>
      </c>
      <c r="I8" s="34">
        <v>45959</v>
      </c>
      <c r="J8" s="34">
        <v>45959</v>
      </c>
      <c r="L8" s="3" t="s">
        <v>3446</v>
      </c>
      <c r="M8" s="3" t="s">
        <v>3536</v>
      </c>
      <c r="N8" s="3" t="s">
        <v>2848</v>
      </c>
      <c r="O8" s="3">
        <v>89</v>
      </c>
      <c r="P8" s="3">
        <v>1258300530</v>
      </c>
      <c r="Q8" s="3">
        <v>90700144261</v>
      </c>
      <c r="R8" s="3" t="s">
        <v>2849</v>
      </c>
      <c r="T8" s="3" t="s">
        <v>2850</v>
      </c>
      <c r="U8" s="3" t="s">
        <v>2851</v>
      </c>
      <c r="V8" s="3">
        <v>0</v>
      </c>
      <c r="W8" s="3" t="s">
        <v>2852</v>
      </c>
      <c r="X8" s="3" t="s">
        <v>947</v>
      </c>
      <c r="Y8" s="3" t="s">
        <v>2853</v>
      </c>
      <c r="Z8" s="3" t="s">
        <v>2854</v>
      </c>
      <c r="AA8" s="29">
        <v>45988</v>
      </c>
      <c r="AB8" s="3" t="s">
        <v>73</v>
      </c>
      <c r="AC8" s="3" t="str">
        <f>VLOOKUP(A8,'[1]계산서(25하-평택)'!W$3:AI$11,2,FALSE)</f>
        <v>나라장터</v>
      </c>
      <c r="AD8" s="29">
        <f>VLOOKUP(A8,'[1]계산서(25하-평택)'!W$3:AI$11,3,FALSE)</f>
        <v>46001</v>
      </c>
      <c r="AE8" s="3">
        <f t="shared" si="0"/>
        <v>3400000</v>
      </c>
      <c r="AF8" s="3">
        <f>VLOOKUP(A8,'[1]계산서(25하-평택)'!W$3:AI$11,4,FALSE)</f>
        <v>3400000</v>
      </c>
      <c r="AG8" s="3">
        <f>VLOOKUP(A8,'[1]계산서(25하-평택)'!W$3:AI$11,5,FALSE)</f>
        <v>0</v>
      </c>
      <c r="AH8" s="3">
        <f t="shared" si="1"/>
        <v>3400000</v>
      </c>
      <c r="AI8" s="29">
        <f>VLOOKUP(A8,'[1]계산서(25하-평택)'!W$3:AI$11,8,FALSE)</f>
        <v>46007</v>
      </c>
      <c r="AJ8" s="3">
        <f>VLOOKUP(A8,'[1]계산서(25하-평택)'!W$3:AI$11,9,FALSE)</f>
        <v>3400000</v>
      </c>
      <c r="AK8" s="29" t="str">
        <f>VLOOKUP(A8,'[1]계산서(25하-평택)'!W$3:AI$11,10,FALSE)</f>
        <v>국고 X</v>
      </c>
      <c r="AL8" s="3">
        <f>VLOOKUP(A8,'[1]계산서(25하-평택)'!W$3:AI$11,11,FALSE)</f>
        <v>0</v>
      </c>
    </row>
    <row r="9" spans="1:39" x14ac:dyDescent="0.3">
      <c r="A9" s="28" t="s">
        <v>2805</v>
      </c>
      <c r="B9" s="3">
        <v>2025</v>
      </c>
      <c r="C9" s="3" t="s">
        <v>3535</v>
      </c>
      <c r="D9" s="3" t="s">
        <v>2911</v>
      </c>
      <c r="E9" s="3" t="s">
        <v>3536</v>
      </c>
      <c r="F9" s="3" t="s">
        <v>3447</v>
      </c>
      <c r="G9" s="12">
        <v>7</v>
      </c>
      <c r="H9" s="12" t="s">
        <v>128</v>
      </c>
      <c r="I9" s="34">
        <v>45972</v>
      </c>
      <c r="J9" s="34">
        <v>45972</v>
      </c>
      <c r="L9" s="3" t="s">
        <v>73</v>
      </c>
      <c r="M9" s="3" t="s">
        <v>3536</v>
      </c>
      <c r="N9" s="3" t="s">
        <v>2807</v>
      </c>
      <c r="O9" s="3">
        <v>15</v>
      </c>
      <c r="P9" s="3">
        <v>2298602864</v>
      </c>
      <c r="Q9" s="3">
        <v>22986028640</v>
      </c>
      <c r="R9" s="3" t="s">
        <v>2808</v>
      </c>
      <c r="T9" s="3" t="s">
        <v>2809</v>
      </c>
      <c r="U9" s="3" t="s">
        <v>2810</v>
      </c>
      <c r="V9" s="3">
        <v>0</v>
      </c>
      <c r="W9" s="3" t="s">
        <v>3448</v>
      </c>
      <c r="X9" s="3" t="s">
        <v>532</v>
      </c>
      <c r="Y9" s="3" t="s">
        <v>2812</v>
      </c>
      <c r="Z9" s="3" t="s">
        <v>3449</v>
      </c>
      <c r="AA9" s="29">
        <v>46000</v>
      </c>
      <c r="AB9" s="3" t="s">
        <v>73</v>
      </c>
      <c r="AC9" s="3" t="str">
        <f>VLOOKUP(A9,'[1]계산서(25하-평택)'!W$3:AI$11,2,FALSE)</f>
        <v>ava.lee@nylacast.com
Yena.Kim@nylacast.com</v>
      </c>
      <c r="AD9" s="29">
        <f>VLOOKUP(A9,'[1]계산서(25하-평택)'!W$3:AI$11,3,FALSE)</f>
        <v>46000</v>
      </c>
      <c r="AE9" s="3">
        <f t="shared" si="0"/>
        <v>1700000</v>
      </c>
      <c r="AF9" s="3">
        <f>VLOOKUP(A9,'[1]계산서(25하-평택)'!W$3:AI$11,4,FALSE)</f>
        <v>1300000</v>
      </c>
      <c r="AG9" s="3">
        <f>VLOOKUP(A9,'[1]계산서(25하-평택)'!W$3:AI$11,5,FALSE)</f>
        <v>400000</v>
      </c>
      <c r="AH9" s="3">
        <f t="shared" si="1"/>
        <v>1300000</v>
      </c>
      <c r="AI9" s="29">
        <f>VLOOKUP(A9,'[1]계산서(25하-평택)'!W$3:AI$11,8,FALSE)</f>
        <v>46010</v>
      </c>
      <c r="AJ9" s="3">
        <f>VLOOKUP(A9,'[1]계산서(25하-평택)'!W$3:AI$11,9,FALSE)</f>
        <v>1300000</v>
      </c>
      <c r="AK9" s="29"/>
      <c r="AL9" s="3">
        <f>VLOOKUP(A9,'[1]계산서(25하-평택)'!W$3:AI$11,11,FALSE)</f>
        <v>0</v>
      </c>
    </row>
    <row r="10" spans="1:39" x14ac:dyDescent="0.3">
      <c r="A10" s="28" t="s">
        <v>2864</v>
      </c>
      <c r="B10" s="3">
        <v>2025</v>
      </c>
      <c r="C10" s="3" t="s">
        <v>3535</v>
      </c>
      <c r="E10" s="3" t="s">
        <v>3536</v>
      </c>
      <c r="F10" s="3" t="s">
        <v>3451</v>
      </c>
      <c r="G10" s="12">
        <v>8</v>
      </c>
      <c r="H10" s="12" t="s">
        <v>139</v>
      </c>
      <c r="I10" s="34">
        <v>45975</v>
      </c>
      <c r="J10" s="34">
        <v>45975</v>
      </c>
      <c r="L10" s="3" t="s">
        <v>61</v>
      </c>
      <c r="M10" s="3" t="s">
        <v>3536</v>
      </c>
      <c r="N10" s="3" t="s">
        <v>2866</v>
      </c>
      <c r="O10" s="3">
        <v>15</v>
      </c>
      <c r="P10" s="3">
        <v>1838602229</v>
      </c>
      <c r="Q10" s="3">
        <v>92232429351</v>
      </c>
      <c r="R10" s="3" t="s">
        <v>865</v>
      </c>
      <c r="T10" s="3" t="s">
        <v>2867</v>
      </c>
      <c r="U10" s="3" t="s">
        <v>1160</v>
      </c>
      <c r="V10" s="3" t="s">
        <v>2868</v>
      </c>
      <c r="W10" s="3" t="s">
        <v>2869</v>
      </c>
      <c r="X10" s="3" t="s">
        <v>491</v>
      </c>
      <c r="Y10" s="3" t="s">
        <v>2870</v>
      </c>
      <c r="Z10" s="3" t="s">
        <v>859</v>
      </c>
      <c r="AA10" s="29">
        <v>45987</v>
      </c>
      <c r="AB10" s="3" t="s">
        <v>61</v>
      </c>
      <c r="AC10" s="3" t="str">
        <f>VLOOKUP(A10,'[1]계산서(25하-평택)'!W$3:AI$11,2,FALSE)</f>
        <v>sju04093@kdiwin.com</v>
      </c>
      <c r="AD10" s="29">
        <v>46013</v>
      </c>
      <c r="AE10" s="3">
        <f t="shared" si="0"/>
        <v>500000</v>
      </c>
      <c r="AF10" s="3">
        <f>VLOOKUP(A10,'[1]계산서(25하-평택)'!W$3:AI$11,4,FALSE)</f>
        <v>500000</v>
      </c>
      <c r="AG10" s="3">
        <f>VLOOKUP(A10,'[1]계산서(25하-평택)'!W$3:AI$11,5,FALSE)</f>
        <v>0</v>
      </c>
      <c r="AH10" s="3">
        <f t="shared" si="1"/>
        <v>0</v>
      </c>
      <c r="AI10" s="29">
        <f>VLOOKUP(A10,'[1]계산서(25하-평택)'!W$3:AI$11,8,FALSE)</f>
        <v>46013</v>
      </c>
      <c r="AJ10" s="3">
        <f>VLOOKUP(A10,'[1]계산서(25하-평택)'!W$3:AI$11,9,FALSE)</f>
        <v>0</v>
      </c>
      <c r="AK10" s="29" t="str">
        <f>VLOOKUP(A10,'[1]계산서(25하-평택)'!W$3:AI$11,10,FALSE)</f>
        <v>국고 X</v>
      </c>
      <c r="AL10" s="3">
        <f>VLOOKUP(A10,'[1]계산서(25하-평택)'!W$3:AI$11,11,FALSE)</f>
        <v>0</v>
      </c>
    </row>
    <row r="11" spans="1:39" x14ac:dyDescent="0.3">
      <c r="A11" s="28" t="s">
        <v>2834</v>
      </c>
      <c r="B11" s="3">
        <v>2025</v>
      </c>
      <c r="C11" s="3" t="s">
        <v>3535</v>
      </c>
      <c r="D11" s="3" t="s">
        <v>71</v>
      </c>
      <c r="E11" s="3" t="s">
        <v>3536</v>
      </c>
      <c r="F11" s="3" t="s">
        <v>3452</v>
      </c>
      <c r="G11" s="12">
        <v>9</v>
      </c>
      <c r="H11" s="12" t="s">
        <v>148</v>
      </c>
      <c r="I11" s="34">
        <v>46000</v>
      </c>
      <c r="J11" s="34">
        <v>46000</v>
      </c>
      <c r="L11" s="3" t="s">
        <v>73</v>
      </c>
      <c r="M11" s="3" t="s">
        <v>3536</v>
      </c>
      <c r="N11" s="3" t="s">
        <v>2837</v>
      </c>
      <c r="O11" s="3">
        <v>34</v>
      </c>
      <c r="P11" s="3">
        <v>1088201221</v>
      </c>
      <c r="Q11" s="3">
        <v>10882012210</v>
      </c>
      <c r="R11" s="3" t="s">
        <v>2838</v>
      </c>
      <c r="T11" s="3" t="s">
        <v>2839</v>
      </c>
      <c r="U11" s="3" t="s">
        <v>2840</v>
      </c>
      <c r="V11" s="3" t="s">
        <v>2841</v>
      </c>
      <c r="W11" s="3" t="s">
        <v>2842</v>
      </c>
      <c r="X11" s="3">
        <v>0</v>
      </c>
      <c r="Y11" s="3" t="s">
        <v>2843</v>
      </c>
      <c r="Z11" s="3" t="s">
        <v>2844</v>
      </c>
      <c r="AA11" s="29"/>
      <c r="AC11" s="3" t="str">
        <f>VLOOKUP(A11,'[1]계산서(25하-평택)'!W$3:AI$11,2,FALSE)</f>
        <v>tjryu@cau.ac.kr</v>
      </c>
      <c r="AD11" s="29"/>
      <c r="AE11" s="3">
        <f t="shared" si="0"/>
        <v>3000000</v>
      </c>
      <c r="AF11" s="3">
        <f>VLOOKUP(A11,'[1]계산서(25하-평택)'!W$3:AI$11,4,FALSE)</f>
        <v>3000000</v>
      </c>
      <c r="AG11" s="3">
        <f>VLOOKUP(A11,'[1]계산서(25하-평택)'!W$3:AI$11,5,FALSE)</f>
        <v>0</v>
      </c>
      <c r="AH11" s="3">
        <f t="shared" si="1"/>
        <v>0</v>
      </c>
      <c r="AI11" s="29"/>
      <c r="AJ11" s="3">
        <f>VLOOKUP(A11,'[1]계산서(25하-평택)'!W$3:AI$11,9,FALSE)</f>
        <v>0</v>
      </c>
      <c r="AK11" s="29" t="str">
        <f>VLOOKUP(A11,'[1]계산서(25하-평택)'!W$3:AI$11,10,FALSE)</f>
        <v>국고 X</v>
      </c>
      <c r="AL11" s="3">
        <f>VLOOKUP(A11,'[1]계산서(25하-평택)'!W$3:AI$11,11,FALSE)</f>
        <v>0</v>
      </c>
    </row>
    <row r="12" spans="1:39" x14ac:dyDescent="0.3">
      <c r="A12" s="3" t="s">
        <v>3453</v>
      </c>
      <c r="B12" s="3">
        <v>2025</v>
      </c>
      <c r="C12" s="3" t="s">
        <v>3535</v>
      </c>
      <c r="E12" s="3" t="s">
        <v>3536</v>
      </c>
      <c r="F12" s="35" t="s">
        <v>3537</v>
      </c>
      <c r="G12" s="12">
        <v>10</v>
      </c>
      <c r="H12" s="12">
        <v>10</v>
      </c>
      <c r="I12" s="8">
        <v>46014</v>
      </c>
      <c r="J12" s="8">
        <v>46014</v>
      </c>
      <c r="L12" s="3" t="s">
        <v>46</v>
      </c>
      <c r="M12" s="3" t="s">
        <v>3536</v>
      </c>
      <c r="N12" s="36" t="s">
        <v>3455</v>
      </c>
      <c r="O12" s="3">
        <v>65</v>
      </c>
      <c r="T12" s="3" t="s">
        <v>3456</v>
      </c>
      <c r="U12" s="3" t="s">
        <v>3457</v>
      </c>
      <c r="V12" s="3" t="s">
        <v>3458</v>
      </c>
      <c r="W12" s="3" t="s">
        <v>3459</v>
      </c>
      <c r="X12" s="3" t="s">
        <v>321</v>
      </c>
      <c r="Y12" s="3" t="s">
        <v>3460</v>
      </c>
      <c r="Z12" s="3" t="s">
        <v>3461</v>
      </c>
      <c r="AA12" s="29"/>
      <c r="AD12" s="29"/>
      <c r="AE12" s="3">
        <f>AF12+AG12</f>
        <v>900000</v>
      </c>
      <c r="AF12" s="3">
        <f>VLOOKUP(A12,'[1]계산서(25하-경기)'!X$3:AJ$17,4,FALSE)</f>
        <v>900000</v>
      </c>
      <c r="AG12" s="3">
        <f>VLOOKUP(A12,'[1]계산서(25하-경기)'!X$3:AJ$17,5,FALSE)</f>
        <v>0</v>
      </c>
      <c r="AH12" s="3">
        <f>AJ12+AL12</f>
        <v>0</v>
      </c>
      <c r="AI12" s="29"/>
      <c r="AJ12" s="3">
        <f>VLOOKUP(A12,'[1]계산서(25하-경기)'!X$3:AJ$17,9,FALSE)</f>
        <v>0</v>
      </c>
      <c r="AK12" s="29" t="str">
        <f>VLOOKUP(A12,'[1]계산서(25하-경기)'!X$3:AJ$17,10,FALSE)</f>
        <v>국고 X</v>
      </c>
      <c r="AL12" s="3">
        <f>VLOOKUP(A12,'[1]계산서(25하-경기)'!X$3:AJ$17,11,FALSE)</f>
        <v>0</v>
      </c>
    </row>
    <row r="13" spans="1:39" x14ac:dyDescent="0.3">
      <c r="G13" s="3"/>
      <c r="H13" s="3"/>
    </row>
    <row r="14" spans="1:39" x14ac:dyDescent="0.3">
      <c r="A14" s="28"/>
      <c r="I14" s="29"/>
      <c r="J14" s="29"/>
      <c r="AA14" s="29"/>
      <c r="AD14" s="29"/>
      <c r="AI14" s="29"/>
      <c r="AK14" s="29"/>
    </row>
    <row r="15" spans="1:39" x14ac:dyDescent="0.3">
      <c r="A15" s="28"/>
      <c r="I15" s="29"/>
      <c r="J15" s="29"/>
      <c r="AA15" s="29"/>
      <c r="AD15" s="29"/>
      <c r="AI15" s="29"/>
      <c r="AK15" s="29"/>
    </row>
    <row r="16" spans="1:39" x14ac:dyDescent="0.3">
      <c r="A16" s="28"/>
      <c r="I16" s="29"/>
      <c r="J16" s="29"/>
      <c r="AA16" s="29"/>
      <c r="AD16" s="29"/>
      <c r="AI16" s="29"/>
      <c r="AK16" s="29"/>
    </row>
    <row r="17" spans="1:37" x14ac:dyDescent="0.3">
      <c r="A17" s="28"/>
      <c r="I17" s="29"/>
      <c r="J17" s="29"/>
      <c r="AA17" s="29"/>
      <c r="AD17" s="29"/>
      <c r="AI17" s="29"/>
      <c r="AK17" s="29"/>
    </row>
    <row r="18" spans="1:37" x14ac:dyDescent="0.3">
      <c r="A18" s="28"/>
      <c r="I18" s="29"/>
      <c r="J18" s="29"/>
      <c r="AA18" s="29"/>
      <c r="AD18" s="29"/>
      <c r="AI18" s="29"/>
      <c r="AK18" s="29"/>
    </row>
    <row r="19" spans="1:37" x14ac:dyDescent="0.3">
      <c r="A19" s="28"/>
      <c r="I19" s="29"/>
      <c r="J19" s="29"/>
      <c r="AA19" s="29"/>
      <c r="AD19" s="29"/>
      <c r="AI19" s="29"/>
      <c r="AK19" s="29"/>
    </row>
    <row r="20" spans="1:37" x14ac:dyDescent="0.3">
      <c r="A20" s="28"/>
      <c r="I20" s="29"/>
      <c r="J20" s="29"/>
      <c r="AA20" s="29"/>
      <c r="AD20" s="29"/>
      <c r="AI20" s="29"/>
      <c r="AK20" s="29"/>
    </row>
    <row r="21" spans="1:37" x14ac:dyDescent="0.3">
      <c r="A21" s="28"/>
      <c r="I21" s="29"/>
      <c r="J21" s="29"/>
      <c r="AA21" s="29"/>
      <c r="AD21" s="29"/>
      <c r="AI21" s="29"/>
      <c r="AK21" s="29"/>
    </row>
    <row r="22" spans="1:37" x14ac:dyDescent="0.3">
      <c r="A22" s="28"/>
      <c r="I22" s="29"/>
      <c r="J22" s="29"/>
      <c r="AA22" s="29"/>
      <c r="AD22" s="29"/>
      <c r="AI22" s="29"/>
      <c r="AK22" s="29"/>
    </row>
    <row r="23" spans="1:37" x14ac:dyDescent="0.3">
      <c r="A23" s="28"/>
      <c r="I23" s="29"/>
      <c r="J23" s="29"/>
      <c r="AA23" s="29"/>
      <c r="AD23" s="29"/>
      <c r="AI23" s="29"/>
      <c r="AK23" s="29"/>
    </row>
    <row r="24" spans="1:37" x14ac:dyDescent="0.3">
      <c r="A24" s="28"/>
      <c r="I24" s="29"/>
      <c r="J24" s="29"/>
      <c r="AA24" s="29"/>
      <c r="AD24" s="29"/>
      <c r="AI24" s="29"/>
      <c r="AK24" s="29"/>
    </row>
    <row r="25" spans="1:37" x14ac:dyDescent="0.3">
      <c r="A25" s="28"/>
      <c r="I25" s="29"/>
      <c r="J25" s="29"/>
      <c r="AA25" s="29"/>
      <c r="AD25" s="29"/>
      <c r="AI25" s="29"/>
      <c r="AK25" s="29"/>
    </row>
    <row r="26" spans="1:37" x14ac:dyDescent="0.3">
      <c r="A26" s="28"/>
      <c r="I26" s="29"/>
      <c r="J26" s="29"/>
      <c r="AA26" s="29"/>
      <c r="AD26" s="29"/>
      <c r="AI26" s="29"/>
      <c r="AK26" s="29"/>
    </row>
    <row r="27" spans="1:37" x14ac:dyDescent="0.3">
      <c r="A27" s="28"/>
      <c r="I27" s="29"/>
      <c r="J27" s="29"/>
      <c r="AA27" s="29"/>
      <c r="AD27" s="29"/>
      <c r="AI27" s="29"/>
      <c r="AK27" s="29"/>
    </row>
    <row r="28" spans="1:37" x14ac:dyDescent="0.3">
      <c r="A28" s="28"/>
      <c r="I28" s="29"/>
      <c r="J28" s="29"/>
      <c r="AA28" s="29"/>
      <c r="AD28" s="29"/>
      <c r="AI28" s="29"/>
      <c r="AK28" s="29"/>
    </row>
    <row r="29" spans="1:37" x14ac:dyDescent="0.3">
      <c r="A29" s="28"/>
      <c r="I29" s="29"/>
      <c r="J29" s="29"/>
      <c r="AA29" s="29"/>
      <c r="AD29" s="29"/>
      <c r="AI29" s="29"/>
      <c r="AK29" s="29"/>
    </row>
    <row r="30" spans="1:37" x14ac:dyDescent="0.3">
      <c r="A30" s="28"/>
      <c r="I30" s="29"/>
      <c r="J30" s="29"/>
      <c r="AA30" s="29"/>
      <c r="AD30" s="29"/>
      <c r="AI30" s="29"/>
      <c r="AK30" s="29"/>
    </row>
    <row r="31" spans="1:37" x14ac:dyDescent="0.3">
      <c r="A31" s="28"/>
      <c r="I31" s="29"/>
      <c r="J31" s="29"/>
      <c r="AA31" s="29"/>
      <c r="AD31" s="29"/>
      <c r="AI31" s="29"/>
      <c r="AK31" s="29"/>
    </row>
    <row r="32" spans="1:37" x14ac:dyDescent="0.3">
      <c r="A32" s="28"/>
      <c r="I32" s="29"/>
      <c r="J32" s="29"/>
      <c r="AA32" s="29"/>
      <c r="AD32" s="29"/>
      <c r="AI32" s="29"/>
      <c r="AK32" s="29"/>
    </row>
    <row r="33" spans="1:37" x14ac:dyDescent="0.3">
      <c r="A33" s="28"/>
      <c r="I33" s="29"/>
      <c r="J33" s="29"/>
      <c r="AA33" s="29"/>
      <c r="AD33" s="29"/>
      <c r="AI33" s="29"/>
      <c r="AK33" s="29"/>
    </row>
    <row r="34" spans="1:37" x14ac:dyDescent="0.3">
      <c r="A34" s="28"/>
      <c r="I34" s="29"/>
      <c r="J34" s="29"/>
      <c r="AA34" s="29"/>
      <c r="AD34" s="29"/>
      <c r="AI34" s="29"/>
      <c r="AK34" s="29"/>
    </row>
    <row r="35" spans="1:37" x14ac:dyDescent="0.3">
      <c r="A35" s="28"/>
      <c r="I35" s="29"/>
      <c r="J35" s="29"/>
      <c r="AA35" s="29"/>
      <c r="AD35" s="29"/>
      <c r="AI35" s="29"/>
      <c r="AK35" s="29"/>
    </row>
    <row r="36" spans="1:37" x14ac:dyDescent="0.3">
      <c r="A36" s="28"/>
      <c r="I36" s="29"/>
      <c r="J36" s="29"/>
      <c r="AA36" s="29"/>
      <c r="AD36" s="29"/>
      <c r="AI36" s="29"/>
      <c r="AK36" s="29"/>
    </row>
    <row r="37" spans="1:37" x14ac:dyDescent="0.3">
      <c r="A37" s="28"/>
      <c r="I37" s="29"/>
      <c r="J37" s="29"/>
      <c r="AA37" s="29"/>
      <c r="AD37" s="29"/>
      <c r="AI37" s="29"/>
      <c r="AK37" s="29"/>
    </row>
    <row r="38" spans="1:37" x14ac:dyDescent="0.3">
      <c r="A38" s="28"/>
      <c r="I38" s="29"/>
      <c r="J38" s="29"/>
      <c r="AA38" s="29"/>
      <c r="AD38" s="29"/>
      <c r="AI38" s="29"/>
      <c r="AK38" s="29"/>
    </row>
    <row r="39" spans="1:37" x14ac:dyDescent="0.3">
      <c r="A39" s="28"/>
      <c r="I39" s="29"/>
      <c r="J39" s="29"/>
      <c r="AA39" s="29"/>
      <c r="AD39" s="29"/>
      <c r="AI39" s="29"/>
      <c r="AK39" s="29"/>
    </row>
    <row r="40" spans="1:37" x14ac:dyDescent="0.3">
      <c r="A40" s="28"/>
      <c r="I40" s="29"/>
      <c r="J40" s="29"/>
      <c r="AA40" s="29"/>
      <c r="AD40" s="29"/>
      <c r="AI40" s="29"/>
      <c r="AK40" s="29"/>
    </row>
    <row r="41" spans="1:37" x14ac:dyDescent="0.3">
      <c r="A41" s="28"/>
      <c r="I41" s="29"/>
      <c r="J41" s="29"/>
      <c r="AA41" s="29"/>
      <c r="AD41" s="29"/>
      <c r="AI41" s="29"/>
      <c r="AK41" s="29"/>
    </row>
    <row r="42" spans="1:37" x14ac:dyDescent="0.3">
      <c r="A42" s="28"/>
      <c r="I42" s="29"/>
      <c r="J42" s="29"/>
      <c r="AA42" s="29"/>
      <c r="AD42" s="29"/>
      <c r="AI42" s="29"/>
      <c r="AK42" s="29"/>
    </row>
    <row r="43" spans="1:37" x14ac:dyDescent="0.3">
      <c r="A43" s="28"/>
      <c r="I43" s="29"/>
      <c r="J43" s="29"/>
      <c r="AA43" s="29"/>
      <c r="AD43" s="29"/>
      <c r="AI43" s="29"/>
      <c r="AK43" s="29"/>
    </row>
    <row r="44" spans="1:37" x14ac:dyDescent="0.3">
      <c r="A44" s="28"/>
      <c r="I44" s="29"/>
      <c r="J44" s="29"/>
      <c r="AA44" s="29"/>
      <c r="AD44" s="29"/>
      <c r="AI44" s="29"/>
      <c r="AK44" s="29"/>
    </row>
    <row r="45" spans="1:37" x14ac:dyDescent="0.3">
      <c r="A45" s="28"/>
      <c r="I45" s="29"/>
      <c r="J45" s="29"/>
      <c r="AA45" s="29"/>
      <c r="AD45" s="29"/>
      <c r="AI45" s="29"/>
      <c r="AK45" s="29"/>
    </row>
    <row r="46" spans="1:37" x14ac:dyDescent="0.3">
      <c r="A46" s="28"/>
      <c r="I46" s="29"/>
      <c r="J46" s="29"/>
      <c r="AA46" s="29"/>
      <c r="AD46" s="29"/>
      <c r="AI46" s="29"/>
      <c r="AK46" s="29"/>
    </row>
    <row r="47" spans="1:37" x14ac:dyDescent="0.3">
      <c r="A47" s="28"/>
      <c r="I47" s="29"/>
      <c r="J47" s="29"/>
      <c r="AA47" s="29"/>
      <c r="AD47" s="29"/>
      <c r="AI47" s="29"/>
      <c r="AK47" s="29"/>
    </row>
    <row r="48" spans="1:37" x14ac:dyDescent="0.3">
      <c r="A48" s="28"/>
      <c r="I48" s="29"/>
      <c r="J48" s="29"/>
      <c r="AA48" s="29"/>
      <c r="AD48" s="29"/>
      <c r="AI48" s="29"/>
      <c r="AK48" s="29"/>
    </row>
    <row r="49" spans="1:37" x14ac:dyDescent="0.3">
      <c r="A49" s="28"/>
      <c r="I49" s="29"/>
      <c r="J49" s="29"/>
      <c r="AA49" s="29"/>
      <c r="AD49" s="29"/>
      <c r="AI49" s="29"/>
      <c r="AK49" s="29"/>
    </row>
    <row r="50" spans="1:37" x14ac:dyDescent="0.3">
      <c r="A50" s="28"/>
      <c r="I50" s="29"/>
      <c r="J50" s="29"/>
      <c r="AA50" s="29"/>
      <c r="AD50" s="29"/>
      <c r="AI50" s="29"/>
      <c r="AK50" s="29"/>
    </row>
    <row r="51" spans="1:37" x14ac:dyDescent="0.3">
      <c r="A51" s="28"/>
      <c r="I51" s="29"/>
      <c r="J51" s="29"/>
      <c r="AA51" s="29"/>
      <c r="AD51" s="29"/>
      <c r="AI51" s="29"/>
      <c r="AK51" s="29"/>
    </row>
    <row r="52" spans="1:37" x14ac:dyDescent="0.3">
      <c r="A52" s="28"/>
      <c r="I52" s="29"/>
      <c r="J52" s="29"/>
      <c r="AA52" s="29"/>
      <c r="AD52" s="29"/>
      <c r="AI52" s="29"/>
      <c r="AK52" s="29"/>
    </row>
    <row r="53" spans="1:37" x14ac:dyDescent="0.3">
      <c r="A53" s="28"/>
      <c r="I53" s="29"/>
      <c r="J53" s="29"/>
      <c r="AA53" s="29"/>
      <c r="AD53" s="29"/>
      <c r="AI53" s="29"/>
      <c r="AK53" s="29"/>
    </row>
    <row r="54" spans="1:37" x14ac:dyDescent="0.3">
      <c r="A54" s="28"/>
      <c r="I54" s="29"/>
      <c r="J54" s="29"/>
      <c r="AA54" s="29"/>
      <c r="AD54" s="29"/>
      <c r="AI54" s="29"/>
      <c r="AK54" s="29"/>
    </row>
    <row r="55" spans="1:37" x14ac:dyDescent="0.3">
      <c r="A55" s="28"/>
      <c r="I55" s="29"/>
      <c r="J55" s="29"/>
      <c r="AA55" s="29"/>
      <c r="AD55" s="29"/>
      <c r="AI55" s="29"/>
      <c r="AK55" s="29"/>
    </row>
    <row r="56" spans="1:37" x14ac:dyDescent="0.3">
      <c r="A56" s="28"/>
      <c r="I56" s="29"/>
      <c r="J56" s="29"/>
      <c r="AA56" s="29"/>
      <c r="AD56" s="29"/>
      <c r="AI56" s="29"/>
      <c r="AK56" s="29"/>
    </row>
    <row r="57" spans="1:37" x14ac:dyDescent="0.3">
      <c r="A57" s="28"/>
      <c r="I57" s="29"/>
      <c r="J57" s="29"/>
      <c r="AA57" s="29"/>
      <c r="AD57" s="29"/>
      <c r="AI57" s="29"/>
      <c r="AK57" s="29"/>
    </row>
    <row r="58" spans="1:37" x14ac:dyDescent="0.3">
      <c r="A58" s="28"/>
      <c r="I58" s="29"/>
      <c r="J58" s="29"/>
      <c r="AA58" s="29"/>
      <c r="AD58" s="29"/>
      <c r="AI58" s="29"/>
      <c r="AK58" s="29"/>
    </row>
    <row r="59" spans="1:37" x14ac:dyDescent="0.3">
      <c r="A59" s="28"/>
      <c r="I59" s="29"/>
      <c r="J59" s="29"/>
      <c r="AA59" s="29"/>
      <c r="AD59" s="29"/>
      <c r="AI59" s="29"/>
      <c r="AK59" s="29"/>
    </row>
    <row r="60" spans="1:37" x14ac:dyDescent="0.3">
      <c r="A60" s="28"/>
      <c r="I60" s="29"/>
      <c r="J60" s="29"/>
      <c r="AA60" s="29"/>
      <c r="AD60" s="29"/>
      <c r="AI60" s="29"/>
      <c r="AK60" s="29"/>
    </row>
    <row r="61" spans="1:37" x14ac:dyDescent="0.3">
      <c r="A61" s="28"/>
      <c r="I61" s="29"/>
      <c r="J61" s="29"/>
      <c r="AA61" s="29"/>
      <c r="AD61" s="29"/>
      <c r="AI61" s="29"/>
      <c r="AK61" s="29"/>
    </row>
    <row r="62" spans="1:37" x14ac:dyDescent="0.3">
      <c r="A62" s="28"/>
      <c r="I62" s="29"/>
      <c r="J62" s="29"/>
      <c r="AA62" s="29"/>
      <c r="AD62" s="29"/>
      <c r="AI62" s="29"/>
      <c r="AK62" s="29"/>
    </row>
    <row r="63" spans="1:37" x14ac:dyDescent="0.3">
      <c r="A63" s="28"/>
      <c r="I63" s="29"/>
      <c r="J63" s="29"/>
      <c r="AA63" s="29"/>
      <c r="AD63" s="29"/>
      <c r="AI63" s="29"/>
      <c r="AK63" s="29"/>
    </row>
    <row r="64" spans="1:37" x14ac:dyDescent="0.3">
      <c r="A64" s="28"/>
      <c r="I64" s="29"/>
      <c r="J64" s="29"/>
      <c r="AA64" s="29"/>
      <c r="AD64" s="29"/>
      <c r="AI64" s="29"/>
      <c r="AK64" s="29"/>
    </row>
    <row r="65" spans="1:37" x14ac:dyDescent="0.3">
      <c r="A65" s="28"/>
      <c r="I65" s="29"/>
      <c r="J65" s="29"/>
      <c r="AA65" s="29"/>
      <c r="AD65" s="29"/>
      <c r="AI65" s="29"/>
      <c r="AK65" s="29"/>
    </row>
    <row r="66" spans="1:37" x14ac:dyDescent="0.3">
      <c r="A66" s="28"/>
      <c r="I66" s="29"/>
      <c r="J66" s="29"/>
      <c r="AA66" s="29"/>
      <c r="AD66" s="29"/>
      <c r="AI66" s="29"/>
      <c r="AK66" s="29"/>
    </row>
    <row r="67" spans="1:37" x14ac:dyDescent="0.3">
      <c r="A67" s="28"/>
      <c r="I67" s="29"/>
      <c r="J67" s="29"/>
      <c r="AA67" s="29"/>
      <c r="AD67" s="29"/>
      <c r="AI67" s="29"/>
      <c r="AK67" s="29"/>
    </row>
    <row r="68" spans="1:37" x14ac:dyDescent="0.3">
      <c r="A68" s="28"/>
      <c r="I68" s="29"/>
      <c r="J68" s="29"/>
      <c r="AA68" s="29"/>
      <c r="AD68" s="29"/>
      <c r="AI68" s="29"/>
      <c r="AK68" s="29"/>
    </row>
    <row r="69" spans="1:37" x14ac:dyDescent="0.3">
      <c r="A69" s="28"/>
      <c r="I69" s="29"/>
      <c r="J69" s="29"/>
      <c r="AA69" s="29"/>
      <c r="AD69" s="29"/>
      <c r="AI69" s="29"/>
      <c r="AK69" s="29"/>
    </row>
    <row r="70" spans="1:37" x14ac:dyDescent="0.3">
      <c r="A70" s="28"/>
      <c r="I70" s="29"/>
      <c r="J70" s="29"/>
      <c r="AA70" s="29"/>
      <c r="AD70" s="29"/>
      <c r="AI70" s="29"/>
      <c r="AK70" s="29"/>
    </row>
    <row r="71" spans="1:37" x14ac:dyDescent="0.3">
      <c r="A71" s="28"/>
      <c r="I71" s="29"/>
      <c r="J71" s="29"/>
      <c r="AA71" s="29"/>
      <c r="AD71" s="29"/>
      <c r="AI71" s="29"/>
      <c r="AK71" s="29"/>
    </row>
    <row r="72" spans="1:37" x14ac:dyDescent="0.3">
      <c r="A72" s="28"/>
      <c r="I72" s="29"/>
      <c r="J72" s="29"/>
      <c r="AA72" s="29"/>
      <c r="AD72" s="29"/>
      <c r="AI72" s="29"/>
      <c r="AK72" s="29"/>
    </row>
    <row r="73" spans="1:37" x14ac:dyDescent="0.3">
      <c r="A73" s="28"/>
      <c r="I73" s="29"/>
      <c r="J73" s="29"/>
      <c r="AA73" s="29"/>
      <c r="AD73" s="29"/>
      <c r="AI73" s="29"/>
      <c r="AK73" s="29"/>
    </row>
    <row r="74" spans="1:37" x14ac:dyDescent="0.3">
      <c r="A74" s="28"/>
      <c r="I74" s="29"/>
      <c r="J74" s="29"/>
      <c r="AA74" s="29"/>
      <c r="AD74" s="29"/>
      <c r="AI74" s="29"/>
      <c r="AK74" s="29"/>
    </row>
    <row r="75" spans="1:37" x14ac:dyDescent="0.3">
      <c r="A75" s="28"/>
      <c r="I75" s="29"/>
      <c r="J75" s="29"/>
      <c r="AA75" s="29"/>
      <c r="AD75" s="29"/>
      <c r="AI75" s="29"/>
      <c r="AK75" s="29"/>
    </row>
    <row r="76" spans="1:37" x14ac:dyDescent="0.3">
      <c r="A76" s="28"/>
      <c r="I76" s="29"/>
      <c r="J76" s="29"/>
      <c r="AA76" s="29"/>
      <c r="AD76" s="29"/>
      <c r="AI76" s="29"/>
      <c r="AK76" s="29"/>
    </row>
    <row r="77" spans="1:37" x14ac:dyDescent="0.3">
      <c r="A77" s="28"/>
      <c r="I77" s="29"/>
      <c r="J77" s="29"/>
      <c r="AA77" s="29"/>
      <c r="AD77" s="29"/>
      <c r="AI77" s="29"/>
      <c r="AK77" s="29"/>
    </row>
    <row r="78" spans="1:37" x14ac:dyDescent="0.3">
      <c r="A78" s="28"/>
      <c r="I78" s="29"/>
      <c r="J78" s="29"/>
      <c r="AA78" s="29"/>
      <c r="AD78" s="29"/>
      <c r="AI78" s="29"/>
      <c r="AK78" s="29"/>
    </row>
    <row r="79" spans="1:37" x14ac:dyDescent="0.3">
      <c r="A79" s="28"/>
      <c r="I79" s="29"/>
      <c r="J79" s="29"/>
      <c r="AA79" s="29"/>
      <c r="AD79" s="29"/>
      <c r="AI79" s="29"/>
      <c r="AK79" s="29"/>
    </row>
    <row r="80" spans="1:37" x14ac:dyDescent="0.3">
      <c r="A80" s="28"/>
      <c r="I80" s="29"/>
      <c r="J80" s="29"/>
      <c r="AA80" s="29"/>
      <c r="AD80" s="29"/>
      <c r="AI80" s="29"/>
      <c r="AK80" s="29"/>
    </row>
    <row r="81" spans="1:37" x14ac:dyDescent="0.3">
      <c r="A81" s="28"/>
      <c r="I81" s="29"/>
      <c r="J81" s="29"/>
      <c r="AA81" s="29"/>
      <c r="AD81" s="29"/>
      <c r="AI81" s="29"/>
      <c r="AK81" s="29"/>
    </row>
    <row r="82" spans="1:37" x14ac:dyDescent="0.3">
      <c r="A82" s="28"/>
      <c r="I82" s="29"/>
      <c r="J82" s="29"/>
      <c r="AA82" s="29"/>
      <c r="AD82" s="29"/>
      <c r="AI82" s="29"/>
      <c r="AK82" s="29"/>
    </row>
    <row r="83" spans="1:37" x14ac:dyDescent="0.3">
      <c r="A83" s="28"/>
      <c r="I83" s="29"/>
      <c r="J83" s="29"/>
      <c r="AA83" s="29"/>
      <c r="AD83" s="29"/>
      <c r="AI83" s="29"/>
      <c r="AK83" s="29"/>
    </row>
    <row r="84" spans="1:37" x14ac:dyDescent="0.3">
      <c r="A84" s="28"/>
      <c r="I84" s="29"/>
      <c r="J84" s="29"/>
      <c r="AA84" s="29"/>
      <c r="AD84" s="29"/>
      <c r="AI84" s="29"/>
      <c r="AK84" s="29"/>
    </row>
    <row r="85" spans="1:37" x14ac:dyDescent="0.3">
      <c r="A85" s="28"/>
      <c r="I85" s="29"/>
      <c r="J85" s="29"/>
      <c r="AA85" s="29"/>
      <c r="AD85" s="29"/>
      <c r="AI85" s="29"/>
      <c r="AK85" s="29"/>
    </row>
    <row r="86" spans="1:37" x14ac:dyDescent="0.3">
      <c r="A86" s="28"/>
      <c r="I86" s="29"/>
      <c r="J86" s="29"/>
      <c r="AA86" s="29"/>
      <c r="AD86" s="29"/>
      <c r="AI86" s="29"/>
      <c r="AK86" s="29"/>
    </row>
    <row r="87" spans="1:37" x14ac:dyDescent="0.3">
      <c r="A87" s="28"/>
      <c r="I87" s="29"/>
      <c r="J87" s="29"/>
      <c r="AA87" s="29"/>
      <c r="AD87" s="29"/>
      <c r="AI87" s="29"/>
      <c r="AK87" s="29"/>
    </row>
    <row r="88" spans="1:37" x14ac:dyDescent="0.3">
      <c r="A88" s="28"/>
      <c r="I88" s="29"/>
      <c r="J88" s="29"/>
      <c r="AA88" s="29"/>
      <c r="AD88" s="29"/>
      <c r="AI88" s="29"/>
      <c r="AK88" s="29"/>
    </row>
    <row r="89" spans="1:37" x14ac:dyDescent="0.3">
      <c r="A89" s="28"/>
      <c r="I89" s="29"/>
      <c r="J89" s="29"/>
      <c r="AA89" s="29"/>
      <c r="AD89" s="29"/>
      <c r="AI89" s="29"/>
      <c r="AK89" s="29"/>
    </row>
    <row r="90" spans="1:37" x14ac:dyDescent="0.3">
      <c r="A90" s="28"/>
      <c r="I90" s="29"/>
      <c r="J90" s="29"/>
      <c r="AA90" s="29"/>
      <c r="AD90" s="29"/>
      <c r="AI90" s="29"/>
      <c r="AK90" s="29"/>
    </row>
    <row r="91" spans="1:37" x14ac:dyDescent="0.3">
      <c r="A91" s="28"/>
      <c r="I91" s="29"/>
      <c r="J91" s="29"/>
      <c r="AA91" s="29"/>
      <c r="AD91" s="29"/>
      <c r="AI91" s="29"/>
      <c r="AK91" s="29"/>
    </row>
    <row r="92" spans="1:37" x14ac:dyDescent="0.3">
      <c r="A92" s="28"/>
      <c r="I92" s="29"/>
      <c r="J92" s="29"/>
      <c r="AA92" s="29"/>
      <c r="AD92" s="29"/>
      <c r="AI92" s="29"/>
      <c r="AK92" s="29"/>
    </row>
    <row r="93" spans="1:37" x14ac:dyDescent="0.3">
      <c r="A93" s="28"/>
      <c r="I93" s="29"/>
      <c r="J93" s="29"/>
      <c r="AA93" s="29"/>
      <c r="AD93" s="29"/>
      <c r="AI93" s="29"/>
      <c r="AK93" s="29"/>
    </row>
    <row r="94" spans="1:37" x14ac:dyDescent="0.3">
      <c r="A94" s="28"/>
      <c r="I94" s="29"/>
      <c r="J94" s="29"/>
      <c r="AA94" s="29"/>
      <c r="AD94" s="29"/>
      <c r="AI94" s="29"/>
      <c r="AK94" s="29"/>
    </row>
    <row r="95" spans="1:37" x14ac:dyDescent="0.3">
      <c r="A95" s="28"/>
      <c r="I95" s="29"/>
      <c r="J95" s="29"/>
      <c r="AA95" s="29"/>
      <c r="AD95" s="29"/>
      <c r="AI95" s="29"/>
      <c r="AK95" s="29"/>
    </row>
    <row r="96" spans="1:37" x14ac:dyDescent="0.3">
      <c r="A96" s="28"/>
      <c r="I96" s="29"/>
      <c r="J96" s="29"/>
      <c r="AA96" s="29"/>
      <c r="AD96" s="29"/>
      <c r="AI96" s="29"/>
      <c r="AK96" s="29"/>
    </row>
    <row r="97" spans="1:37" x14ac:dyDescent="0.3">
      <c r="A97" s="28"/>
      <c r="I97" s="29"/>
      <c r="J97" s="29"/>
      <c r="AA97" s="29"/>
      <c r="AD97" s="29"/>
      <c r="AI97" s="29"/>
      <c r="AK97" s="29"/>
    </row>
    <row r="98" spans="1:37" x14ac:dyDescent="0.3">
      <c r="A98" s="28"/>
      <c r="I98" s="29"/>
      <c r="J98" s="29"/>
      <c r="AA98" s="29"/>
      <c r="AD98" s="29"/>
      <c r="AI98" s="29"/>
      <c r="AK98" s="29"/>
    </row>
    <row r="99" spans="1:37" x14ac:dyDescent="0.3">
      <c r="A99" s="28"/>
      <c r="I99" s="29"/>
      <c r="J99" s="29"/>
      <c r="AA99" s="29"/>
      <c r="AD99" s="29"/>
      <c r="AI99" s="29"/>
      <c r="AK99" s="29"/>
    </row>
    <row r="100" spans="1:37" x14ac:dyDescent="0.3">
      <c r="A100" s="28"/>
      <c r="I100" s="29"/>
      <c r="J100" s="29"/>
      <c r="AA100" s="29"/>
      <c r="AD100" s="29"/>
      <c r="AI100" s="29"/>
      <c r="AK100" s="29"/>
    </row>
    <row r="101" spans="1:37" x14ac:dyDescent="0.3">
      <c r="A101" s="28"/>
      <c r="I101" s="29"/>
      <c r="J101" s="29"/>
      <c r="AA101" s="29"/>
      <c r="AD101" s="29"/>
      <c r="AI101" s="29"/>
      <c r="AK101" s="29"/>
    </row>
    <row r="102" spans="1:37" x14ac:dyDescent="0.3">
      <c r="A102" s="28"/>
      <c r="I102" s="29"/>
      <c r="J102" s="29"/>
      <c r="AA102" s="29"/>
      <c r="AD102" s="29"/>
      <c r="AI102" s="29"/>
      <c r="AK102" s="29"/>
    </row>
    <row r="103" spans="1:37" x14ac:dyDescent="0.3">
      <c r="A103" s="28"/>
      <c r="I103" s="29"/>
      <c r="J103" s="29"/>
      <c r="AA103" s="29"/>
      <c r="AD103" s="29"/>
      <c r="AI103" s="29"/>
      <c r="AK103" s="29"/>
    </row>
    <row r="104" spans="1:37" x14ac:dyDescent="0.3">
      <c r="A104" s="28"/>
      <c r="I104" s="29"/>
      <c r="J104" s="29"/>
      <c r="AA104" s="29"/>
      <c r="AD104" s="29"/>
      <c r="AI104" s="29"/>
      <c r="AK104" s="29"/>
    </row>
    <row r="105" spans="1:37" x14ac:dyDescent="0.3">
      <c r="A105" s="28"/>
      <c r="I105" s="29"/>
      <c r="J105" s="29"/>
      <c r="AA105" s="29"/>
      <c r="AD105" s="29"/>
      <c r="AI105" s="29"/>
      <c r="AK105" s="29"/>
    </row>
    <row r="106" spans="1:37" x14ac:dyDescent="0.3">
      <c r="A106" s="28"/>
      <c r="I106" s="29"/>
      <c r="J106" s="29"/>
      <c r="AA106" s="29"/>
      <c r="AD106" s="29"/>
      <c r="AI106" s="29"/>
      <c r="AK106" s="29"/>
    </row>
    <row r="107" spans="1:37" x14ac:dyDescent="0.3">
      <c r="A107" s="28"/>
      <c r="B107" s="30"/>
      <c r="C107" s="30"/>
      <c r="D107" s="30"/>
      <c r="F107" s="30"/>
      <c r="G107" s="31"/>
      <c r="H107" s="31"/>
      <c r="I107" s="32"/>
      <c r="J107" s="32"/>
      <c r="K107" s="30"/>
      <c r="L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2"/>
      <c r="AA107" s="32"/>
      <c r="AB107" s="30"/>
      <c r="AD107" s="29"/>
      <c r="AI107" s="29"/>
      <c r="AK107" s="29"/>
    </row>
    <row r="108" spans="1:37" x14ac:dyDescent="0.3">
      <c r="A108" s="28"/>
      <c r="I108" s="29"/>
      <c r="J108" s="29"/>
      <c r="AA108" s="29"/>
      <c r="AD108" s="29"/>
      <c r="AI108" s="29"/>
      <c r="AK108" s="29"/>
    </row>
    <row r="109" spans="1:37" x14ac:dyDescent="0.3">
      <c r="A109" s="28"/>
      <c r="I109" s="29"/>
      <c r="J109" s="29"/>
      <c r="AA109" s="29"/>
      <c r="AD109" s="29"/>
      <c r="AI109" s="29"/>
      <c r="AK109" s="29"/>
    </row>
    <row r="110" spans="1:37" x14ac:dyDescent="0.3">
      <c r="A110" s="28"/>
      <c r="I110" s="29"/>
      <c r="J110" s="29"/>
      <c r="AA110" s="29"/>
      <c r="AD110" s="29"/>
      <c r="AI110" s="29"/>
      <c r="AK110" s="29"/>
    </row>
    <row r="111" spans="1:37" x14ac:dyDescent="0.3">
      <c r="A111" s="28"/>
      <c r="I111" s="29"/>
      <c r="J111" s="29"/>
      <c r="AA111" s="29"/>
      <c r="AD111" s="29"/>
      <c r="AI111" s="29"/>
      <c r="AK111" s="29"/>
    </row>
    <row r="112" spans="1:37" x14ac:dyDescent="0.3">
      <c r="A112" s="28"/>
      <c r="I112" s="29"/>
      <c r="J112" s="29"/>
      <c r="AA112" s="29"/>
      <c r="AD112" s="29"/>
      <c r="AI112" s="29"/>
      <c r="AK112" s="29"/>
    </row>
    <row r="113" spans="1:37" x14ac:dyDescent="0.3">
      <c r="A113" s="28"/>
      <c r="I113" s="29"/>
      <c r="J113" s="29"/>
      <c r="AA113" s="29"/>
      <c r="AD113" s="29"/>
      <c r="AI113" s="29"/>
      <c r="AK113" s="29"/>
    </row>
    <row r="114" spans="1:37" x14ac:dyDescent="0.3">
      <c r="A114" s="28"/>
      <c r="I114" s="29"/>
      <c r="J114" s="29"/>
      <c r="AA114" s="29"/>
      <c r="AD114" s="29"/>
      <c r="AI114" s="29"/>
      <c r="AK114" s="29"/>
    </row>
    <row r="115" spans="1:37" x14ac:dyDescent="0.3">
      <c r="A115" s="28"/>
      <c r="I115" s="29"/>
      <c r="J115" s="29"/>
      <c r="AA115" s="29"/>
      <c r="AD115" s="29"/>
      <c r="AI115" s="29"/>
      <c r="AK115" s="29"/>
    </row>
    <row r="116" spans="1:37" x14ac:dyDescent="0.3">
      <c r="A116" s="28"/>
      <c r="I116" s="29"/>
      <c r="J116" s="29"/>
      <c r="AA116" s="29"/>
      <c r="AD116" s="29"/>
      <c r="AI116" s="29"/>
      <c r="AK116" s="29"/>
    </row>
    <row r="117" spans="1:37" x14ac:dyDescent="0.3">
      <c r="A117" s="28"/>
      <c r="I117" s="29"/>
      <c r="J117" s="29"/>
      <c r="AA117" s="29"/>
      <c r="AD117" s="29"/>
      <c r="AI117" s="29"/>
      <c r="AK117" s="29"/>
    </row>
    <row r="118" spans="1:37" x14ac:dyDescent="0.3">
      <c r="A118" s="28"/>
      <c r="I118" s="29"/>
      <c r="J118" s="29"/>
      <c r="AA118" s="29"/>
      <c r="AD118" s="29"/>
      <c r="AI118" s="29"/>
      <c r="AK118" s="29"/>
    </row>
    <row r="119" spans="1:37" x14ac:dyDescent="0.3">
      <c r="A119" s="28"/>
      <c r="I119" s="29"/>
      <c r="J119" s="29"/>
      <c r="AA119" s="29"/>
      <c r="AD119" s="29"/>
      <c r="AI119" s="29"/>
      <c r="AK119" s="29"/>
    </row>
    <row r="120" spans="1:37" x14ac:dyDescent="0.3">
      <c r="A120" s="28"/>
      <c r="I120" s="29"/>
      <c r="J120" s="29"/>
      <c r="AA120" s="29"/>
      <c r="AD120" s="29"/>
      <c r="AI120" s="29"/>
      <c r="AK120" s="29"/>
    </row>
    <row r="121" spans="1:37" x14ac:dyDescent="0.3">
      <c r="A121" s="28"/>
      <c r="I121" s="29"/>
      <c r="J121" s="29"/>
      <c r="AA121" s="29"/>
      <c r="AD121" s="29"/>
      <c r="AI121" s="29"/>
      <c r="AK121" s="29"/>
    </row>
    <row r="122" spans="1:37" x14ac:dyDescent="0.3">
      <c r="A122" s="28"/>
      <c r="I122" s="29"/>
      <c r="J122" s="29"/>
      <c r="AA122" s="29"/>
      <c r="AD122" s="29"/>
      <c r="AI122" s="29"/>
      <c r="AK122" s="29"/>
    </row>
    <row r="123" spans="1:37" x14ac:dyDescent="0.3">
      <c r="A123" s="28"/>
      <c r="I123" s="29"/>
      <c r="J123" s="29"/>
      <c r="AA123" s="29"/>
      <c r="AD123" s="29"/>
      <c r="AI123" s="29"/>
      <c r="AK123" s="29"/>
    </row>
    <row r="124" spans="1:37" x14ac:dyDescent="0.3">
      <c r="A124" s="28"/>
      <c r="I124" s="29"/>
      <c r="J124" s="29"/>
      <c r="AA124" s="29"/>
      <c r="AD124" s="29"/>
      <c r="AI124" s="29"/>
      <c r="AK124" s="29"/>
    </row>
    <row r="125" spans="1:37" x14ac:dyDescent="0.3">
      <c r="A125" s="28"/>
      <c r="I125" s="29"/>
      <c r="J125" s="29"/>
      <c r="AA125" s="29"/>
      <c r="AD125" s="29"/>
      <c r="AI125" s="29"/>
      <c r="AK125" s="29"/>
    </row>
    <row r="126" spans="1:37" x14ac:dyDescent="0.3">
      <c r="A126" s="28"/>
      <c r="I126" s="29"/>
      <c r="J126" s="29"/>
      <c r="AA126" s="29"/>
      <c r="AD126" s="29"/>
      <c r="AI126" s="29"/>
      <c r="AK126" s="29"/>
    </row>
    <row r="127" spans="1:37" x14ac:dyDescent="0.3">
      <c r="A127" s="28"/>
      <c r="I127" s="29"/>
      <c r="J127" s="29"/>
      <c r="AA127" s="29"/>
      <c r="AD127" s="29"/>
      <c r="AI127" s="29"/>
      <c r="AK127" s="29"/>
    </row>
    <row r="128" spans="1:37" x14ac:dyDescent="0.3">
      <c r="A128" s="28"/>
      <c r="I128" s="29"/>
      <c r="J128" s="29"/>
      <c r="AA128" s="29"/>
      <c r="AD128" s="29"/>
      <c r="AI128" s="29"/>
      <c r="AK128" s="29"/>
    </row>
    <row r="129" spans="1:37" x14ac:dyDescent="0.3">
      <c r="A129" s="28"/>
      <c r="I129" s="29"/>
      <c r="J129" s="29"/>
      <c r="AA129" s="29"/>
      <c r="AD129" s="29"/>
      <c r="AI129" s="29"/>
      <c r="AK129" s="29"/>
    </row>
    <row r="130" spans="1:37" x14ac:dyDescent="0.3">
      <c r="A130" s="28"/>
      <c r="I130" s="29"/>
      <c r="J130" s="29"/>
      <c r="AA130" s="29"/>
      <c r="AD130" s="29"/>
      <c r="AI130" s="29"/>
      <c r="AK130" s="29"/>
    </row>
    <row r="131" spans="1:37" x14ac:dyDescent="0.3">
      <c r="A131" s="28"/>
      <c r="I131" s="29"/>
      <c r="J131" s="29"/>
      <c r="AA131" s="29"/>
      <c r="AD131" s="29"/>
      <c r="AI131" s="29"/>
      <c r="AK131" s="29"/>
    </row>
    <row r="132" spans="1:37" x14ac:dyDescent="0.3">
      <c r="I132" s="29"/>
      <c r="J132" s="29"/>
      <c r="AA132" s="29"/>
      <c r="AD132" s="29"/>
      <c r="AI132" s="29"/>
      <c r="AK132" s="29"/>
    </row>
    <row r="133" spans="1:37" x14ac:dyDescent="0.3">
      <c r="I133" s="29"/>
      <c r="J133" s="29"/>
      <c r="AA133" s="29"/>
      <c r="AD133" s="29"/>
      <c r="AI133" s="29"/>
      <c r="AK133" s="29"/>
    </row>
    <row r="134" spans="1:37" x14ac:dyDescent="0.3">
      <c r="I134" s="29"/>
      <c r="J134" s="29"/>
      <c r="AA134" s="29"/>
      <c r="AD134" s="29"/>
      <c r="AI134" s="29"/>
      <c r="AK134" s="29"/>
    </row>
    <row r="135" spans="1:37" x14ac:dyDescent="0.3">
      <c r="I135" s="29"/>
      <c r="J135" s="29"/>
      <c r="AA135" s="29"/>
      <c r="AD135" s="29"/>
      <c r="AI135" s="29"/>
      <c r="AK135" s="29"/>
    </row>
    <row r="136" spans="1:37" x14ac:dyDescent="0.3">
      <c r="I136" s="29"/>
      <c r="J136" s="29"/>
      <c r="AA136" s="29"/>
      <c r="AD136" s="29"/>
      <c r="AI136" s="29"/>
      <c r="AK136" s="29"/>
    </row>
    <row r="137" spans="1:37" x14ac:dyDescent="0.3">
      <c r="I137" s="29"/>
      <c r="J137" s="29"/>
      <c r="AA137" s="29"/>
      <c r="AD137" s="29"/>
      <c r="AI137" s="29"/>
      <c r="AK137" s="29"/>
    </row>
    <row r="138" spans="1:37" x14ac:dyDescent="0.3">
      <c r="I138" s="29"/>
      <c r="J138" s="29"/>
      <c r="AA138" s="29"/>
      <c r="AD138" s="29"/>
      <c r="AI138" s="29"/>
      <c r="AK138" s="29"/>
    </row>
    <row r="139" spans="1:37" x14ac:dyDescent="0.3">
      <c r="I139" s="29"/>
      <c r="J139" s="29"/>
      <c r="AA139" s="29"/>
      <c r="AD139" s="29"/>
      <c r="AI139" s="29"/>
      <c r="AK139" s="29"/>
    </row>
    <row r="140" spans="1:37" x14ac:dyDescent="0.3">
      <c r="I140" s="29"/>
      <c r="J140" s="29"/>
      <c r="AA140" s="29"/>
      <c r="AD140" s="29"/>
      <c r="AI140" s="29"/>
      <c r="AK140" s="29"/>
    </row>
    <row r="141" spans="1:37" x14ac:dyDescent="0.3">
      <c r="I141" s="29"/>
      <c r="J141" s="29"/>
      <c r="AA141" s="29"/>
      <c r="AD141" s="29"/>
      <c r="AI141" s="29"/>
      <c r="AK141" s="29"/>
    </row>
    <row r="142" spans="1:37" x14ac:dyDescent="0.3">
      <c r="I142" s="29"/>
      <c r="J142" s="29"/>
      <c r="AA142" s="29"/>
      <c r="AD142" s="29"/>
      <c r="AI142" s="29"/>
      <c r="AK142" s="29"/>
    </row>
    <row r="143" spans="1:37" x14ac:dyDescent="0.3">
      <c r="I143" s="29"/>
      <c r="J143" s="29"/>
      <c r="AA143" s="29"/>
      <c r="AD143" s="29"/>
      <c r="AI143" s="29"/>
      <c r="AK143" s="29"/>
    </row>
    <row r="144" spans="1:37" x14ac:dyDescent="0.3">
      <c r="I144" s="29"/>
      <c r="J144" s="29"/>
      <c r="AA144" s="29"/>
      <c r="AD144" s="29"/>
      <c r="AI144" s="29"/>
      <c r="AK144" s="29"/>
    </row>
    <row r="145" spans="2:37" x14ac:dyDescent="0.3">
      <c r="I145" s="29"/>
      <c r="J145" s="29"/>
      <c r="AA145" s="29"/>
      <c r="AD145" s="29"/>
      <c r="AI145" s="29"/>
      <c r="AK145" s="29"/>
    </row>
    <row r="146" spans="2:37" x14ac:dyDescent="0.3">
      <c r="I146" s="29"/>
      <c r="J146" s="29"/>
      <c r="AA146" s="29"/>
      <c r="AD146" s="29"/>
      <c r="AI146" s="29"/>
      <c r="AK146" s="29"/>
    </row>
    <row r="147" spans="2:37" x14ac:dyDescent="0.3">
      <c r="I147" s="29"/>
      <c r="J147" s="29"/>
      <c r="AA147" s="29"/>
      <c r="AD147" s="29"/>
      <c r="AI147" s="29"/>
      <c r="AK147" s="29"/>
    </row>
    <row r="148" spans="2:37" x14ac:dyDescent="0.3">
      <c r="I148" s="29"/>
      <c r="J148" s="29"/>
      <c r="AA148" s="29"/>
      <c r="AD148" s="29"/>
      <c r="AI148" s="29"/>
      <c r="AK148" s="29"/>
    </row>
    <row r="149" spans="2:37" x14ac:dyDescent="0.3">
      <c r="I149" s="29"/>
      <c r="J149" s="29"/>
      <c r="AA149" s="29"/>
      <c r="AD149" s="29"/>
      <c r="AI149" s="29"/>
      <c r="AK149" s="29"/>
    </row>
    <row r="150" spans="2:37" x14ac:dyDescent="0.3">
      <c r="I150" s="29"/>
      <c r="J150" s="29"/>
      <c r="AA150" s="29"/>
      <c r="AD150" s="29"/>
      <c r="AI150" s="29"/>
      <c r="AK150" s="29"/>
    </row>
    <row r="151" spans="2:37" x14ac:dyDescent="0.3">
      <c r="I151" s="29"/>
      <c r="J151" s="29"/>
      <c r="AA151" s="29"/>
      <c r="AD151" s="29"/>
      <c r="AI151" s="29"/>
      <c r="AK151" s="29"/>
    </row>
    <row r="152" spans="2:37" x14ac:dyDescent="0.3">
      <c r="B152" s="3" t="s">
        <v>3534</v>
      </c>
      <c r="C152" s="3" t="s">
        <v>3534</v>
      </c>
      <c r="D152" s="3" t="s">
        <v>3534</v>
      </c>
      <c r="E152" s="3" t="s">
        <v>3534</v>
      </c>
      <c r="F152" s="3" t="s">
        <v>3534</v>
      </c>
      <c r="G152" s="12" t="s">
        <v>3534</v>
      </c>
      <c r="H152" s="12" t="s">
        <v>3534</v>
      </c>
      <c r="I152" s="29" t="s">
        <v>3534</v>
      </c>
      <c r="J152" s="29" t="s">
        <v>3534</v>
      </c>
      <c r="K152" s="3" t="s">
        <v>3534</v>
      </c>
      <c r="L152" s="3" t="s">
        <v>3534</v>
      </c>
      <c r="M152" s="3" t="s">
        <v>3534</v>
      </c>
      <c r="N152" s="3" t="s">
        <v>3534</v>
      </c>
      <c r="O152" s="3" t="s">
        <v>3534</v>
      </c>
      <c r="P152" s="3" t="s">
        <v>3534</v>
      </c>
      <c r="Q152" s="3" t="s">
        <v>3534</v>
      </c>
      <c r="R152" s="3" t="s">
        <v>3534</v>
      </c>
      <c r="S152" s="3" t="s">
        <v>3534</v>
      </c>
      <c r="T152" s="3" t="s">
        <v>3534</v>
      </c>
      <c r="U152" s="3" t="s">
        <v>3534</v>
      </c>
      <c r="V152" s="3" t="s">
        <v>3534</v>
      </c>
      <c r="W152" s="3" t="s">
        <v>3534</v>
      </c>
      <c r="X152" s="3" t="s">
        <v>3534</v>
      </c>
      <c r="Y152" s="3" t="s">
        <v>3534</v>
      </c>
      <c r="Z152" s="3" t="s">
        <v>3534</v>
      </c>
      <c r="AA152" s="3" t="s">
        <v>3534</v>
      </c>
      <c r="AB152" s="3" t="s">
        <v>3534</v>
      </c>
    </row>
    <row r="153" spans="2:37" x14ac:dyDescent="0.3">
      <c r="I153" s="29"/>
      <c r="J153" s="29"/>
    </row>
    <row r="154" spans="2:37" x14ac:dyDescent="0.3">
      <c r="I154" s="29"/>
      <c r="J154" s="29"/>
    </row>
    <row r="155" spans="2:37" x14ac:dyDescent="0.3">
      <c r="I155" s="29"/>
      <c r="J155" s="29"/>
    </row>
    <row r="156" spans="2:37" x14ac:dyDescent="0.3">
      <c r="I156" s="29"/>
      <c r="J156" s="29"/>
    </row>
    <row r="157" spans="2:37" x14ac:dyDescent="0.3">
      <c r="I157" s="29"/>
      <c r="J157" s="29"/>
    </row>
    <row r="158" spans="2:37" x14ac:dyDescent="0.3">
      <c r="I158" s="29"/>
      <c r="J158" s="29"/>
    </row>
    <row r="159" spans="2:37" x14ac:dyDescent="0.3">
      <c r="I159" s="29"/>
      <c r="J159" s="29"/>
    </row>
    <row r="160" spans="2:37" x14ac:dyDescent="0.3">
      <c r="I160" s="29"/>
      <c r="J160" s="29"/>
    </row>
    <row r="161" spans="9:10" x14ac:dyDescent="0.3">
      <c r="I161" s="29"/>
      <c r="J161" s="29"/>
    </row>
    <row r="162" spans="9:10" x14ac:dyDescent="0.3">
      <c r="I162" s="29"/>
      <c r="J162" s="29"/>
    </row>
    <row r="163" spans="9:10" x14ac:dyDescent="0.3">
      <c r="I163" s="29"/>
      <c r="J163" s="29"/>
    </row>
    <row r="164" spans="9:10" x14ac:dyDescent="0.3">
      <c r="I164" s="29"/>
      <c r="J164" s="29"/>
    </row>
    <row r="165" spans="9:10" x14ac:dyDescent="0.3">
      <c r="I165" s="29"/>
      <c r="J165" s="29"/>
    </row>
    <row r="166" spans="9:10" x14ac:dyDescent="0.3">
      <c r="I166" s="29"/>
      <c r="J166" s="29"/>
    </row>
    <row r="167" spans="9:10" x14ac:dyDescent="0.3">
      <c r="I167" s="29"/>
      <c r="J167" s="29"/>
    </row>
    <row r="168" spans="9:10" x14ac:dyDescent="0.3">
      <c r="I168" s="29"/>
      <c r="J168" s="29"/>
    </row>
    <row r="169" spans="9:10" x14ac:dyDescent="0.3">
      <c r="I169" s="29"/>
      <c r="J169" s="29"/>
    </row>
    <row r="170" spans="9:10" x14ac:dyDescent="0.3">
      <c r="I170" s="29"/>
      <c r="J170" s="29"/>
    </row>
    <row r="171" spans="9:10" x14ac:dyDescent="0.3">
      <c r="I171" s="29"/>
      <c r="J171" s="29"/>
    </row>
    <row r="172" spans="9:10" x14ac:dyDescent="0.3">
      <c r="I172" s="29"/>
      <c r="J172" s="29"/>
    </row>
    <row r="173" spans="9:10" x14ac:dyDescent="0.3">
      <c r="I173" s="29"/>
      <c r="J173" s="29"/>
    </row>
    <row r="174" spans="9:10" x14ac:dyDescent="0.3">
      <c r="I174" s="29"/>
      <c r="J174" s="29"/>
    </row>
    <row r="175" spans="9:10" x14ac:dyDescent="0.3">
      <c r="I175" s="29"/>
      <c r="J175" s="29"/>
    </row>
    <row r="176" spans="9:10" x14ac:dyDescent="0.3">
      <c r="I176" s="29"/>
      <c r="J176" s="29"/>
    </row>
    <row r="177" spans="9:10" x14ac:dyDescent="0.3">
      <c r="I177" s="29"/>
      <c r="J177" s="29"/>
    </row>
    <row r="178" spans="9:10" x14ac:dyDescent="0.3">
      <c r="I178" s="29"/>
      <c r="J178" s="29"/>
    </row>
    <row r="179" spans="9:10" x14ac:dyDescent="0.3">
      <c r="I179" s="29"/>
      <c r="J179" s="29"/>
    </row>
    <row r="180" spans="9:10" x14ac:dyDescent="0.3">
      <c r="I180" s="29"/>
      <c r="J180" s="29"/>
    </row>
    <row r="181" spans="9:10" x14ac:dyDescent="0.3">
      <c r="I181" s="29"/>
      <c r="J181" s="29"/>
    </row>
    <row r="182" spans="9:10" x14ac:dyDescent="0.3">
      <c r="I182" s="29"/>
      <c r="J182" s="29"/>
    </row>
    <row r="183" spans="9:10" x14ac:dyDescent="0.3">
      <c r="I183" s="29"/>
      <c r="J183" s="29"/>
    </row>
    <row r="184" spans="9:10" x14ac:dyDescent="0.3">
      <c r="I184" s="29"/>
      <c r="J184" s="29"/>
    </row>
    <row r="185" spans="9:10" x14ac:dyDescent="0.3">
      <c r="I185" s="29"/>
      <c r="J185" s="29"/>
    </row>
    <row r="186" spans="9:10" x14ac:dyDescent="0.3">
      <c r="I186" s="29"/>
      <c r="J186" s="29"/>
    </row>
    <row r="187" spans="9:10" x14ac:dyDescent="0.3">
      <c r="I187" s="29"/>
      <c r="J187" s="29"/>
    </row>
    <row r="188" spans="9:10" x14ac:dyDescent="0.3">
      <c r="I188" s="29"/>
      <c r="J188" s="29"/>
    </row>
    <row r="189" spans="9:10" x14ac:dyDescent="0.3">
      <c r="I189" s="29"/>
      <c r="J189" s="29"/>
    </row>
    <row r="190" spans="9:10" x14ac:dyDescent="0.3">
      <c r="I190" s="29"/>
      <c r="J190" s="29"/>
    </row>
    <row r="191" spans="9:10" x14ac:dyDescent="0.3">
      <c r="I191" s="29"/>
      <c r="J191" s="29"/>
    </row>
    <row r="192" spans="9:10" x14ac:dyDescent="0.3">
      <c r="I192" s="29"/>
      <c r="J192" s="29"/>
    </row>
    <row r="193" spans="9:10" x14ac:dyDescent="0.3">
      <c r="I193" s="29"/>
      <c r="J193" s="29"/>
    </row>
    <row r="194" spans="9:10" x14ac:dyDescent="0.3">
      <c r="I194" s="29"/>
      <c r="J194" s="29"/>
    </row>
    <row r="195" spans="9:10" x14ac:dyDescent="0.3">
      <c r="I195" s="29"/>
      <c r="J195" s="29"/>
    </row>
    <row r="196" spans="9:10" x14ac:dyDescent="0.3">
      <c r="I196" s="29"/>
      <c r="J196" s="29"/>
    </row>
    <row r="197" spans="9:10" x14ac:dyDescent="0.3">
      <c r="I197" s="29"/>
      <c r="J197" s="29"/>
    </row>
    <row r="198" spans="9:10" x14ac:dyDescent="0.3">
      <c r="I198" s="29"/>
      <c r="J198" s="29"/>
    </row>
    <row r="199" spans="9:10" x14ac:dyDescent="0.3">
      <c r="I199" s="29"/>
      <c r="J199" s="29"/>
    </row>
    <row r="200" spans="9:10" x14ac:dyDescent="0.3">
      <c r="I200" s="29"/>
      <c r="J200" s="29"/>
    </row>
    <row r="201" spans="9:10" x14ac:dyDescent="0.3">
      <c r="I201" s="29"/>
      <c r="J201" s="29"/>
    </row>
    <row r="202" spans="9:10" x14ac:dyDescent="0.3">
      <c r="I202" s="29"/>
      <c r="J202" s="29"/>
    </row>
    <row r="203" spans="9:10" x14ac:dyDescent="0.3">
      <c r="I203" s="29"/>
      <c r="J203" s="29"/>
    </row>
    <row r="204" spans="9:10" x14ac:dyDescent="0.3">
      <c r="I204" s="29"/>
      <c r="J204" s="29"/>
    </row>
    <row r="205" spans="9:10" x14ac:dyDescent="0.3">
      <c r="I205" s="29"/>
      <c r="J205" s="29"/>
    </row>
    <row r="206" spans="9:10" x14ac:dyDescent="0.3">
      <c r="I206" s="29"/>
      <c r="J206" s="29"/>
    </row>
    <row r="207" spans="9:10" x14ac:dyDescent="0.3">
      <c r="I207" s="29"/>
      <c r="J207" s="29"/>
    </row>
    <row r="208" spans="9:10" x14ac:dyDescent="0.3">
      <c r="I208" s="29"/>
      <c r="J208" s="29"/>
    </row>
    <row r="209" spans="9:10" x14ac:dyDescent="0.3">
      <c r="I209" s="29"/>
      <c r="J209" s="29"/>
    </row>
    <row r="210" spans="9:10" x14ac:dyDescent="0.3">
      <c r="I210" s="29"/>
      <c r="J210" s="29"/>
    </row>
    <row r="211" spans="9:10" x14ac:dyDescent="0.3">
      <c r="I211" s="29"/>
      <c r="J211" s="29"/>
    </row>
    <row r="212" spans="9:10" x14ac:dyDescent="0.3">
      <c r="I212" s="29"/>
      <c r="J212" s="29"/>
    </row>
    <row r="213" spans="9:10" x14ac:dyDescent="0.3">
      <c r="I213" s="29"/>
      <c r="J213" s="29"/>
    </row>
    <row r="214" spans="9:10" x14ac:dyDescent="0.3">
      <c r="I214" s="29"/>
      <c r="J214" s="29"/>
    </row>
    <row r="215" spans="9:10" x14ac:dyDescent="0.3">
      <c r="I215" s="29"/>
      <c r="J215" s="29"/>
    </row>
    <row r="216" spans="9:10" x14ac:dyDescent="0.3">
      <c r="I216" s="29"/>
      <c r="J216" s="29"/>
    </row>
    <row r="217" spans="9:10" x14ac:dyDescent="0.3">
      <c r="I217" s="29"/>
      <c r="J217" s="29"/>
    </row>
    <row r="218" spans="9:10" x14ac:dyDescent="0.3">
      <c r="I218" s="29"/>
      <c r="J218" s="29"/>
    </row>
    <row r="219" spans="9:10" x14ac:dyDescent="0.3">
      <c r="I219" s="29"/>
      <c r="J219" s="29"/>
    </row>
    <row r="220" spans="9:10" x14ac:dyDescent="0.3">
      <c r="I220" s="29"/>
      <c r="J220" s="29"/>
    </row>
    <row r="221" spans="9:10" x14ac:dyDescent="0.3">
      <c r="I221" s="29"/>
      <c r="J221" s="29"/>
    </row>
    <row r="222" spans="9:10" x14ac:dyDescent="0.3">
      <c r="I222" s="29"/>
      <c r="J222" s="29"/>
    </row>
    <row r="223" spans="9:10" x14ac:dyDescent="0.3">
      <c r="I223" s="29"/>
      <c r="J223" s="29"/>
    </row>
    <row r="224" spans="9:10" x14ac:dyDescent="0.3">
      <c r="I224" s="29"/>
      <c r="J224" s="29"/>
    </row>
    <row r="225" spans="9:10" x14ac:dyDescent="0.3">
      <c r="I225" s="29"/>
      <c r="J225" s="29"/>
    </row>
    <row r="226" spans="9:10" x14ac:dyDescent="0.3">
      <c r="I226" s="29"/>
      <c r="J226" s="29"/>
    </row>
    <row r="227" spans="9:10" x14ac:dyDescent="0.3">
      <c r="I227" s="29"/>
      <c r="J227" s="29"/>
    </row>
    <row r="228" spans="9:10" x14ac:dyDescent="0.3">
      <c r="I228" s="29"/>
      <c r="J228" s="29"/>
    </row>
    <row r="229" spans="9:10" x14ac:dyDescent="0.3">
      <c r="I229" s="29"/>
      <c r="J229" s="29"/>
    </row>
    <row r="230" spans="9:10" x14ac:dyDescent="0.3">
      <c r="I230" s="29"/>
      <c r="J230" s="29"/>
    </row>
    <row r="231" spans="9:10" x14ac:dyDescent="0.3">
      <c r="I231" s="29"/>
      <c r="J231" s="29"/>
    </row>
    <row r="232" spans="9:10" x14ac:dyDescent="0.3">
      <c r="I232" s="29"/>
      <c r="J232" s="29"/>
    </row>
    <row r="233" spans="9:10" x14ac:dyDescent="0.3">
      <c r="I233" s="29"/>
      <c r="J233" s="29"/>
    </row>
    <row r="234" spans="9:10" x14ac:dyDescent="0.3">
      <c r="I234" s="29"/>
      <c r="J234" s="29"/>
    </row>
    <row r="235" spans="9:10" x14ac:dyDescent="0.3">
      <c r="I235" s="29"/>
      <c r="J235" s="29"/>
    </row>
    <row r="236" spans="9:10" x14ac:dyDescent="0.3">
      <c r="I236" s="29"/>
      <c r="J236" s="29"/>
    </row>
    <row r="237" spans="9:10" x14ac:dyDescent="0.3">
      <c r="I237" s="29"/>
      <c r="J237" s="29"/>
    </row>
    <row r="238" spans="9:10" x14ac:dyDescent="0.3">
      <c r="I238" s="29"/>
      <c r="J238" s="29"/>
    </row>
    <row r="239" spans="9:10" x14ac:dyDescent="0.3">
      <c r="I239" s="29"/>
      <c r="J239" s="29"/>
    </row>
    <row r="240" spans="9:10" x14ac:dyDescent="0.3">
      <c r="I240" s="29"/>
      <c r="J240" s="29"/>
    </row>
    <row r="241" spans="9:10" x14ac:dyDescent="0.3">
      <c r="I241" s="29"/>
      <c r="J241" s="29"/>
    </row>
    <row r="242" spans="9:10" x14ac:dyDescent="0.3">
      <c r="I242" s="29"/>
      <c r="J242" s="29"/>
    </row>
    <row r="243" spans="9:10" x14ac:dyDescent="0.3">
      <c r="I243" s="29"/>
      <c r="J243" s="29"/>
    </row>
    <row r="244" spans="9:10" x14ac:dyDescent="0.3">
      <c r="I244" s="29"/>
      <c r="J244" s="29"/>
    </row>
    <row r="245" spans="9:10" x14ac:dyDescent="0.3">
      <c r="I245" s="29"/>
      <c r="J245" s="29"/>
    </row>
    <row r="246" spans="9:10" x14ac:dyDescent="0.3">
      <c r="I246" s="29"/>
      <c r="J246" s="29"/>
    </row>
    <row r="247" spans="9:10" x14ac:dyDescent="0.3">
      <c r="I247" s="29"/>
      <c r="J247" s="29"/>
    </row>
    <row r="248" spans="9:10" x14ac:dyDescent="0.3">
      <c r="I248" s="29"/>
      <c r="J248" s="29"/>
    </row>
    <row r="249" spans="9:10" x14ac:dyDescent="0.3">
      <c r="I249" s="29"/>
      <c r="J249" s="29"/>
    </row>
    <row r="250" spans="9:10" x14ac:dyDescent="0.3">
      <c r="I250" s="29"/>
      <c r="J250" s="29"/>
    </row>
    <row r="251" spans="9:10" x14ac:dyDescent="0.3">
      <c r="I251" s="29"/>
      <c r="J251" s="29"/>
    </row>
    <row r="252" spans="9:10" x14ac:dyDescent="0.3">
      <c r="I252" s="29"/>
      <c r="J252" s="29"/>
    </row>
    <row r="253" spans="9:10" x14ac:dyDescent="0.3">
      <c r="I253" s="29"/>
      <c r="J253" s="29"/>
    </row>
    <row r="254" spans="9:10" x14ac:dyDescent="0.3">
      <c r="I254" s="29"/>
      <c r="J254" s="29"/>
    </row>
    <row r="255" spans="9:10" x14ac:dyDescent="0.3">
      <c r="I255" s="29"/>
      <c r="J255" s="29"/>
    </row>
    <row r="256" spans="9:10" x14ac:dyDescent="0.3">
      <c r="I256" s="29"/>
      <c r="J256" s="29"/>
    </row>
    <row r="257" spans="9:10" x14ac:dyDescent="0.3">
      <c r="I257" s="29"/>
      <c r="J257" s="29"/>
    </row>
    <row r="258" spans="9:10" x14ac:dyDescent="0.3">
      <c r="I258" s="29"/>
      <c r="J258" s="29"/>
    </row>
    <row r="259" spans="9:10" x14ac:dyDescent="0.3">
      <c r="I259" s="29"/>
      <c r="J259" s="29"/>
    </row>
    <row r="260" spans="9:10" x14ac:dyDescent="0.3">
      <c r="I260" s="29"/>
      <c r="J260" s="29"/>
    </row>
    <row r="261" spans="9:10" x14ac:dyDescent="0.3">
      <c r="I261" s="29"/>
      <c r="J261" s="29"/>
    </row>
    <row r="262" spans="9:10" x14ac:dyDescent="0.3">
      <c r="I262" s="29"/>
      <c r="J262" s="29"/>
    </row>
    <row r="263" spans="9:10" x14ac:dyDescent="0.3">
      <c r="I263" s="29"/>
      <c r="J263" s="29"/>
    </row>
    <row r="264" spans="9:10" x14ac:dyDescent="0.3">
      <c r="I264" s="29"/>
      <c r="J264" s="29"/>
    </row>
    <row r="265" spans="9:10" x14ac:dyDescent="0.3">
      <c r="I265" s="29"/>
      <c r="J265" s="29"/>
    </row>
    <row r="266" spans="9:10" x14ac:dyDescent="0.3">
      <c r="I266" s="29"/>
      <c r="J266" s="29"/>
    </row>
    <row r="267" spans="9:10" x14ac:dyDescent="0.3">
      <c r="I267" s="29"/>
      <c r="J267" s="29"/>
    </row>
    <row r="268" spans="9:10" x14ac:dyDescent="0.3">
      <c r="I268" s="29"/>
      <c r="J268" s="29"/>
    </row>
    <row r="269" spans="9:10" x14ac:dyDescent="0.3">
      <c r="I269" s="29"/>
      <c r="J269" s="29"/>
    </row>
    <row r="270" spans="9:10" x14ac:dyDescent="0.3">
      <c r="I270" s="29"/>
      <c r="J270" s="29"/>
    </row>
    <row r="271" spans="9:10" x14ac:dyDescent="0.3">
      <c r="I271" s="29"/>
      <c r="J271" s="29"/>
    </row>
    <row r="272" spans="9:10" x14ac:dyDescent="0.3">
      <c r="I272" s="29"/>
      <c r="J272" s="29"/>
    </row>
    <row r="273" spans="9:10" x14ac:dyDescent="0.3">
      <c r="I273" s="29"/>
      <c r="J273" s="29"/>
    </row>
    <row r="274" spans="9:10" x14ac:dyDescent="0.3">
      <c r="I274" s="29"/>
      <c r="J274" s="29"/>
    </row>
    <row r="275" spans="9:10" x14ac:dyDescent="0.3">
      <c r="I275" s="29"/>
      <c r="J275" s="29"/>
    </row>
    <row r="276" spans="9:10" x14ac:dyDescent="0.3">
      <c r="I276" s="29"/>
      <c r="J276" s="29"/>
    </row>
    <row r="277" spans="9:10" x14ac:dyDescent="0.3">
      <c r="I277" s="29"/>
      <c r="J277" s="29"/>
    </row>
    <row r="278" spans="9:10" x14ac:dyDescent="0.3">
      <c r="I278" s="29"/>
      <c r="J278" s="29"/>
    </row>
    <row r="279" spans="9:10" x14ac:dyDescent="0.3">
      <c r="I279" s="29"/>
      <c r="J279" s="29"/>
    </row>
    <row r="280" spans="9:10" x14ac:dyDescent="0.3">
      <c r="I280" s="29"/>
      <c r="J280" s="29"/>
    </row>
    <row r="281" spans="9:10" x14ac:dyDescent="0.3">
      <c r="I281" s="29"/>
      <c r="J281" s="29"/>
    </row>
    <row r="282" spans="9:10" x14ac:dyDescent="0.3">
      <c r="I282" s="29"/>
      <c r="J282" s="29"/>
    </row>
    <row r="283" spans="9:10" x14ac:dyDescent="0.3">
      <c r="I283" s="29"/>
      <c r="J283" s="29"/>
    </row>
    <row r="284" spans="9:10" x14ac:dyDescent="0.3">
      <c r="I284" s="29"/>
      <c r="J284" s="29"/>
    </row>
    <row r="285" spans="9:10" x14ac:dyDescent="0.3">
      <c r="I285" s="29"/>
      <c r="J285" s="29"/>
    </row>
    <row r="286" spans="9:10" x14ac:dyDescent="0.3">
      <c r="I286" s="29"/>
      <c r="J286" s="29"/>
    </row>
    <row r="287" spans="9:10" x14ac:dyDescent="0.3">
      <c r="I287" s="29"/>
      <c r="J287" s="29"/>
    </row>
    <row r="288" spans="9:10" x14ac:dyDescent="0.3">
      <c r="I288" s="29"/>
      <c r="J288" s="29"/>
    </row>
    <row r="289" spans="9:10" x14ac:dyDescent="0.3">
      <c r="I289" s="29"/>
      <c r="J289" s="29"/>
    </row>
    <row r="290" spans="9:10" x14ac:dyDescent="0.3">
      <c r="I290" s="29"/>
      <c r="J290" s="29"/>
    </row>
    <row r="291" spans="9:10" x14ac:dyDescent="0.3">
      <c r="I291" s="29"/>
      <c r="J291" s="29"/>
    </row>
    <row r="292" spans="9:10" x14ac:dyDescent="0.3">
      <c r="I292" s="29"/>
      <c r="J292" s="29"/>
    </row>
    <row r="293" spans="9:10" x14ac:dyDescent="0.3">
      <c r="I293" s="29"/>
      <c r="J293" s="29"/>
    </row>
  </sheetData>
  <autoFilter ref="A2:AM293" xr:uid="{00000000-0001-0000-0000-000000000000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BDB-B25D-4845-8F6D-6F96624A7EEC}">
  <dimension ref="A1:AM291"/>
  <sheetViews>
    <sheetView zoomScale="85" zoomScaleNormal="85" workbookViewId="0">
      <selection activeCell="C290" sqref="C290"/>
    </sheetView>
  </sheetViews>
  <sheetFormatPr defaultRowHeight="17.25" x14ac:dyDescent="0.3"/>
  <cols>
    <col min="1" max="3" width="12.125" style="3" customWidth="1"/>
    <col min="4" max="4" width="37.875" style="3" bestFit="1" customWidth="1"/>
    <col min="5" max="5" width="18.875" style="3" customWidth="1"/>
    <col min="6" max="6" width="14.375" style="3" customWidth="1"/>
    <col min="7" max="7" width="9.75" style="12" bestFit="1" customWidth="1"/>
    <col min="8" max="8" width="15.375" style="12" customWidth="1"/>
    <col min="9" max="10" width="14.375" style="3" customWidth="1"/>
    <col min="11" max="11" width="12.125" style="3" customWidth="1"/>
    <col min="12" max="12" width="17.75" style="3" customWidth="1"/>
    <col min="13" max="13" width="16.75" style="3" bestFit="1" customWidth="1"/>
    <col min="14" max="14" width="65.875" style="3" bestFit="1" customWidth="1"/>
    <col min="15" max="15" width="12.125" style="3" customWidth="1"/>
    <col min="16" max="18" width="17.75" style="3" customWidth="1"/>
    <col min="19" max="19" width="14.375" style="3" customWidth="1"/>
    <col min="20" max="20" width="88.625" style="3" bestFit="1" customWidth="1"/>
    <col min="21" max="23" width="17.75" style="3" customWidth="1"/>
    <col min="24" max="24" width="14.375" style="3" customWidth="1"/>
    <col min="25" max="25" width="17.75" style="3" customWidth="1"/>
    <col min="26" max="26" width="29" style="3" customWidth="1"/>
    <col min="27" max="27" width="14.375" style="3" customWidth="1"/>
    <col min="28" max="28" width="17.75" style="3" customWidth="1"/>
    <col min="29" max="29" width="29" style="3" customWidth="1"/>
    <col min="30" max="30" width="20.875" style="3" customWidth="1"/>
    <col min="31" max="34" width="17.75" style="3" customWidth="1"/>
    <col min="35" max="35" width="14.375" style="3" customWidth="1"/>
    <col min="36" max="36" width="17.75" style="3" customWidth="1"/>
    <col min="37" max="37" width="14.375" style="3" customWidth="1"/>
    <col min="38" max="38" width="17.75" style="3" customWidth="1"/>
    <col min="39" max="39" width="34.625" style="3" customWidth="1"/>
    <col min="40" max="16384" width="9" style="3"/>
  </cols>
  <sheetData>
    <row r="1" spans="1:39" x14ac:dyDescent="0.3">
      <c r="AC1" s="25">
        <v>2</v>
      </c>
      <c r="AD1" s="25">
        <v>3</v>
      </c>
      <c r="AE1" s="25"/>
      <c r="AF1" s="25">
        <v>4</v>
      </c>
      <c r="AG1" s="25">
        <v>5</v>
      </c>
      <c r="AH1" s="25"/>
      <c r="AI1" s="25">
        <v>8</v>
      </c>
      <c r="AJ1" s="25">
        <v>9</v>
      </c>
      <c r="AK1" s="25">
        <v>10</v>
      </c>
      <c r="AL1" s="25">
        <v>11</v>
      </c>
      <c r="AM1" s="25">
        <v>13</v>
      </c>
    </row>
    <row r="2" spans="1:39" x14ac:dyDescent="0.3">
      <c r="A2" s="26" t="s">
        <v>0</v>
      </c>
      <c r="B2" s="26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7" t="s">
        <v>6</v>
      </c>
      <c r="H2" s="27" t="s">
        <v>7</v>
      </c>
      <c r="I2" s="26" t="s">
        <v>8</v>
      </c>
      <c r="J2" s="26" t="s">
        <v>9</v>
      </c>
      <c r="K2" s="26" t="s">
        <v>10</v>
      </c>
      <c r="L2" s="26" t="s">
        <v>11</v>
      </c>
      <c r="M2" s="26" t="s">
        <v>12</v>
      </c>
      <c r="N2" s="26" t="s">
        <v>13</v>
      </c>
      <c r="O2" s="26" t="s">
        <v>14</v>
      </c>
      <c r="P2" s="26" t="s">
        <v>15</v>
      </c>
      <c r="Q2" s="26" t="s">
        <v>16</v>
      </c>
      <c r="R2" s="26" t="s">
        <v>17</v>
      </c>
      <c r="S2" s="26" t="s">
        <v>18</v>
      </c>
      <c r="T2" s="26" t="s">
        <v>19</v>
      </c>
      <c r="U2" s="26" t="s">
        <v>20</v>
      </c>
      <c r="V2" s="26" t="s">
        <v>21</v>
      </c>
      <c r="W2" s="26" t="s">
        <v>22</v>
      </c>
      <c r="X2" s="26" t="s">
        <v>23</v>
      </c>
      <c r="Y2" s="26" t="s">
        <v>24</v>
      </c>
      <c r="Z2" s="26" t="s">
        <v>25</v>
      </c>
      <c r="AA2" s="26" t="s">
        <v>26</v>
      </c>
      <c r="AB2" s="26" t="s">
        <v>27</v>
      </c>
      <c r="AC2" s="33" t="s">
        <v>28</v>
      </c>
      <c r="AD2" s="33" t="s">
        <v>29</v>
      </c>
      <c r="AE2" s="26" t="s">
        <v>30</v>
      </c>
      <c r="AF2" s="33" t="s">
        <v>31</v>
      </c>
      <c r="AG2" s="33" t="s">
        <v>32</v>
      </c>
      <c r="AH2" s="26" t="s">
        <v>33</v>
      </c>
      <c r="AI2" s="33" t="s">
        <v>34</v>
      </c>
      <c r="AJ2" s="33" t="s">
        <v>35</v>
      </c>
      <c r="AK2" s="33" t="s">
        <v>36</v>
      </c>
      <c r="AL2" s="33" t="s">
        <v>37</v>
      </c>
      <c r="AM2" s="33" t="s">
        <v>38</v>
      </c>
    </row>
    <row r="3" spans="1:39" x14ac:dyDescent="0.3">
      <c r="A3" s="3" t="s">
        <v>453</v>
      </c>
      <c r="B3" s="3">
        <v>2025</v>
      </c>
      <c r="C3" s="3" t="s">
        <v>3535</v>
      </c>
      <c r="E3" s="3" t="s">
        <v>3538</v>
      </c>
      <c r="F3" s="28" t="s">
        <v>3462</v>
      </c>
      <c r="G3" s="12">
        <v>1</v>
      </c>
      <c r="H3" s="12">
        <v>1</v>
      </c>
      <c r="I3" s="37">
        <v>45930</v>
      </c>
      <c r="J3" s="37">
        <v>45930</v>
      </c>
      <c r="L3" s="3" t="s">
        <v>181</v>
      </c>
      <c r="M3" s="3" t="s">
        <v>3538</v>
      </c>
      <c r="N3" s="3" t="s">
        <v>456</v>
      </c>
      <c r="O3" s="3">
        <v>60</v>
      </c>
      <c r="P3" s="3">
        <v>1248148819</v>
      </c>
      <c r="Q3" s="3">
        <v>12481488190</v>
      </c>
      <c r="R3" s="3" t="s">
        <v>457</v>
      </c>
      <c r="T3" s="3" t="s">
        <v>458</v>
      </c>
      <c r="U3" s="3" t="s">
        <v>459</v>
      </c>
      <c r="V3" s="3" t="s">
        <v>3463</v>
      </c>
      <c r="W3" s="3" t="s">
        <v>460</v>
      </c>
      <c r="X3" s="3" t="s">
        <v>461</v>
      </c>
      <c r="Y3" s="3" t="s">
        <v>462</v>
      </c>
      <c r="Z3" s="3" t="s">
        <v>3464</v>
      </c>
      <c r="AA3" s="29">
        <v>45959</v>
      </c>
      <c r="AB3" s="3" t="s">
        <v>181</v>
      </c>
      <c r="AC3" s="3" t="str">
        <f>VLOOKUP(A3,'[1]계산서(25하-경기)'!X$3:AJ$17,2,FALSE)</f>
        <v>sty2355@daum.net</v>
      </c>
      <c r="AD3" s="29">
        <f>VLOOKUP(A3,'[1]계산서(25하-경기)'!X$3:AJ$17,3,FALSE)</f>
        <v>45974</v>
      </c>
      <c r="AE3" s="3">
        <f t="shared" ref="AE3:AE16" si="0">AF3+AG3</f>
        <v>700000</v>
      </c>
      <c r="AF3" s="3">
        <f>VLOOKUP(A3,'[1]계산서(25하-경기)'!X$3:AJ$17,4,FALSE)</f>
        <v>700000</v>
      </c>
      <c r="AG3" s="3">
        <f>VLOOKUP(A3,'[1]계산서(25하-경기)'!X$3:AJ$17,5,FALSE)</f>
        <v>0</v>
      </c>
      <c r="AH3" s="3">
        <f t="shared" ref="AH3:AH16" si="1">AJ3+AL3</f>
        <v>700000</v>
      </c>
      <c r="AI3" s="29">
        <f>VLOOKUP(A3,'[1]계산서(25하-경기)'!X$3:AJ$17,8,FALSE)</f>
        <v>45980</v>
      </c>
      <c r="AJ3" s="3">
        <f>VLOOKUP(A3,'[1]계산서(25하-경기)'!X$3:AJ$17,9,FALSE)</f>
        <v>700000</v>
      </c>
      <c r="AK3" s="29" t="str">
        <f>VLOOKUP(A3,'[1]계산서(25하-경기)'!X$3:AJ$17,10,FALSE)</f>
        <v>국고 X</v>
      </c>
      <c r="AL3" s="3">
        <f>VLOOKUP(A3,'[1]계산서(25하-경기)'!X$3:AJ$17,11,FALSE)</f>
        <v>0</v>
      </c>
    </row>
    <row r="4" spans="1:39" x14ac:dyDescent="0.3">
      <c r="A4" s="3" t="s">
        <v>464</v>
      </c>
      <c r="B4" s="3">
        <v>2025</v>
      </c>
      <c r="C4" s="3" t="s">
        <v>3535</v>
      </c>
      <c r="E4" s="3" t="s">
        <v>3538</v>
      </c>
      <c r="F4" s="28" t="s">
        <v>3465</v>
      </c>
      <c r="G4" s="12">
        <v>2</v>
      </c>
      <c r="H4" s="12">
        <v>2</v>
      </c>
      <c r="I4" s="37">
        <v>45930</v>
      </c>
      <c r="J4" s="37">
        <v>45930</v>
      </c>
      <c r="L4" s="3" t="s">
        <v>46</v>
      </c>
      <c r="M4" s="3" t="s">
        <v>3538</v>
      </c>
      <c r="N4" s="3" t="s">
        <v>467</v>
      </c>
      <c r="O4" s="3">
        <v>18</v>
      </c>
      <c r="P4" s="3">
        <v>1192061600</v>
      </c>
      <c r="Q4" s="3">
        <v>11920616000</v>
      </c>
      <c r="R4" s="3" t="s">
        <v>468</v>
      </c>
      <c r="T4" s="3" t="s">
        <v>469</v>
      </c>
      <c r="U4" s="3" t="s">
        <v>470</v>
      </c>
      <c r="V4" s="3" t="s">
        <v>3466</v>
      </c>
      <c r="W4" s="3" t="s">
        <v>471</v>
      </c>
      <c r="X4" s="3" t="s">
        <v>461</v>
      </c>
      <c r="Y4" s="3" t="s">
        <v>472</v>
      </c>
      <c r="Z4" s="3" t="s">
        <v>473</v>
      </c>
      <c r="AA4" s="29">
        <v>45959</v>
      </c>
      <c r="AB4" s="3" t="s">
        <v>181</v>
      </c>
      <c r="AC4" s="3" t="str">
        <f>VLOOKUP(A4,'[1]계산서(25하-경기)'!X$3:AJ$17,2,FALSE)</f>
        <v>tymc1012@tymc.kr</v>
      </c>
      <c r="AD4" s="29">
        <f>VLOOKUP(A4,'[1]계산서(25하-경기)'!X$3:AJ$17,3,FALSE)</f>
        <v>45974</v>
      </c>
      <c r="AE4" s="3">
        <f t="shared" si="0"/>
        <v>700000</v>
      </c>
      <c r="AF4" s="3">
        <f>VLOOKUP(A4,'[1]계산서(25하-경기)'!X$3:AJ$17,4,FALSE)</f>
        <v>300000</v>
      </c>
      <c r="AG4" s="3">
        <f>VLOOKUP(A4,'[1]계산서(25하-경기)'!X$3:AJ$17,5,FALSE)</f>
        <v>400000</v>
      </c>
      <c r="AH4" s="3">
        <f t="shared" si="1"/>
        <v>400000</v>
      </c>
      <c r="AI4" s="29"/>
      <c r="AK4" s="29">
        <f>VLOOKUP(A4,'[1]계산서(25하-경기)'!X$3:AJ$17,10,FALSE)</f>
        <v>45975</v>
      </c>
      <c r="AL4" s="3">
        <f>VLOOKUP(A4,'[1]계산서(25하-경기)'!X$3:AJ$17,11,FALSE)</f>
        <v>400000</v>
      </c>
    </row>
    <row r="5" spans="1:39" x14ac:dyDescent="0.3">
      <c r="A5" s="3" t="s">
        <v>237</v>
      </c>
      <c r="B5" s="3">
        <v>2025</v>
      </c>
      <c r="C5" s="3" t="s">
        <v>3535</v>
      </c>
      <c r="E5" s="3" t="s">
        <v>3538</v>
      </c>
      <c r="F5" s="28" t="s">
        <v>3467</v>
      </c>
      <c r="G5" s="12">
        <v>3</v>
      </c>
      <c r="H5" s="12">
        <v>3</v>
      </c>
      <c r="I5" s="37">
        <v>45930</v>
      </c>
      <c r="J5" s="37">
        <v>45930</v>
      </c>
      <c r="L5" s="3" t="s">
        <v>218</v>
      </c>
      <c r="M5" s="3" t="s">
        <v>3538</v>
      </c>
      <c r="N5" s="3" t="s">
        <v>242</v>
      </c>
      <c r="O5" s="3">
        <v>18</v>
      </c>
      <c r="P5" s="3">
        <v>7328701183</v>
      </c>
      <c r="Q5" s="3">
        <v>73287011830</v>
      </c>
      <c r="R5" s="3" t="s">
        <v>243</v>
      </c>
      <c r="T5" s="3" t="s">
        <v>244</v>
      </c>
      <c r="U5" s="3" t="s">
        <v>245</v>
      </c>
      <c r="V5" s="3" t="s">
        <v>3468</v>
      </c>
      <c r="W5" s="3" t="s">
        <v>246</v>
      </c>
      <c r="Y5" s="3" t="s">
        <v>247</v>
      </c>
      <c r="Z5" s="3" t="s">
        <v>248</v>
      </c>
      <c r="AA5" s="29">
        <v>45959</v>
      </c>
      <c r="AB5" s="3" t="s">
        <v>218</v>
      </c>
      <c r="AC5" s="3" t="str">
        <f>VLOOKUP(A5,'[1]계산서(25하-경기)'!X$3:AJ$17,2,FALSE)</f>
        <v>odm8684@naver.com</v>
      </c>
      <c r="AD5" s="29">
        <f>VLOOKUP(A5,'[1]계산서(25하-경기)'!X$3:AJ$17,3,FALSE)</f>
        <v>45957</v>
      </c>
      <c r="AE5" s="3">
        <f t="shared" si="0"/>
        <v>900000</v>
      </c>
      <c r="AF5" s="3">
        <f>VLOOKUP(A5,'[1]계산서(25하-경기)'!X$3:AJ$17,4,FALSE)</f>
        <v>500000</v>
      </c>
      <c r="AG5" s="3">
        <f>VLOOKUP(A5,'[1]계산서(25하-경기)'!X$3:AJ$17,5,FALSE)</f>
        <v>400000</v>
      </c>
      <c r="AH5" s="3">
        <f t="shared" si="1"/>
        <v>400000</v>
      </c>
      <c r="AI5" s="29"/>
      <c r="AK5" s="29">
        <f>VLOOKUP(A5,'[1]계산서(25하-경기)'!X$3:AJ$17,10,FALSE)</f>
        <v>45975</v>
      </c>
      <c r="AL5" s="3">
        <f>VLOOKUP(A5,'[1]계산서(25하-경기)'!X$3:AJ$17,11,FALSE)</f>
        <v>400000</v>
      </c>
    </row>
    <row r="6" spans="1:39" x14ac:dyDescent="0.3">
      <c r="A6" s="3" t="s">
        <v>249</v>
      </c>
      <c r="B6" s="3">
        <v>2025</v>
      </c>
      <c r="C6" s="3" t="s">
        <v>3535</v>
      </c>
      <c r="E6" s="3" t="s">
        <v>3538</v>
      </c>
      <c r="F6" s="28" t="s">
        <v>3469</v>
      </c>
      <c r="G6" s="12">
        <v>4</v>
      </c>
      <c r="H6" s="12">
        <v>4</v>
      </c>
      <c r="I6" s="37">
        <v>45930</v>
      </c>
      <c r="J6" s="37">
        <v>45930</v>
      </c>
      <c r="L6" s="3" t="s">
        <v>61</v>
      </c>
      <c r="M6" s="3" t="s">
        <v>3538</v>
      </c>
      <c r="N6" s="3" t="s">
        <v>251</v>
      </c>
      <c r="O6" s="3">
        <v>5</v>
      </c>
      <c r="P6" s="3">
        <v>1310866049</v>
      </c>
      <c r="Q6" s="3">
        <v>13108660490</v>
      </c>
      <c r="R6" s="3" t="s">
        <v>252</v>
      </c>
      <c r="T6" s="3" t="s">
        <v>253</v>
      </c>
      <c r="U6" s="3" t="s">
        <v>254</v>
      </c>
      <c r="V6" s="3" t="s">
        <v>3470</v>
      </c>
      <c r="W6" s="3" t="s">
        <v>255</v>
      </c>
      <c r="X6" s="3" t="s">
        <v>123</v>
      </c>
      <c r="Y6" s="3" t="s">
        <v>256</v>
      </c>
      <c r="Z6" s="3" t="s">
        <v>257</v>
      </c>
      <c r="AA6" s="29">
        <v>45955</v>
      </c>
      <c r="AB6" s="3" t="s">
        <v>61</v>
      </c>
      <c r="AC6" s="3" t="str">
        <f>VLOOKUP(A6,'[1]계산서(25하-경기)'!X$3:AJ$17,2,FALSE)</f>
        <v>hshan@daeseung.me</v>
      </c>
      <c r="AD6" s="29">
        <f>VLOOKUP(A6,'[1]계산서(25하-경기)'!X$3:AJ$17,3,FALSE)</f>
        <v>45925</v>
      </c>
      <c r="AE6" s="3">
        <f t="shared" si="0"/>
        <v>800000</v>
      </c>
      <c r="AF6" s="3">
        <f>VLOOKUP(A6,'[1]계산서(25하-경기)'!X$3:AJ$17,4,FALSE)</f>
        <v>400000</v>
      </c>
      <c r="AG6" s="3">
        <f>VLOOKUP(A6,'[1]계산서(25하-경기)'!X$3:AJ$17,5,FALSE)</f>
        <v>400000</v>
      </c>
      <c r="AH6" s="3">
        <f t="shared" si="1"/>
        <v>800000</v>
      </c>
      <c r="AI6" s="29">
        <f>VLOOKUP(A6,'[1]계산서(25하-경기)'!X$3:AJ$17,8,FALSE)</f>
        <v>45925</v>
      </c>
      <c r="AJ6" s="3">
        <f>VLOOKUP(A6,'[1]계산서(25하-경기)'!X$3:AJ$17,9,FALSE)</f>
        <v>400000</v>
      </c>
      <c r="AK6" s="29">
        <f>VLOOKUP(A6,'[1]계산서(25하-경기)'!X$3:AJ$17,10,FALSE)</f>
        <v>45975</v>
      </c>
      <c r="AL6" s="3">
        <f>VLOOKUP(A6,'[1]계산서(25하-경기)'!X$3:AJ$17,11,FALSE)</f>
        <v>400000</v>
      </c>
    </row>
    <row r="7" spans="1:39" x14ac:dyDescent="0.3">
      <c r="A7" s="3" t="s">
        <v>258</v>
      </c>
      <c r="B7" s="3">
        <v>2025</v>
      </c>
      <c r="C7" s="3" t="s">
        <v>3535</v>
      </c>
      <c r="E7" s="3" t="s">
        <v>3538</v>
      </c>
      <c r="F7" s="28" t="s">
        <v>3471</v>
      </c>
      <c r="G7" s="12">
        <v>5</v>
      </c>
      <c r="H7" s="12">
        <v>5</v>
      </c>
      <c r="I7" s="37">
        <v>45930</v>
      </c>
      <c r="J7" s="37">
        <v>45930</v>
      </c>
      <c r="L7" s="3" t="s">
        <v>97</v>
      </c>
      <c r="M7" s="3" t="s">
        <v>3538</v>
      </c>
      <c r="N7" s="3" t="s">
        <v>261</v>
      </c>
      <c r="O7" s="3">
        <v>19</v>
      </c>
      <c r="P7" s="3">
        <v>1408166823</v>
      </c>
      <c r="Q7" s="3">
        <v>14081668230</v>
      </c>
      <c r="R7" s="3" t="s">
        <v>252</v>
      </c>
      <c r="T7" s="3" t="s">
        <v>253</v>
      </c>
      <c r="U7" s="3" t="s">
        <v>254</v>
      </c>
      <c r="V7" s="3" t="s">
        <v>3470</v>
      </c>
      <c r="W7" s="3" t="s">
        <v>255</v>
      </c>
      <c r="X7" s="3" t="s">
        <v>123</v>
      </c>
      <c r="Y7" s="3" t="s">
        <v>256</v>
      </c>
      <c r="Z7" s="3" t="s">
        <v>257</v>
      </c>
      <c r="AA7" s="29">
        <v>45955</v>
      </c>
      <c r="AB7" s="3" t="s">
        <v>61</v>
      </c>
      <c r="AC7" s="3" t="str">
        <f>VLOOKUP(A7,'[1]계산서(25하-경기)'!X$3:AJ$17,2,FALSE)</f>
        <v>hshan@daeseung.me</v>
      </c>
      <c r="AD7" s="29">
        <f>VLOOKUP(A7,'[1]계산서(25하-경기)'!X$3:AJ$17,3,FALSE)</f>
        <v>45925</v>
      </c>
      <c r="AE7" s="3">
        <f t="shared" si="0"/>
        <v>900000</v>
      </c>
      <c r="AF7" s="3">
        <f>VLOOKUP(A7,'[1]계산서(25하-경기)'!X$3:AJ$17,4,FALSE)</f>
        <v>500000</v>
      </c>
      <c r="AG7" s="3">
        <f>VLOOKUP(A7,'[1]계산서(25하-경기)'!X$3:AJ$17,5,FALSE)</f>
        <v>400000</v>
      </c>
      <c r="AH7" s="3">
        <f t="shared" si="1"/>
        <v>900000</v>
      </c>
      <c r="AI7" s="29">
        <f>VLOOKUP(A7,'[1]계산서(25하-경기)'!X$3:AJ$17,8,FALSE)</f>
        <v>45925</v>
      </c>
      <c r="AJ7" s="3">
        <f>VLOOKUP(A7,'[1]계산서(25하-경기)'!X$3:AJ$17,9,FALSE)</f>
        <v>500000</v>
      </c>
      <c r="AK7" s="29">
        <f>VLOOKUP(A7,'[1]계산서(25하-경기)'!X$3:AJ$17,10,FALSE)</f>
        <v>45975</v>
      </c>
      <c r="AL7" s="3">
        <f>VLOOKUP(A7,'[1]계산서(25하-경기)'!X$3:AJ$17,11,FALSE)</f>
        <v>400000</v>
      </c>
    </row>
    <row r="8" spans="1:39" x14ac:dyDescent="0.3">
      <c r="A8" s="3" t="s">
        <v>3472</v>
      </c>
      <c r="B8" s="3">
        <v>2025</v>
      </c>
      <c r="C8" s="3" t="s">
        <v>3535</v>
      </c>
      <c r="E8" s="3" t="s">
        <v>3538</v>
      </c>
      <c r="F8" s="28" t="s">
        <v>3473</v>
      </c>
      <c r="G8" s="12">
        <v>6</v>
      </c>
      <c r="H8" s="12">
        <v>6</v>
      </c>
      <c r="I8" s="37">
        <v>45931</v>
      </c>
      <c r="J8" s="37">
        <v>45931</v>
      </c>
      <c r="L8" s="3" t="s">
        <v>218</v>
      </c>
      <c r="M8" s="3" t="s">
        <v>3538</v>
      </c>
      <c r="N8" s="3" t="s">
        <v>3474</v>
      </c>
      <c r="O8" s="3">
        <v>6</v>
      </c>
      <c r="P8" s="3">
        <v>4388103502</v>
      </c>
      <c r="Q8" s="3">
        <v>43881035020</v>
      </c>
      <c r="R8" s="3" t="s">
        <v>3475</v>
      </c>
      <c r="T8" s="3" t="s">
        <v>3476</v>
      </c>
      <c r="U8" s="3" t="s">
        <v>254</v>
      </c>
      <c r="V8" s="3" t="s">
        <v>3470</v>
      </c>
      <c r="W8" s="3" t="s">
        <v>255</v>
      </c>
      <c r="X8" s="3" t="s">
        <v>123</v>
      </c>
      <c r="Y8" s="3" t="s">
        <v>256</v>
      </c>
      <c r="Z8" s="3" t="s">
        <v>257</v>
      </c>
      <c r="AA8" s="29">
        <v>45954</v>
      </c>
      <c r="AB8" s="3" t="s">
        <v>218</v>
      </c>
      <c r="AC8" s="3" t="str">
        <f>VLOOKUP(A8,'[1]계산서(25하-경기)'!X$3:AJ$17,2,FALSE)</f>
        <v>hshan@daeseung.me</v>
      </c>
      <c r="AD8" s="29">
        <f>VLOOKUP(A8,'[1]계산서(25하-경기)'!X$3:AJ$17,3,FALSE)</f>
        <v>45925</v>
      </c>
      <c r="AE8" s="3">
        <f t="shared" si="0"/>
        <v>600000</v>
      </c>
      <c r="AF8" s="3">
        <f>VLOOKUP(A8,'[1]계산서(25하-경기)'!X$3:AJ$17,4,FALSE)</f>
        <v>200000</v>
      </c>
      <c r="AG8" s="3">
        <f>VLOOKUP(A8,'[1]계산서(25하-경기)'!X$3:AJ$17,5,FALSE)</f>
        <v>400000</v>
      </c>
      <c r="AH8" s="3">
        <f t="shared" si="1"/>
        <v>600000</v>
      </c>
      <c r="AI8" s="29">
        <f>VLOOKUP(A8,'[1]계산서(25하-경기)'!X$3:AJ$17,8,FALSE)</f>
        <v>45925</v>
      </c>
      <c r="AJ8" s="3">
        <f>VLOOKUP(A8,'[1]계산서(25하-경기)'!X$3:AJ$17,9,FALSE)</f>
        <v>200000</v>
      </c>
      <c r="AK8" s="29">
        <f>VLOOKUP(A8,'[1]계산서(25하-경기)'!X$3:AJ$17,10,FALSE)</f>
        <v>45975</v>
      </c>
      <c r="AL8" s="3">
        <f>VLOOKUP(A8,'[1]계산서(25하-경기)'!X$3:AJ$17,11,FALSE)</f>
        <v>400000</v>
      </c>
    </row>
    <row r="9" spans="1:39" x14ac:dyDescent="0.3">
      <c r="A9" s="3" t="s">
        <v>445</v>
      </c>
      <c r="B9" s="3">
        <v>2025</v>
      </c>
      <c r="C9" s="3" t="s">
        <v>3535</v>
      </c>
      <c r="E9" s="3" t="s">
        <v>3538</v>
      </c>
      <c r="F9" s="28" t="s">
        <v>3477</v>
      </c>
      <c r="G9" s="12">
        <v>7</v>
      </c>
      <c r="H9" s="12">
        <v>6</v>
      </c>
      <c r="I9" s="37">
        <v>45931</v>
      </c>
      <c r="J9" s="37">
        <v>45931</v>
      </c>
      <c r="L9" s="3" t="s">
        <v>46</v>
      </c>
      <c r="M9" s="3" t="s">
        <v>3538</v>
      </c>
      <c r="N9" s="3" t="s">
        <v>448</v>
      </c>
      <c r="O9" s="3">
        <v>2</v>
      </c>
      <c r="P9" s="3">
        <v>1258628830</v>
      </c>
      <c r="Q9" s="3">
        <v>12586288300</v>
      </c>
      <c r="R9" s="3" t="s">
        <v>449</v>
      </c>
      <c r="T9" s="3" t="s">
        <v>450</v>
      </c>
      <c r="U9" s="3" t="s">
        <v>451</v>
      </c>
      <c r="V9" s="3" t="s">
        <v>3478</v>
      </c>
      <c r="W9" s="3" t="s">
        <v>449</v>
      </c>
      <c r="X9" s="3" t="s">
        <v>78</v>
      </c>
      <c r="AA9" s="29">
        <v>45945</v>
      </c>
      <c r="AB9" s="3" t="s">
        <v>46</v>
      </c>
      <c r="AD9" s="29" t="str">
        <f>VLOOKUP(A9,'[1]계산서(25하-경기)'!X$3:AJ$17,3,FALSE)</f>
        <v>국고 전액</v>
      </c>
      <c r="AE9" s="3">
        <f t="shared" si="0"/>
        <v>339430</v>
      </c>
      <c r="AF9" s="3">
        <f>VLOOKUP(A9,'[1]계산서(25하-경기)'!X$3:AJ$17,4,FALSE)</f>
        <v>0</v>
      </c>
      <c r="AG9" s="3">
        <f>VLOOKUP(A9,'[1]계산서(25하-경기)'!X$3:AJ$17,5,FALSE)</f>
        <v>339430</v>
      </c>
      <c r="AH9" s="3">
        <f t="shared" si="1"/>
        <v>339430</v>
      </c>
      <c r="AI9" s="29"/>
      <c r="AK9" s="29">
        <f>VLOOKUP(A9,'[1]계산서(25하-경기)'!X$3:AJ$17,10,FALSE)</f>
        <v>45953</v>
      </c>
      <c r="AL9" s="3">
        <f>VLOOKUP(A9,'[1]계산서(25하-경기)'!X$3:AJ$17,11,FALSE)</f>
        <v>339430</v>
      </c>
    </row>
    <row r="10" spans="1:39" x14ac:dyDescent="0.3">
      <c r="A10" s="3" t="s">
        <v>642</v>
      </c>
      <c r="B10" s="3">
        <v>2025</v>
      </c>
      <c r="C10" s="3" t="s">
        <v>3535</v>
      </c>
      <c r="E10" s="3" t="s">
        <v>3538</v>
      </c>
      <c r="F10" s="28" t="s">
        <v>3479</v>
      </c>
      <c r="G10" s="12">
        <v>8</v>
      </c>
      <c r="H10" s="12">
        <v>7</v>
      </c>
      <c r="I10" s="37">
        <v>45944</v>
      </c>
      <c r="J10" s="37">
        <v>45944</v>
      </c>
      <c r="L10" s="3" t="s">
        <v>46</v>
      </c>
      <c r="M10" s="3" t="s">
        <v>3538</v>
      </c>
      <c r="N10" s="3" t="s">
        <v>645</v>
      </c>
      <c r="O10" s="3">
        <v>55</v>
      </c>
      <c r="P10" s="3">
        <v>1248694467</v>
      </c>
      <c r="Q10" s="3">
        <v>12486944670</v>
      </c>
      <c r="R10" s="3" t="s">
        <v>646</v>
      </c>
      <c r="T10" s="3" t="s">
        <v>647</v>
      </c>
      <c r="U10" s="3" t="s">
        <v>648</v>
      </c>
      <c r="V10" s="3" t="s">
        <v>3480</v>
      </c>
      <c r="W10" s="3" t="s">
        <v>649</v>
      </c>
      <c r="X10" s="3" t="s">
        <v>178</v>
      </c>
      <c r="Y10" s="3" t="s">
        <v>650</v>
      </c>
      <c r="Z10" s="3" t="s">
        <v>651</v>
      </c>
      <c r="AA10" s="29">
        <v>45957</v>
      </c>
      <c r="AB10" s="3" t="s">
        <v>46</v>
      </c>
      <c r="AC10" s="3" t="str">
        <f>VLOOKUP(A10,'[1]계산서(25하-경기)'!X$3:AJ$17,2,FALSE)</f>
        <v>knk3@knknara.co.kr</v>
      </c>
      <c r="AD10" s="29">
        <f>VLOOKUP(A10,'[1]계산서(25하-경기)'!X$3:AJ$17,3,FALSE)</f>
        <v>45957</v>
      </c>
      <c r="AE10" s="3">
        <f t="shared" si="0"/>
        <v>1200000</v>
      </c>
      <c r="AF10" s="3">
        <f>VLOOKUP(A10,'[1]계산서(25하-경기)'!X$3:AJ$17,4,FALSE)</f>
        <v>1200000</v>
      </c>
      <c r="AG10" s="3">
        <f>VLOOKUP(A10,'[1]계산서(25하-경기)'!X$3:AJ$17,5,FALSE)</f>
        <v>0</v>
      </c>
      <c r="AH10" s="3">
        <f t="shared" si="1"/>
        <v>1200000</v>
      </c>
      <c r="AI10" s="29">
        <f>VLOOKUP(A10,'[1]계산서(25하-경기)'!X$3:AJ$17,8,FALSE)</f>
        <v>45957</v>
      </c>
      <c r="AJ10" s="3">
        <f>VLOOKUP(A10,'[1]계산서(25하-경기)'!X$3:AJ$17,9,FALSE)</f>
        <v>1200000</v>
      </c>
      <c r="AK10" s="29" t="str">
        <f>VLOOKUP(A10,'[1]계산서(25하-경기)'!X$3:AJ$17,10,FALSE)</f>
        <v>국고 X</v>
      </c>
      <c r="AL10" s="3">
        <f>VLOOKUP(A10,'[1]계산서(25하-경기)'!X$3:AJ$17,11,FALSE)</f>
        <v>0</v>
      </c>
    </row>
    <row r="11" spans="1:39" x14ac:dyDescent="0.3">
      <c r="A11" s="3" t="s">
        <v>3481</v>
      </c>
      <c r="B11" s="3">
        <v>2025</v>
      </c>
      <c r="C11" s="3" t="s">
        <v>3535</v>
      </c>
      <c r="E11" s="3" t="s">
        <v>3538</v>
      </c>
      <c r="F11" s="28" t="s">
        <v>3482</v>
      </c>
      <c r="G11" s="12">
        <v>9</v>
      </c>
      <c r="H11" s="12">
        <v>8</v>
      </c>
      <c r="I11" s="37">
        <v>45954</v>
      </c>
      <c r="J11" s="37">
        <v>45954</v>
      </c>
      <c r="L11" s="3" t="s">
        <v>46</v>
      </c>
      <c r="M11" s="3" t="s">
        <v>3538</v>
      </c>
      <c r="N11" s="3" t="s">
        <v>3483</v>
      </c>
      <c r="O11" s="3">
        <v>27</v>
      </c>
      <c r="P11" s="3">
        <v>3098601894</v>
      </c>
      <c r="Q11" s="3">
        <v>30986018940</v>
      </c>
      <c r="R11" s="3" t="s">
        <v>3484</v>
      </c>
      <c r="T11" s="3" t="s">
        <v>3485</v>
      </c>
      <c r="U11" s="3" t="s">
        <v>3486</v>
      </c>
      <c r="V11" s="3" t="s">
        <v>3487</v>
      </c>
      <c r="W11" s="3" t="s">
        <v>3488</v>
      </c>
      <c r="X11" s="3" t="s">
        <v>123</v>
      </c>
      <c r="Y11" s="3" t="s">
        <v>3489</v>
      </c>
      <c r="Z11" s="3" t="s">
        <v>3490</v>
      </c>
      <c r="AA11" s="29">
        <v>45959</v>
      </c>
      <c r="AB11" s="3" t="s">
        <v>46</v>
      </c>
      <c r="AD11" s="29" t="str">
        <f>VLOOKUP(A11,'[1]계산서(25하-경기)'!X$3:AJ$17,3,FALSE)</f>
        <v>국고 전액</v>
      </c>
      <c r="AE11" s="3">
        <f t="shared" si="0"/>
        <v>458090</v>
      </c>
      <c r="AF11" s="3">
        <f>VLOOKUP(A11,'[1]계산서(25하-경기)'!X$3:AJ$17,4,FALSE)</f>
        <v>0</v>
      </c>
      <c r="AG11" s="3">
        <f>VLOOKUP(A11,'[1]계산서(25하-경기)'!X$3:AJ$17,5,FALSE)</f>
        <v>458090</v>
      </c>
      <c r="AH11" s="3">
        <f t="shared" si="1"/>
        <v>458090</v>
      </c>
      <c r="AI11" s="29"/>
      <c r="AK11" s="29">
        <f>VLOOKUP(A11,'[1]계산서(25하-경기)'!X$3:AJ$17,10,FALSE)</f>
        <v>45975</v>
      </c>
      <c r="AL11" s="3">
        <f>VLOOKUP(A11,'[1]계산서(25하-경기)'!X$3:AJ$17,11,FALSE)</f>
        <v>458090</v>
      </c>
    </row>
    <row r="12" spans="1:39" x14ac:dyDescent="0.3">
      <c r="A12" s="3" t="s">
        <v>806</v>
      </c>
      <c r="B12" s="3">
        <v>2025</v>
      </c>
      <c r="C12" s="3" t="s">
        <v>3535</v>
      </c>
      <c r="E12" s="3" t="s">
        <v>3538</v>
      </c>
      <c r="F12" s="28" t="s">
        <v>3491</v>
      </c>
      <c r="G12" s="12">
        <v>10</v>
      </c>
      <c r="H12" s="12">
        <v>9</v>
      </c>
      <c r="I12" s="8">
        <v>45965</v>
      </c>
      <c r="J12" s="8">
        <v>45965</v>
      </c>
      <c r="L12" s="3" t="s">
        <v>218</v>
      </c>
      <c r="M12" s="3" t="s">
        <v>3538</v>
      </c>
      <c r="N12" s="3" t="s">
        <v>809</v>
      </c>
      <c r="O12" s="3">
        <v>51</v>
      </c>
      <c r="P12" s="3">
        <v>1238122214</v>
      </c>
      <c r="Q12" s="3">
        <v>12381222140</v>
      </c>
      <c r="R12" s="3" t="s">
        <v>810</v>
      </c>
      <c r="T12" s="3" t="s">
        <v>811</v>
      </c>
      <c r="U12" s="3" t="s">
        <v>812</v>
      </c>
      <c r="W12" s="3" t="s">
        <v>813</v>
      </c>
      <c r="X12" s="3" t="s">
        <v>168</v>
      </c>
      <c r="Y12" s="3" t="s">
        <v>814</v>
      </c>
      <c r="Z12" s="3" t="s">
        <v>815</v>
      </c>
      <c r="AA12" s="29"/>
      <c r="AC12" s="3" t="str">
        <f>VLOOKUP(A12,'[1]계산서(25하-경기)'!X$3:AJ$17,2,FALSE)</f>
        <v>jonghpark@leehan.com</v>
      </c>
      <c r="AD12" s="29">
        <f>VLOOKUP(A12,'[1]계산서(25하-경기)'!X$3:AJ$17,3,FALSE)</f>
        <v>45995</v>
      </c>
      <c r="AE12" s="3">
        <f t="shared" si="0"/>
        <v>1200000</v>
      </c>
      <c r="AF12" s="3">
        <f>VLOOKUP(A12,'[1]계산서(25하-경기)'!X$3:AJ$17,4,FALSE)</f>
        <v>1200000</v>
      </c>
      <c r="AG12" s="3">
        <f>VLOOKUP(A12,'[1]계산서(25하-경기)'!X$3:AJ$17,5,FALSE)</f>
        <v>0</v>
      </c>
      <c r="AH12" s="3">
        <f t="shared" si="1"/>
        <v>1200000</v>
      </c>
      <c r="AI12" s="29">
        <f>VLOOKUP(A12,'[1]계산서(25하-경기)'!X$3:AJ$17,8,FALSE)</f>
        <v>46022</v>
      </c>
      <c r="AJ12" s="3">
        <f>VLOOKUP(A12,'[1]계산서(25하-경기)'!X$3:AJ$17,9,FALSE)</f>
        <v>1200000</v>
      </c>
      <c r="AK12" s="29" t="str">
        <f>VLOOKUP(A12,'[1]계산서(25하-경기)'!X$3:AJ$17,10,FALSE)</f>
        <v>국고 X</v>
      </c>
      <c r="AL12" s="3">
        <f>VLOOKUP(A12,'[1]계산서(25하-경기)'!X$3:AJ$17,11,FALSE)</f>
        <v>0</v>
      </c>
    </row>
    <row r="13" spans="1:39" x14ac:dyDescent="0.3">
      <c r="A13" s="3" t="s">
        <v>1308</v>
      </c>
      <c r="B13" s="3">
        <v>2025</v>
      </c>
      <c r="C13" s="3" t="s">
        <v>3535</v>
      </c>
      <c r="E13" s="3" t="s">
        <v>3538</v>
      </c>
      <c r="F13" s="28" t="s">
        <v>3492</v>
      </c>
      <c r="G13" s="12">
        <v>11</v>
      </c>
      <c r="H13" s="12">
        <v>10</v>
      </c>
      <c r="I13" s="8">
        <v>46000</v>
      </c>
      <c r="J13" s="8">
        <v>46000</v>
      </c>
      <c r="L13" s="3" t="s">
        <v>798</v>
      </c>
      <c r="M13" s="3" t="s">
        <v>3538</v>
      </c>
      <c r="N13" s="3" t="s">
        <v>1313</v>
      </c>
      <c r="O13" s="3">
        <v>297</v>
      </c>
      <c r="P13" s="3">
        <v>2298105769</v>
      </c>
      <c r="Q13" s="3">
        <v>22981057690</v>
      </c>
      <c r="R13" s="3" t="s">
        <v>1314</v>
      </c>
      <c r="T13" s="3" t="s">
        <v>1315</v>
      </c>
      <c r="U13" s="3" t="s">
        <v>1316</v>
      </c>
      <c r="V13" s="3" t="s">
        <v>3494</v>
      </c>
      <c r="W13" s="3" t="s">
        <v>3495</v>
      </c>
      <c r="Y13" s="3" t="s">
        <v>3496</v>
      </c>
      <c r="Z13" s="3" t="s">
        <v>3497</v>
      </c>
      <c r="AA13" s="29">
        <v>46021</v>
      </c>
      <c r="AB13" s="3" t="s">
        <v>61</v>
      </c>
      <c r="AC13" s="3" t="str">
        <f>VLOOKUP(A13,'[1]계산서(25하-경기)'!X$3:AJ$17,2,FALSE)</f>
        <v>jeongeun.lee@mks.com</v>
      </c>
      <c r="AD13" s="29">
        <f>VLOOKUP(A13,'[1]계산서(25하-경기)'!X$3:AJ$17,3,FALSE)</f>
        <v>46010</v>
      </c>
      <c r="AE13" s="3">
        <f t="shared" si="0"/>
        <v>3850000</v>
      </c>
      <c r="AF13" s="3">
        <f>VLOOKUP(A13,'[1]계산서(25하-경기)'!X$3:AJ$17,4,FALSE)</f>
        <v>3850000</v>
      </c>
      <c r="AG13" s="3">
        <f>VLOOKUP(A13,'[1]계산서(25하-경기)'!X$3:AJ$17,5,FALSE)</f>
        <v>0</v>
      </c>
      <c r="AH13" s="3">
        <f t="shared" si="1"/>
        <v>0</v>
      </c>
      <c r="AI13" s="29"/>
      <c r="AK13" s="29" t="str">
        <f>VLOOKUP(A13,'[1]계산서(25하-경기)'!X$3:AJ$17,10,FALSE)</f>
        <v>국고 X</v>
      </c>
      <c r="AL13" s="3">
        <f>VLOOKUP(A13,'[1]계산서(25하-경기)'!X$3:AJ$17,11,FALSE)</f>
        <v>0</v>
      </c>
    </row>
    <row r="14" spans="1:39" x14ac:dyDescent="0.3">
      <c r="A14" s="3" t="s">
        <v>1125</v>
      </c>
      <c r="B14" s="3">
        <v>2025</v>
      </c>
      <c r="C14" s="3" t="s">
        <v>3535</v>
      </c>
      <c r="E14" s="3" t="s">
        <v>3538</v>
      </c>
      <c r="F14" s="28" t="s">
        <v>3498</v>
      </c>
      <c r="G14" s="12">
        <v>12</v>
      </c>
      <c r="H14" s="12">
        <v>11</v>
      </c>
      <c r="I14" s="8">
        <v>46002</v>
      </c>
      <c r="J14" s="8">
        <v>46002</v>
      </c>
      <c r="L14" s="3" t="s">
        <v>46</v>
      </c>
      <c r="M14" s="3" t="s">
        <v>3538</v>
      </c>
      <c r="N14" s="3" t="s">
        <v>1128</v>
      </c>
      <c r="O14" s="3">
        <v>54</v>
      </c>
      <c r="P14" s="3">
        <v>1268647636</v>
      </c>
      <c r="Q14" s="3">
        <v>12686476360</v>
      </c>
      <c r="R14" s="3" t="s">
        <v>1129</v>
      </c>
      <c r="T14" s="3" t="s">
        <v>1130</v>
      </c>
      <c r="U14" s="3" t="s">
        <v>1131</v>
      </c>
      <c r="V14" s="3" t="s">
        <v>3499</v>
      </c>
      <c r="W14" s="3" t="s">
        <v>1132</v>
      </c>
      <c r="X14" s="3" t="s">
        <v>178</v>
      </c>
      <c r="Y14" s="3" t="s">
        <v>1133</v>
      </c>
      <c r="Z14" s="3" t="s">
        <v>1134</v>
      </c>
      <c r="AA14" s="29">
        <v>46028</v>
      </c>
      <c r="AB14" s="3" t="s">
        <v>46</v>
      </c>
      <c r="AC14" s="3" t="str">
        <f>VLOOKUP(A14,'[1]계산서(25하-경기)'!X$3:AJ$17,2,FALSE)</f>
        <v>jsmc526@daum.net</v>
      </c>
      <c r="AD14" s="29" t="str">
        <f>VLOOKUP(A14,'[1]계산서(25하-경기)'!X$3:AJ$17,3,FALSE)</f>
        <v>26년1월6일</v>
      </c>
      <c r="AE14" s="3">
        <f t="shared" si="0"/>
        <v>800000</v>
      </c>
      <c r="AF14" s="3">
        <f>VLOOKUP(A14,'[1]계산서(25하-경기)'!X$3:AJ$17,4,FALSE)</f>
        <v>800000</v>
      </c>
      <c r="AG14" s="3">
        <f>VLOOKUP(A14,'[1]계산서(25하-경기)'!X$3:AJ$17,5,FALSE)</f>
        <v>0</v>
      </c>
      <c r="AH14" s="3">
        <f t="shared" si="1"/>
        <v>800000</v>
      </c>
      <c r="AI14" s="29">
        <f>VLOOKUP(A14,'[1]계산서(25하-경기)'!X$3:AJ$17,8,FALSE)</f>
        <v>46029</v>
      </c>
      <c r="AJ14" s="3">
        <f>VLOOKUP(A14,'[1]계산서(25하-경기)'!X$3:AJ$17,9,FALSE)</f>
        <v>800000</v>
      </c>
      <c r="AK14" s="29" t="str">
        <f>VLOOKUP(A14,'[1]계산서(25하-경기)'!X$3:AJ$17,10,FALSE)</f>
        <v>국고 X</v>
      </c>
      <c r="AL14" s="3">
        <f>VLOOKUP(A14,'[1]계산서(25하-경기)'!X$3:AJ$17,11,FALSE)</f>
        <v>0</v>
      </c>
    </row>
    <row r="15" spans="1:39" x14ac:dyDescent="0.3">
      <c r="A15" s="3" t="s">
        <v>1115</v>
      </c>
      <c r="B15" s="3">
        <v>2025</v>
      </c>
      <c r="C15" s="3" t="s">
        <v>3535</v>
      </c>
      <c r="E15" s="3" t="s">
        <v>3538</v>
      </c>
      <c r="F15" s="28" t="s">
        <v>3500</v>
      </c>
      <c r="G15" s="12">
        <v>13</v>
      </c>
      <c r="H15" s="12">
        <v>13</v>
      </c>
      <c r="I15" s="8">
        <v>46003</v>
      </c>
      <c r="J15" s="8">
        <v>46003</v>
      </c>
      <c r="L15" s="3" t="s">
        <v>61</v>
      </c>
      <c r="M15" s="3" t="s">
        <v>3538</v>
      </c>
      <c r="N15" s="3" t="s">
        <v>1118</v>
      </c>
      <c r="O15" s="3">
        <v>75</v>
      </c>
      <c r="P15" s="3">
        <v>1248720754</v>
      </c>
      <c r="Q15" s="3">
        <v>12487207540</v>
      </c>
      <c r="R15" s="3" t="s">
        <v>1119</v>
      </c>
      <c r="T15" s="3" t="s">
        <v>1120</v>
      </c>
      <c r="U15" s="3" t="s">
        <v>1121</v>
      </c>
      <c r="V15" s="3" t="s">
        <v>3501</v>
      </c>
      <c r="W15" s="3" t="s">
        <v>1122</v>
      </c>
      <c r="X15" s="3" t="s">
        <v>178</v>
      </c>
      <c r="Y15" s="3" t="s">
        <v>3539</v>
      </c>
      <c r="Z15" s="3" t="s">
        <v>1123</v>
      </c>
      <c r="AA15" s="29">
        <v>46021</v>
      </c>
      <c r="AB15" s="3" t="s">
        <v>61</v>
      </c>
      <c r="AC15" s="3" t="str">
        <f>VLOOKUP(A15,'[1]계산서(25하-경기)'!X$3:AJ$17,2,FALSE)</f>
        <v>ust@ust.co</v>
      </c>
      <c r="AD15" s="29">
        <f>VLOOKUP(A15,'[1]계산서(25하-경기)'!X$3:AJ$17,3,FALSE)</f>
        <v>46020</v>
      </c>
      <c r="AE15" s="3">
        <f t="shared" si="0"/>
        <v>1000000</v>
      </c>
      <c r="AF15" s="3">
        <f>VLOOKUP(A15,'[1]계산서(25하-경기)'!X$3:AJ$17,4,FALSE)</f>
        <v>1000000</v>
      </c>
      <c r="AG15" s="3">
        <f>VLOOKUP(A15,'[1]계산서(25하-경기)'!X$3:AJ$17,5,FALSE)</f>
        <v>0</v>
      </c>
      <c r="AH15" s="3">
        <f t="shared" si="1"/>
        <v>1000000</v>
      </c>
      <c r="AI15" s="29">
        <f>VLOOKUP(A15,'[1]계산서(25하-경기)'!X$3:AJ$17,8,FALSE)</f>
        <v>46020</v>
      </c>
      <c r="AJ15" s="3">
        <f>VLOOKUP(A15,'[1]계산서(25하-경기)'!X$3:AJ$17,9,FALSE)</f>
        <v>1000000</v>
      </c>
      <c r="AK15" s="29" t="str">
        <f>VLOOKUP(A15,'[1]계산서(25하-경기)'!X$3:AJ$17,10,FALSE)</f>
        <v>국고 X</v>
      </c>
      <c r="AL15" s="3">
        <f>VLOOKUP(A15,'[1]계산서(25하-경기)'!X$3:AJ$17,11,FALSE)</f>
        <v>0</v>
      </c>
    </row>
    <row r="16" spans="1:39" x14ac:dyDescent="0.3">
      <c r="A16" s="3" t="s">
        <v>783</v>
      </c>
      <c r="B16" s="3">
        <v>2025</v>
      </c>
      <c r="C16" s="3" t="s">
        <v>3535</v>
      </c>
      <c r="E16" s="3" t="s">
        <v>3538</v>
      </c>
      <c r="F16" s="28" t="s">
        <v>3503</v>
      </c>
      <c r="G16" s="12">
        <v>14</v>
      </c>
      <c r="H16" s="12">
        <v>13</v>
      </c>
      <c r="I16" s="8">
        <v>46008</v>
      </c>
      <c r="J16" s="8">
        <v>46008</v>
      </c>
      <c r="L16" s="3" t="s">
        <v>73</v>
      </c>
      <c r="M16" s="3" t="s">
        <v>3538</v>
      </c>
      <c r="N16" s="3" t="s">
        <v>787</v>
      </c>
      <c r="O16" s="3">
        <v>60</v>
      </c>
      <c r="P16" s="3">
        <v>1298663881</v>
      </c>
      <c r="Q16" s="3">
        <v>12986638810</v>
      </c>
      <c r="R16" s="3" t="s">
        <v>788</v>
      </c>
      <c r="T16" s="3" t="s">
        <v>789</v>
      </c>
      <c r="U16" s="3" t="s">
        <v>790</v>
      </c>
      <c r="W16" s="3" t="s">
        <v>3504</v>
      </c>
      <c r="X16" s="3" t="s">
        <v>123</v>
      </c>
      <c r="Y16" s="3" t="s">
        <v>3505</v>
      </c>
      <c r="Z16" s="3" t="s">
        <v>3506</v>
      </c>
      <c r="AA16" s="29"/>
      <c r="AD16" s="29"/>
      <c r="AE16" s="3">
        <f t="shared" si="0"/>
        <v>2500000</v>
      </c>
      <c r="AF16" s="3">
        <f>VLOOKUP(A16,'[1]계산서(25하-경기)'!X$3:AJ$17,4,FALSE)</f>
        <v>2500000</v>
      </c>
      <c r="AG16" s="3">
        <f>VLOOKUP(A16,'[1]계산서(25하-경기)'!X$3:AJ$17,5,FALSE)</f>
        <v>0</v>
      </c>
      <c r="AH16" s="3">
        <f t="shared" si="1"/>
        <v>0</v>
      </c>
      <c r="AI16" s="29"/>
      <c r="AJ16" s="3">
        <f>VLOOKUP(A16,'[1]계산서(25하-경기)'!X$3:AJ$17,9,FALSE)</f>
        <v>0</v>
      </c>
      <c r="AK16" s="29" t="str">
        <f>VLOOKUP(A16,'[1]계산서(25하-경기)'!X$3:AJ$17,10,FALSE)</f>
        <v>국고 X</v>
      </c>
      <c r="AL16" s="3">
        <f>VLOOKUP(A16,'[1]계산서(25하-경기)'!X$3:AJ$17,11,FALSE)</f>
        <v>0</v>
      </c>
    </row>
    <row r="18" spans="1:37" x14ac:dyDescent="0.3">
      <c r="A18" s="28"/>
      <c r="I18" s="29"/>
      <c r="J18" s="29"/>
      <c r="AA18" s="29"/>
      <c r="AD18" s="29"/>
      <c r="AI18" s="29"/>
      <c r="AK18" s="29"/>
    </row>
    <row r="19" spans="1:37" x14ac:dyDescent="0.3">
      <c r="A19" s="28"/>
      <c r="I19" s="29"/>
      <c r="J19" s="29"/>
      <c r="AA19" s="29"/>
      <c r="AD19" s="29"/>
      <c r="AI19" s="29"/>
      <c r="AK19" s="29"/>
    </row>
    <row r="20" spans="1:37" x14ac:dyDescent="0.3">
      <c r="A20" s="28"/>
      <c r="I20" s="29"/>
      <c r="J20" s="29"/>
      <c r="AA20" s="29"/>
      <c r="AD20" s="29"/>
      <c r="AI20" s="29"/>
      <c r="AK20" s="29"/>
    </row>
    <row r="21" spans="1:37" x14ac:dyDescent="0.3">
      <c r="A21" s="28"/>
      <c r="I21" s="29"/>
      <c r="J21" s="29"/>
      <c r="AA21" s="29"/>
      <c r="AD21" s="29"/>
      <c r="AI21" s="29"/>
      <c r="AK21" s="29"/>
    </row>
    <row r="22" spans="1:37" x14ac:dyDescent="0.3">
      <c r="A22" s="28"/>
      <c r="I22" s="29"/>
      <c r="J22" s="29"/>
      <c r="AA22" s="29"/>
      <c r="AD22" s="29"/>
      <c r="AI22" s="29"/>
      <c r="AK22" s="29"/>
    </row>
    <row r="23" spans="1:37" x14ac:dyDescent="0.3">
      <c r="A23" s="28"/>
      <c r="I23" s="29"/>
      <c r="J23" s="29"/>
      <c r="AA23" s="29"/>
      <c r="AD23" s="29"/>
      <c r="AI23" s="29"/>
      <c r="AK23" s="29"/>
    </row>
    <row r="24" spans="1:37" x14ac:dyDescent="0.3">
      <c r="A24" s="28"/>
      <c r="I24" s="29"/>
      <c r="J24" s="29"/>
      <c r="AA24" s="29"/>
      <c r="AD24" s="29"/>
      <c r="AI24" s="29"/>
      <c r="AK24" s="29"/>
    </row>
    <row r="25" spans="1:37" x14ac:dyDescent="0.3">
      <c r="A25" s="28"/>
      <c r="I25" s="29"/>
      <c r="J25" s="29"/>
      <c r="AA25" s="29"/>
      <c r="AD25" s="29"/>
      <c r="AI25" s="29"/>
      <c r="AK25" s="29"/>
    </row>
    <row r="26" spans="1:37" x14ac:dyDescent="0.3">
      <c r="A26" s="28"/>
      <c r="I26" s="29"/>
      <c r="J26" s="29"/>
      <c r="AA26" s="29"/>
      <c r="AD26" s="29"/>
      <c r="AI26" s="29"/>
      <c r="AK26" s="29"/>
    </row>
    <row r="27" spans="1:37" x14ac:dyDescent="0.3">
      <c r="A27" s="28"/>
      <c r="I27" s="29"/>
      <c r="J27" s="29"/>
      <c r="AA27" s="29"/>
      <c r="AD27" s="29"/>
      <c r="AI27" s="29"/>
      <c r="AK27" s="29"/>
    </row>
    <row r="28" spans="1:37" x14ac:dyDescent="0.3">
      <c r="A28" s="28"/>
      <c r="I28" s="29"/>
      <c r="J28" s="29"/>
      <c r="AA28" s="29"/>
      <c r="AD28" s="29"/>
      <c r="AI28" s="29"/>
      <c r="AK28" s="29"/>
    </row>
    <row r="29" spans="1:37" x14ac:dyDescent="0.3">
      <c r="A29" s="28"/>
      <c r="I29" s="29"/>
      <c r="J29" s="29"/>
      <c r="AA29" s="29"/>
      <c r="AD29" s="29"/>
      <c r="AI29" s="29"/>
      <c r="AK29" s="29"/>
    </row>
    <row r="30" spans="1:37" x14ac:dyDescent="0.3">
      <c r="A30" s="28"/>
      <c r="I30" s="29"/>
      <c r="J30" s="29"/>
      <c r="AA30" s="29"/>
      <c r="AD30" s="29"/>
      <c r="AI30" s="29"/>
      <c r="AK30" s="29"/>
    </row>
    <row r="31" spans="1:37" x14ac:dyDescent="0.3">
      <c r="A31" s="28"/>
      <c r="I31" s="29"/>
      <c r="J31" s="29"/>
      <c r="AA31" s="29"/>
      <c r="AD31" s="29"/>
      <c r="AI31" s="29"/>
      <c r="AK31" s="29"/>
    </row>
    <row r="32" spans="1:37" x14ac:dyDescent="0.3">
      <c r="A32" s="28"/>
      <c r="I32" s="29"/>
      <c r="J32" s="29"/>
      <c r="AA32" s="29"/>
      <c r="AD32" s="29"/>
      <c r="AI32" s="29"/>
      <c r="AK32" s="29"/>
    </row>
    <row r="33" spans="1:37" x14ac:dyDescent="0.3">
      <c r="A33" s="28"/>
      <c r="I33" s="29"/>
      <c r="J33" s="29"/>
      <c r="AA33" s="29"/>
      <c r="AD33" s="29"/>
      <c r="AI33" s="29"/>
      <c r="AK33" s="29"/>
    </row>
    <row r="34" spans="1:37" x14ac:dyDescent="0.3">
      <c r="A34" s="28"/>
      <c r="I34" s="29"/>
      <c r="J34" s="29"/>
      <c r="AA34" s="29"/>
      <c r="AD34" s="29"/>
      <c r="AI34" s="29"/>
      <c r="AK34" s="29"/>
    </row>
    <row r="35" spans="1:37" x14ac:dyDescent="0.3">
      <c r="A35" s="28"/>
      <c r="I35" s="29"/>
      <c r="J35" s="29"/>
      <c r="AA35" s="29"/>
      <c r="AD35" s="29"/>
      <c r="AI35" s="29"/>
      <c r="AK35" s="29"/>
    </row>
    <row r="36" spans="1:37" x14ac:dyDescent="0.3">
      <c r="A36" s="28"/>
      <c r="I36" s="29"/>
      <c r="J36" s="29"/>
      <c r="AA36" s="29"/>
      <c r="AD36" s="29"/>
      <c r="AI36" s="29"/>
      <c r="AK36" s="29"/>
    </row>
    <row r="37" spans="1:37" x14ac:dyDescent="0.3">
      <c r="A37" s="28"/>
      <c r="I37" s="29"/>
      <c r="J37" s="29"/>
      <c r="AA37" s="29"/>
      <c r="AD37" s="29"/>
      <c r="AI37" s="29"/>
      <c r="AK37" s="29"/>
    </row>
    <row r="38" spans="1:37" x14ac:dyDescent="0.3">
      <c r="A38" s="28"/>
      <c r="I38" s="29"/>
      <c r="J38" s="29"/>
      <c r="AA38" s="29"/>
      <c r="AD38" s="29"/>
      <c r="AI38" s="29"/>
      <c r="AK38" s="29"/>
    </row>
    <row r="39" spans="1:37" x14ac:dyDescent="0.3">
      <c r="A39" s="28"/>
      <c r="I39" s="29"/>
      <c r="J39" s="29"/>
      <c r="AA39" s="29"/>
      <c r="AD39" s="29"/>
      <c r="AI39" s="29"/>
      <c r="AK39" s="29"/>
    </row>
    <row r="40" spans="1:37" x14ac:dyDescent="0.3">
      <c r="A40" s="28"/>
      <c r="I40" s="29"/>
      <c r="J40" s="29"/>
      <c r="AA40" s="29"/>
      <c r="AD40" s="29"/>
      <c r="AI40" s="29"/>
      <c r="AK40" s="29"/>
    </row>
    <row r="41" spans="1:37" x14ac:dyDescent="0.3">
      <c r="A41" s="28"/>
      <c r="I41" s="29"/>
      <c r="J41" s="29"/>
      <c r="AA41" s="29"/>
      <c r="AD41" s="29"/>
      <c r="AI41" s="29"/>
      <c r="AK41" s="29"/>
    </row>
    <row r="42" spans="1:37" x14ac:dyDescent="0.3">
      <c r="A42" s="28"/>
      <c r="I42" s="29"/>
      <c r="J42" s="29"/>
      <c r="AA42" s="29"/>
      <c r="AD42" s="29"/>
      <c r="AI42" s="29"/>
      <c r="AK42" s="29"/>
    </row>
    <row r="43" spans="1:37" x14ac:dyDescent="0.3">
      <c r="A43" s="28"/>
      <c r="I43" s="29"/>
      <c r="J43" s="29"/>
      <c r="AA43" s="29"/>
      <c r="AD43" s="29"/>
      <c r="AI43" s="29"/>
      <c r="AK43" s="29"/>
    </row>
    <row r="44" spans="1:37" x14ac:dyDescent="0.3">
      <c r="A44" s="28"/>
      <c r="I44" s="29"/>
      <c r="J44" s="29"/>
      <c r="AA44" s="29"/>
      <c r="AD44" s="29"/>
      <c r="AI44" s="29"/>
      <c r="AK44" s="29"/>
    </row>
    <row r="45" spans="1:37" x14ac:dyDescent="0.3">
      <c r="A45" s="28"/>
      <c r="I45" s="29"/>
      <c r="J45" s="29"/>
      <c r="AA45" s="29"/>
      <c r="AD45" s="29"/>
      <c r="AI45" s="29"/>
      <c r="AK45" s="29"/>
    </row>
    <row r="46" spans="1:37" x14ac:dyDescent="0.3">
      <c r="A46" s="28"/>
      <c r="I46" s="29"/>
      <c r="J46" s="29"/>
      <c r="AA46" s="29"/>
      <c r="AD46" s="29"/>
      <c r="AI46" s="29"/>
      <c r="AK46" s="29"/>
    </row>
    <row r="47" spans="1:37" x14ac:dyDescent="0.3">
      <c r="A47" s="28"/>
      <c r="I47" s="29"/>
      <c r="J47" s="29"/>
      <c r="AA47" s="29"/>
      <c r="AD47" s="29"/>
      <c r="AI47" s="29"/>
      <c r="AK47" s="29"/>
    </row>
    <row r="48" spans="1:37" x14ac:dyDescent="0.3">
      <c r="A48" s="28"/>
      <c r="I48" s="29"/>
      <c r="J48" s="29"/>
      <c r="AA48" s="29"/>
      <c r="AD48" s="29"/>
      <c r="AI48" s="29"/>
      <c r="AK48" s="29"/>
    </row>
    <row r="49" spans="1:37" x14ac:dyDescent="0.3">
      <c r="A49" s="28"/>
      <c r="I49" s="29"/>
      <c r="J49" s="29"/>
      <c r="AA49" s="29"/>
      <c r="AD49" s="29"/>
      <c r="AI49" s="29"/>
      <c r="AK49" s="29"/>
    </row>
    <row r="50" spans="1:37" x14ac:dyDescent="0.3">
      <c r="A50" s="28"/>
      <c r="I50" s="29"/>
      <c r="J50" s="29"/>
      <c r="AA50" s="29"/>
      <c r="AD50" s="29"/>
      <c r="AI50" s="29"/>
      <c r="AK50" s="29"/>
    </row>
    <row r="51" spans="1:37" x14ac:dyDescent="0.3">
      <c r="A51" s="28"/>
      <c r="I51" s="29"/>
      <c r="J51" s="29"/>
      <c r="AA51" s="29"/>
      <c r="AD51" s="29"/>
      <c r="AI51" s="29"/>
      <c r="AK51" s="29"/>
    </row>
    <row r="52" spans="1:37" x14ac:dyDescent="0.3">
      <c r="A52" s="28"/>
      <c r="I52" s="29"/>
      <c r="J52" s="29"/>
      <c r="AA52" s="29"/>
      <c r="AD52" s="29"/>
      <c r="AI52" s="29"/>
      <c r="AK52" s="29"/>
    </row>
    <row r="53" spans="1:37" x14ac:dyDescent="0.3">
      <c r="A53" s="28"/>
      <c r="I53" s="29"/>
      <c r="J53" s="29"/>
      <c r="AA53" s="29"/>
      <c r="AD53" s="29"/>
      <c r="AI53" s="29"/>
      <c r="AK53" s="29"/>
    </row>
    <row r="54" spans="1:37" x14ac:dyDescent="0.3">
      <c r="A54" s="28"/>
      <c r="I54" s="29"/>
      <c r="J54" s="29"/>
      <c r="AA54" s="29"/>
      <c r="AD54" s="29"/>
      <c r="AI54" s="29"/>
      <c r="AK54" s="29"/>
    </row>
    <row r="55" spans="1:37" x14ac:dyDescent="0.3">
      <c r="A55" s="28"/>
      <c r="I55" s="29"/>
      <c r="J55" s="29"/>
      <c r="AA55" s="29"/>
      <c r="AD55" s="29"/>
      <c r="AI55" s="29"/>
      <c r="AK55" s="29"/>
    </row>
    <row r="56" spans="1:37" x14ac:dyDescent="0.3">
      <c r="A56" s="28"/>
      <c r="I56" s="29"/>
      <c r="J56" s="29"/>
      <c r="AA56" s="29"/>
      <c r="AD56" s="29"/>
      <c r="AI56" s="29"/>
      <c r="AK56" s="29"/>
    </row>
    <row r="57" spans="1:37" x14ac:dyDescent="0.3">
      <c r="A57" s="28"/>
      <c r="I57" s="29"/>
      <c r="J57" s="29"/>
      <c r="AA57" s="29"/>
      <c r="AD57" s="29"/>
      <c r="AI57" s="29"/>
      <c r="AK57" s="29"/>
    </row>
    <row r="58" spans="1:37" x14ac:dyDescent="0.3">
      <c r="A58" s="28"/>
      <c r="I58" s="29"/>
      <c r="J58" s="29"/>
      <c r="AA58" s="29"/>
      <c r="AD58" s="29"/>
      <c r="AI58" s="29"/>
      <c r="AK58" s="29"/>
    </row>
    <row r="59" spans="1:37" x14ac:dyDescent="0.3">
      <c r="A59" s="28"/>
      <c r="I59" s="29"/>
      <c r="J59" s="29"/>
      <c r="AA59" s="29"/>
      <c r="AD59" s="29"/>
      <c r="AI59" s="29"/>
      <c r="AK59" s="29"/>
    </row>
    <row r="60" spans="1:37" x14ac:dyDescent="0.3">
      <c r="A60" s="28"/>
      <c r="I60" s="29"/>
      <c r="J60" s="29"/>
      <c r="AA60" s="29"/>
      <c r="AD60" s="29"/>
      <c r="AI60" s="29"/>
      <c r="AK60" s="29"/>
    </row>
    <row r="61" spans="1:37" x14ac:dyDescent="0.3">
      <c r="A61" s="28"/>
      <c r="I61" s="29"/>
      <c r="J61" s="29"/>
      <c r="AA61" s="29"/>
      <c r="AD61" s="29"/>
      <c r="AI61" s="29"/>
      <c r="AK61" s="29"/>
    </row>
    <row r="62" spans="1:37" x14ac:dyDescent="0.3">
      <c r="A62" s="28"/>
      <c r="I62" s="29"/>
      <c r="J62" s="29"/>
      <c r="AA62" s="29"/>
      <c r="AD62" s="29"/>
      <c r="AI62" s="29"/>
      <c r="AK62" s="29"/>
    </row>
    <row r="63" spans="1:37" x14ac:dyDescent="0.3">
      <c r="A63" s="28"/>
      <c r="I63" s="29"/>
      <c r="J63" s="29"/>
      <c r="AA63" s="29"/>
      <c r="AD63" s="29"/>
      <c r="AI63" s="29"/>
      <c r="AK63" s="29"/>
    </row>
    <row r="64" spans="1:37" x14ac:dyDescent="0.3">
      <c r="A64" s="28"/>
      <c r="I64" s="29"/>
      <c r="J64" s="29"/>
      <c r="AA64" s="29"/>
      <c r="AD64" s="29"/>
      <c r="AI64" s="29"/>
      <c r="AK64" s="29"/>
    </row>
    <row r="65" spans="1:37" x14ac:dyDescent="0.3">
      <c r="A65" s="28"/>
      <c r="I65" s="29"/>
      <c r="J65" s="29"/>
      <c r="AA65" s="29"/>
      <c r="AD65" s="29"/>
      <c r="AI65" s="29"/>
      <c r="AK65" s="29"/>
    </row>
    <row r="66" spans="1:37" x14ac:dyDescent="0.3">
      <c r="A66" s="28"/>
      <c r="I66" s="29"/>
      <c r="J66" s="29"/>
      <c r="AA66" s="29"/>
      <c r="AD66" s="29"/>
      <c r="AI66" s="29"/>
      <c r="AK66" s="29"/>
    </row>
    <row r="67" spans="1:37" x14ac:dyDescent="0.3">
      <c r="A67" s="28"/>
      <c r="I67" s="29"/>
      <c r="J67" s="29"/>
      <c r="AA67" s="29"/>
      <c r="AD67" s="29"/>
      <c r="AI67" s="29"/>
      <c r="AK67" s="29"/>
    </row>
    <row r="68" spans="1:37" x14ac:dyDescent="0.3">
      <c r="A68" s="28"/>
      <c r="I68" s="29"/>
      <c r="J68" s="29"/>
      <c r="AA68" s="29"/>
      <c r="AD68" s="29"/>
      <c r="AI68" s="29"/>
      <c r="AK68" s="29"/>
    </row>
    <row r="69" spans="1:37" x14ac:dyDescent="0.3">
      <c r="A69" s="28"/>
      <c r="I69" s="29"/>
      <c r="J69" s="29"/>
      <c r="AA69" s="29"/>
      <c r="AD69" s="29"/>
      <c r="AI69" s="29"/>
      <c r="AK69" s="29"/>
    </row>
    <row r="70" spans="1:37" x14ac:dyDescent="0.3">
      <c r="A70" s="28"/>
      <c r="I70" s="29"/>
      <c r="J70" s="29"/>
      <c r="AA70" s="29"/>
      <c r="AD70" s="29"/>
      <c r="AI70" s="29"/>
      <c r="AK70" s="29"/>
    </row>
    <row r="71" spans="1:37" x14ac:dyDescent="0.3">
      <c r="A71" s="28"/>
      <c r="I71" s="29"/>
      <c r="J71" s="29"/>
      <c r="AA71" s="29"/>
      <c r="AD71" s="29"/>
      <c r="AI71" s="29"/>
      <c r="AK71" s="29"/>
    </row>
    <row r="72" spans="1:37" x14ac:dyDescent="0.3">
      <c r="A72" s="28"/>
      <c r="I72" s="29"/>
      <c r="J72" s="29"/>
      <c r="AA72" s="29"/>
      <c r="AD72" s="29"/>
      <c r="AI72" s="29"/>
      <c r="AK72" s="29"/>
    </row>
    <row r="73" spans="1:37" x14ac:dyDescent="0.3">
      <c r="A73" s="28"/>
      <c r="I73" s="29"/>
      <c r="J73" s="29"/>
      <c r="AA73" s="29"/>
      <c r="AD73" s="29"/>
      <c r="AI73" s="29"/>
      <c r="AK73" s="29"/>
    </row>
    <row r="74" spans="1:37" x14ac:dyDescent="0.3">
      <c r="A74" s="28"/>
      <c r="I74" s="29"/>
      <c r="J74" s="29"/>
      <c r="AA74" s="29"/>
      <c r="AD74" s="29"/>
      <c r="AI74" s="29"/>
      <c r="AK74" s="29"/>
    </row>
    <row r="75" spans="1:37" x14ac:dyDescent="0.3">
      <c r="A75" s="28"/>
      <c r="I75" s="29"/>
      <c r="J75" s="29"/>
      <c r="AA75" s="29"/>
      <c r="AD75" s="29"/>
      <c r="AI75" s="29"/>
      <c r="AK75" s="29"/>
    </row>
    <row r="76" spans="1:37" x14ac:dyDescent="0.3">
      <c r="A76" s="28"/>
      <c r="I76" s="29"/>
      <c r="J76" s="29"/>
      <c r="AA76" s="29"/>
      <c r="AD76" s="29"/>
      <c r="AI76" s="29"/>
      <c r="AK76" s="29"/>
    </row>
    <row r="77" spans="1:37" x14ac:dyDescent="0.3">
      <c r="A77" s="28"/>
      <c r="I77" s="29"/>
      <c r="J77" s="29"/>
      <c r="AA77" s="29"/>
      <c r="AD77" s="29"/>
      <c r="AI77" s="29"/>
      <c r="AK77" s="29"/>
    </row>
    <row r="78" spans="1:37" x14ac:dyDescent="0.3">
      <c r="A78" s="28"/>
      <c r="I78" s="29"/>
      <c r="J78" s="29"/>
      <c r="AA78" s="29"/>
      <c r="AD78" s="29"/>
      <c r="AI78" s="29"/>
      <c r="AK78" s="29"/>
    </row>
    <row r="79" spans="1:37" x14ac:dyDescent="0.3">
      <c r="A79" s="28"/>
      <c r="I79" s="29"/>
      <c r="J79" s="29"/>
      <c r="AA79" s="29"/>
      <c r="AD79" s="29"/>
      <c r="AI79" s="29"/>
      <c r="AK79" s="29"/>
    </row>
    <row r="80" spans="1:37" x14ac:dyDescent="0.3">
      <c r="A80" s="28"/>
      <c r="I80" s="29"/>
      <c r="J80" s="29"/>
      <c r="AA80" s="29"/>
      <c r="AD80" s="29"/>
      <c r="AI80" s="29"/>
      <c r="AK80" s="29"/>
    </row>
    <row r="81" spans="1:37" x14ac:dyDescent="0.3">
      <c r="A81" s="28"/>
      <c r="I81" s="29"/>
      <c r="J81" s="29"/>
      <c r="AA81" s="29"/>
      <c r="AD81" s="29"/>
      <c r="AI81" s="29"/>
      <c r="AK81" s="29"/>
    </row>
    <row r="82" spans="1:37" x14ac:dyDescent="0.3">
      <c r="A82" s="28"/>
      <c r="I82" s="29"/>
      <c r="J82" s="29"/>
      <c r="AA82" s="29"/>
      <c r="AD82" s="29"/>
      <c r="AI82" s="29"/>
      <c r="AK82" s="29"/>
    </row>
    <row r="83" spans="1:37" x14ac:dyDescent="0.3">
      <c r="A83" s="28"/>
      <c r="I83" s="29"/>
      <c r="J83" s="29"/>
      <c r="AA83" s="29"/>
      <c r="AD83" s="29"/>
      <c r="AI83" s="29"/>
      <c r="AK83" s="29"/>
    </row>
    <row r="84" spans="1:37" x14ac:dyDescent="0.3">
      <c r="A84" s="28"/>
      <c r="I84" s="29"/>
      <c r="J84" s="29"/>
      <c r="AA84" s="29"/>
      <c r="AD84" s="29"/>
      <c r="AI84" s="29"/>
      <c r="AK84" s="29"/>
    </row>
    <row r="85" spans="1:37" x14ac:dyDescent="0.3">
      <c r="A85" s="28"/>
      <c r="I85" s="29"/>
      <c r="J85" s="29"/>
      <c r="AA85" s="29"/>
      <c r="AD85" s="29"/>
      <c r="AI85" s="29"/>
      <c r="AK85" s="29"/>
    </row>
    <row r="86" spans="1:37" x14ac:dyDescent="0.3">
      <c r="A86" s="28"/>
      <c r="I86" s="29"/>
      <c r="J86" s="29"/>
      <c r="AA86" s="29"/>
      <c r="AD86" s="29"/>
      <c r="AI86" s="29"/>
      <c r="AK86" s="29"/>
    </row>
    <row r="87" spans="1:37" x14ac:dyDescent="0.3">
      <c r="A87" s="28"/>
      <c r="I87" s="29"/>
      <c r="J87" s="29"/>
      <c r="AA87" s="29"/>
      <c r="AD87" s="29"/>
      <c r="AI87" s="29"/>
      <c r="AK87" s="29"/>
    </row>
    <row r="88" spans="1:37" x14ac:dyDescent="0.3">
      <c r="A88" s="28"/>
      <c r="I88" s="29"/>
      <c r="J88" s="29"/>
      <c r="AA88" s="29"/>
      <c r="AD88" s="29"/>
      <c r="AI88" s="29"/>
      <c r="AK88" s="29"/>
    </row>
    <row r="89" spans="1:37" x14ac:dyDescent="0.3">
      <c r="A89" s="28"/>
      <c r="I89" s="29"/>
      <c r="J89" s="29"/>
      <c r="AA89" s="29"/>
      <c r="AD89" s="29"/>
      <c r="AI89" s="29"/>
      <c r="AK89" s="29"/>
    </row>
    <row r="90" spans="1:37" x14ac:dyDescent="0.3">
      <c r="A90" s="28"/>
      <c r="I90" s="29"/>
      <c r="J90" s="29"/>
      <c r="AA90" s="29"/>
      <c r="AD90" s="29"/>
      <c r="AI90" s="29"/>
      <c r="AK90" s="29"/>
    </row>
    <row r="91" spans="1:37" x14ac:dyDescent="0.3">
      <c r="A91" s="28"/>
      <c r="I91" s="29"/>
      <c r="J91" s="29"/>
      <c r="AA91" s="29"/>
      <c r="AD91" s="29"/>
      <c r="AI91" s="29"/>
      <c r="AK91" s="29"/>
    </row>
    <row r="92" spans="1:37" x14ac:dyDescent="0.3">
      <c r="A92" s="28"/>
      <c r="I92" s="29"/>
      <c r="J92" s="29"/>
      <c r="AA92" s="29"/>
      <c r="AD92" s="29"/>
      <c r="AI92" s="29"/>
      <c r="AK92" s="29"/>
    </row>
    <row r="93" spans="1:37" x14ac:dyDescent="0.3">
      <c r="A93" s="28"/>
      <c r="I93" s="29"/>
      <c r="J93" s="29"/>
      <c r="AA93" s="29"/>
      <c r="AD93" s="29"/>
      <c r="AI93" s="29"/>
      <c r="AK93" s="29"/>
    </row>
    <row r="94" spans="1:37" x14ac:dyDescent="0.3">
      <c r="A94" s="28"/>
      <c r="I94" s="29"/>
      <c r="J94" s="29"/>
      <c r="AA94" s="29"/>
      <c r="AD94" s="29"/>
      <c r="AI94" s="29"/>
      <c r="AK94" s="29"/>
    </row>
    <row r="95" spans="1:37" x14ac:dyDescent="0.3">
      <c r="A95" s="28"/>
      <c r="I95" s="29"/>
      <c r="J95" s="29"/>
      <c r="AA95" s="29"/>
      <c r="AD95" s="29"/>
      <c r="AI95" s="29"/>
      <c r="AK95" s="29"/>
    </row>
    <row r="96" spans="1:37" x14ac:dyDescent="0.3">
      <c r="A96" s="28"/>
      <c r="I96" s="29"/>
      <c r="J96" s="29"/>
      <c r="AA96" s="29"/>
      <c r="AD96" s="29"/>
      <c r="AI96" s="29"/>
      <c r="AK96" s="29"/>
    </row>
    <row r="97" spans="1:37" x14ac:dyDescent="0.3">
      <c r="A97" s="28"/>
      <c r="I97" s="29"/>
      <c r="J97" s="29"/>
      <c r="AA97" s="29"/>
      <c r="AD97" s="29"/>
      <c r="AI97" s="29"/>
      <c r="AK97" s="29"/>
    </row>
    <row r="98" spans="1:37" x14ac:dyDescent="0.3">
      <c r="A98" s="28"/>
      <c r="I98" s="29"/>
      <c r="J98" s="29"/>
      <c r="AA98" s="29"/>
      <c r="AD98" s="29"/>
      <c r="AI98" s="29"/>
      <c r="AK98" s="29"/>
    </row>
    <row r="99" spans="1:37" x14ac:dyDescent="0.3">
      <c r="A99" s="28"/>
      <c r="I99" s="29"/>
      <c r="J99" s="29"/>
      <c r="AA99" s="29"/>
      <c r="AD99" s="29"/>
      <c r="AI99" s="29"/>
      <c r="AK99" s="29"/>
    </row>
    <row r="100" spans="1:37" x14ac:dyDescent="0.3">
      <c r="A100" s="28"/>
      <c r="I100" s="29"/>
      <c r="J100" s="29"/>
      <c r="AA100" s="29"/>
      <c r="AD100" s="29"/>
      <c r="AI100" s="29"/>
      <c r="AK100" s="29"/>
    </row>
    <row r="101" spans="1:37" x14ac:dyDescent="0.3">
      <c r="A101" s="28"/>
      <c r="I101" s="29"/>
      <c r="J101" s="29"/>
      <c r="AA101" s="29"/>
      <c r="AD101" s="29"/>
      <c r="AI101" s="29"/>
      <c r="AK101" s="29"/>
    </row>
    <row r="102" spans="1:37" x14ac:dyDescent="0.3">
      <c r="A102" s="28"/>
      <c r="I102" s="29"/>
      <c r="J102" s="29"/>
      <c r="AA102" s="29"/>
      <c r="AD102" s="29"/>
      <c r="AI102" s="29"/>
      <c r="AK102" s="29"/>
    </row>
    <row r="103" spans="1:37" x14ac:dyDescent="0.3">
      <c r="A103" s="28"/>
      <c r="I103" s="29"/>
      <c r="J103" s="29"/>
      <c r="AA103" s="29"/>
      <c r="AD103" s="29"/>
      <c r="AI103" s="29"/>
      <c r="AK103" s="29"/>
    </row>
    <row r="104" spans="1:37" x14ac:dyDescent="0.3">
      <c r="A104" s="28"/>
      <c r="I104" s="29"/>
      <c r="J104" s="29"/>
      <c r="AA104" s="29"/>
      <c r="AD104" s="29"/>
      <c r="AI104" s="29"/>
      <c r="AK104" s="29"/>
    </row>
    <row r="105" spans="1:37" x14ac:dyDescent="0.3">
      <c r="A105" s="28"/>
      <c r="B105" s="30"/>
      <c r="C105" s="30"/>
      <c r="D105" s="30"/>
      <c r="F105" s="30"/>
      <c r="G105" s="31"/>
      <c r="H105" s="31"/>
      <c r="I105" s="32"/>
      <c r="J105" s="32"/>
      <c r="K105" s="30"/>
      <c r="L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2"/>
      <c r="AA105" s="32"/>
      <c r="AB105" s="30"/>
      <c r="AD105" s="29"/>
      <c r="AI105" s="29"/>
      <c r="AK105" s="29"/>
    </row>
    <row r="106" spans="1:37" x14ac:dyDescent="0.3">
      <c r="A106" s="28"/>
      <c r="I106" s="29"/>
      <c r="J106" s="29"/>
      <c r="AA106" s="29"/>
      <c r="AD106" s="29"/>
      <c r="AI106" s="29"/>
      <c r="AK106" s="29"/>
    </row>
    <row r="107" spans="1:37" x14ac:dyDescent="0.3">
      <c r="A107" s="28"/>
      <c r="I107" s="29"/>
      <c r="J107" s="29"/>
      <c r="AA107" s="29"/>
      <c r="AD107" s="29"/>
      <c r="AI107" s="29"/>
      <c r="AK107" s="29"/>
    </row>
    <row r="108" spans="1:37" x14ac:dyDescent="0.3">
      <c r="A108" s="28"/>
      <c r="I108" s="29"/>
      <c r="J108" s="29"/>
      <c r="AA108" s="29"/>
      <c r="AD108" s="29"/>
      <c r="AI108" s="29"/>
      <c r="AK108" s="29"/>
    </row>
    <row r="109" spans="1:37" x14ac:dyDescent="0.3">
      <c r="A109" s="28"/>
      <c r="I109" s="29"/>
      <c r="J109" s="29"/>
      <c r="AA109" s="29"/>
      <c r="AD109" s="29"/>
      <c r="AI109" s="29"/>
      <c r="AK109" s="29"/>
    </row>
    <row r="110" spans="1:37" x14ac:dyDescent="0.3">
      <c r="A110" s="28"/>
      <c r="I110" s="29"/>
      <c r="J110" s="29"/>
      <c r="AA110" s="29"/>
      <c r="AD110" s="29"/>
      <c r="AI110" s="29"/>
      <c r="AK110" s="29"/>
    </row>
    <row r="111" spans="1:37" x14ac:dyDescent="0.3">
      <c r="A111" s="28"/>
      <c r="I111" s="29"/>
      <c r="J111" s="29"/>
      <c r="AA111" s="29"/>
      <c r="AD111" s="29"/>
      <c r="AI111" s="29"/>
      <c r="AK111" s="29"/>
    </row>
    <row r="112" spans="1:37" x14ac:dyDescent="0.3">
      <c r="A112" s="28"/>
      <c r="I112" s="29"/>
      <c r="J112" s="29"/>
      <c r="AA112" s="29"/>
      <c r="AD112" s="29"/>
      <c r="AI112" s="29"/>
      <c r="AK112" s="29"/>
    </row>
    <row r="113" spans="1:37" x14ac:dyDescent="0.3">
      <c r="A113" s="28"/>
      <c r="I113" s="29"/>
      <c r="J113" s="29"/>
      <c r="AA113" s="29"/>
      <c r="AD113" s="29"/>
      <c r="AI113" s="29"/>
      <c r="AK113" s="29"/>
    </row>
    <row r="114" spans="1:37" x14ac:dyDescent="0.3">
      <c r="A114" s="28"/>
      <c r="I114" s="29"/>
      <c r="J114" s="29"/>
      <c r="AA114" s="29"/>
      <c r="AD114" s="29"/>
      <c r="AI114" s="29"/>
      <c r="AK114" s="29"/>
    </row>
    <row r="115" spans="1:37" x14ac:dyDescent="0.3">
      <c r="A115" s="28"/>
      <c r="I115" s="29"/>
      <c r="J115" s="29"/>
      <c r="AA115" s="29"/>
      <c r="AD115" s="29"/>
      <c r="AI115" s="29"/>
      <c r="AK115" s="29"/>
    </row>
    <row r="116" spans="1:37" x14ac:dyDescent="0.3">
      <c r="A116" s="28"/>
      <c r="I116" s="29"/>
      <c r="J116" s="29"/>
      <c r="AA116" s="29"/>
      <c r="AD116" s="29"/>
      <c r="AI116" s="29"/>
      <c r="AK116" s="29"/>
    </row>
    <row r="117" spans="1:37" x14ac:dyDescent="0.3">
      <c r="A117" s="28"/>
      <c r="I117" s="29"/>
      <c r="J117" s="29"/>
      <c r="AA117" s="29"/>
      <c r="AD117" s="29"/>
      <c r="AI117" s="29"/>
      <c r="AK117" s="29"/>
    </row>
    <row r="118" spans="1:37" x14ac:dyDescent="0.3">
      <c r="A118" s="28"/>
      <c r="I118" s="29"/>
      <c r="J118" s="29"/>
      <c r="AA118" s="29"/>
      <c r="AD118" s="29"/>
      <c r="AI118" s="29"/>
      <c r="AK118" s="29"/>
    </row>
    <row r="119" spans="1:37" x14ac:dyDescent="0.3">
      <c r="A119" s="28"/>
      <c r="I119" s="29"/>
      <c r="J119" s="29"/>
      <c r="AA119" s="29"/>
      <c r="AD119" s="29"/>
      <c r="AI119" s="29"/>
      <c r="AK119" s="29"/>
    </row>
    <row r="120" spans="1:37" x14ac:dyDescent="0.3">
      <c r="A120" s="28"/>
      <c r="I120" s="29"/>
      <c r="J120" s="29"/>
      <c r="AA120" s="29"/>
      <c r="AD120" s="29"/>
      <c r="AI120" s="29"/>
      <c r="AK120" s="29"/>
    </row>
    <row r="121" spans="1:37" x14ac:dyDescent="0.3">
      <c r="A121" s="28"/>
      <c r="I121" s="29"/>
      <c r="J121" s="29"/>
      <c r="AA121" s="29"/>
      <c r="AD121" s="29"/>
      <c r="AI121" s="29"/>
      <c r="AK121" s="29"/>
    </row>
    <row r="122" spans="1:37" x14ac:dyDescent="0.3">
      <c r="A122" s="28"/>
      <c r="I122" s="29"/>
      <c r="J122" s="29"/>
      <c r="AA122" s="29"/>
      <c r="AD122" s="29"/>
      <c r="AI122" s="29"/>
      <c r="AK122" s="29"/>
    </row>
    <row r="123" spans="1:37" x14ac:dyDescent="0.3">
      <c r="A123" s="28"/>
      <c r="I123" s="29"/>
      <c r="J123" s="29"/>
      <c r="AA123" s="29"/>
      <c r="AD123" s="29"/>
      <c r="AI123" s="29"/>
      <c r="AK123" s="29"/>
    </row>
    <row r="124" spans="1:37" x14ac:dyDescent="0.3">
      <c r="A124" s="28"/>
      <c r="I124" s="29"/>
      <c r="J124" s="29"/>
      <c r="AA124" s="29"/>
      <c r="AD124" s="29"/>
      <c r="AI124" s="29"/>
      <c r="AK124" s="29"/>
    </row>
    <row r="125" spans="1:37" x14ac:dyDescent="0.3">
      <c r="A125" s="28"/>
      <c r="I125" s="29"/>
      <c r="J125" s="29"/>
      <c r="AA125" s="29"/>
      <c r="AD125" s="29"/>
      <c r="AI125" s="29"/>
      <c r="AK125" s="29"/>
    </row>
    <row r="126" spans="1:37" x14ac:dyDescent="0.3">
      <c r="A126" s="28"/>
      <c r="I126" s="29"/>
      <c r="J126" s="29"/>
      <c r="AA126" s="29"/>
      <c r="AD126" s="29"/>
      <c r="AI126" s="29"/>
      <c r="AK126" s="29"/>
    </row>
    <row r="127" spans="1:37" x14ac:dyDescent="0.3">
      <c r="A127" s="28"/>
      <c r="I127" s="29"/>
      <c r="J127" s="29"/>
      <c r="AA127" s="29"/>
      <c r="AD127" s="29"/>
      <c r="AI127" s="29"/>
      <c r="AK127" s="29"/>
    </row>
    <row r="128" spans="1:37" x14ac:dyDescent="0.3">
      <c r="A128" s="28"/>
      <c r="I128" s="29"/>
      <c r="J128" s="29"/>
      <c r="AA128" s="29"/>
      <c r="AD128" s="29"/>
      <c r="AI128" s="29"/>
      <c r="AK128" s="29"/>
    </row>
    <row r="129" spans="1:37" x14ac:dyDescent="0.3">
      <c r="A129" s="28"/>
      <c r="I129" s="29"/>
      <c r="J129" s="29"/>
      <c r="AA129" s="29"/>
      <c r="AD129" s="29"/>
      <c r="AI129" s="29"/>
      <c r="AK129" s="29"/>
    </row>
    <row r="130" spans="1:37" x14ac:dyDescent="0.3">
      <c r="I130" s="29"/>
      <c r="J130" s="29"/>
      <c r="AA130" s="29"/>
      <c r="AD130" s="29"/>
      <c r="AI130" s="29"/>
      <c r="AK130" s="29"/>
    </row>
    <row r="131" spans="1:37" x14ac:dyDescent="0.3">
      <c r="I131" s="29"/>
      <c r="J131" s="29"/>
      <c r="AA131" s="29"/>
      <c r="AD131" s="29"/>
      <c r="AI131" s="29"/>
      <c r="AK131" s="29"/>
    </row>
    <row r="132" spans="1:37" x14ac:dyDescent="0.3">
      <c r="I132" s="29"/>
      <c r="J132" s="29"/>
      <c r="AA132" s="29"/>
      <c r="AD132" s="29"/>
      <c r="AI132" s="29"/>
      <c r="AK132" s="29"/>
    </row>
    <row r="133" spans="1:37" x14ac:dyDescent="0.3">
      <c r="I133" s="29"/>
      <c r="J133" s="29"/>
      <c r="AA133" s="29"/>
      <c r="AD133" s="29"/>
      <c r="AI133" s="29"/>
      <c r="AK133" s="29"/>
    </row>
    <row r="134" spans="1:37" x14ac:dyDescent="0.3">
      <c r="I134" s="29"/>
      <c r="J134" s="29"/>
      <c r="AA134" s="29"/>
      <c r="AD134" s="29"/>
      <c r="AI134" s="29"/>
      <c r="AK134" s="29"/>
    </row>
    <row r="135" spans="1:37" x14ac:dyDescent="0.3">
      <c r="I135" s="29"/>
      <c r="J135" s="29"/>
      <c r="AA135" s="29"/>
      <c r="AD135" s="29"/>
      <c r="AI135" s="29"/>
      <c r="AK135" s="29"/>
    </row>
    <row r="136" spans="1:37" x14ac:dyDescent="0.3">
      <c r="I136" s="29"/>
      <c r="J136" s="29"/>
      <c r="AA136" s="29"/>
      <c r="AD136" s="29"/>
      <c r="AI136" s="29"/>
      <c r="AK136" s="29"/>
    </row>
    <row r="137" spans="1:37" x14ac:dyDescent="0.3">
      <c r="I137" s="29"/>
      <c r="J137" s="29"/>
      <c r="AA137" s="29"/>
      <c r="AD137" s="29"/>
      <c r="AI137" s="29"/>
      <c r="AK137" s="29"/>
    </row>
    <row r="138" spans="1:37" x14ac:dyDescent="0.3">
      <c r="I138" s="29"/>
      <c r="J138" s="29"/>
      <c r="AA138" s="29"/>
      <c r="AD138" s="29"/>
      <c r="AI138" s="29"/>
      <c r="AK138" s="29"/>
    </row>
    <row r="139" spans="1:37" x14ac:dyDescent="0.3">
      <c r="I139" s="29"/>
      <c r="J139" s="29"/>
      <c r="AA139" s="29"/>
      <c r="AD139" s="29"/>
      <c r="AI139" s="29"/>
      <c r="AK139" s="29"/>
    </row>
    <row r="140" spans="1:37" x14ac:dyDescent="0.3">
      <c r="I140" s="29"/>
      <c r="J140" s="29"/>
      <c r="AA140" s="29"/>
      <c r="AD140" s="29"/>
      <c r="AI140" s="29"/>
      <c r="AK140" s="29"/>
    </row>
    <row r="141" spans="1:37" x14ac:dyDescent="0.3">
      <c r="I141" s="29"/>
      <c r="J141" s="29"/>
      <c r="AA141" s="29"/>
      <c r="AD141" s="29"/>
      <c r="AI141" s="29"/>
      <c r="AK141" s="29"/>
    </row>
    <row r="142" spans="1:37" x14ac:dyDescent="0.3">
      <c r="I142" s="29"/>
      <c r="J142" s="29"/>
      <c r="AA142" s="29"/>
      <c r="AD142" s="29"/>
      <c r="AI142" s="29"/>
      <c r="AK142" s="29"/>
    </row>
    <row r="143" spans="1:37" x14ac:dyDescent="0.3">
      <c r="I143" s="29"/>
      <c r="J143" s="29"/>
      <c r="AA143" s="29"/>
      <c r="AD143" s="29"/>
      <c r="AI143" s="29"/>
      <c r="AK143" s="29"/>
    </row>
    <row r="144" spans="1:37" x14ac:dyDescent="0.3">
      <c r="I144" s="29"/>
      <c r="J144" s="29"/>
      <c r="AA144" s="29"/>
      <c r="AD144" s="29"/>
      <c r="AI144" s="29"/>
      <c r="AK144" s="29"/>
    </row>
    <row r="145" spans="2:37" x14ac:dyDescent="0.3">
      <c r="I145" s="29"/>
      <c r="J145" s="29"/>
      <c r="AA145" s="29"/>
      <c r="AD145" s="29"/>
      <c r="AI145" s="29"/>
      <c r="AK145" s="29"/>
    </row>
    <row r="146" spans="2:37" x14ac:dyDescent="0.3">
      <c r="I146" s="29"/>
      <c r="J146" s="29"/>
      <c r="AA146" s="29"/>
      <c r="AD146" s="29"/>
      <c r="AI146" s="29"/>
      <c r="AK146" s="29"/>
    </row>
    <row r="147" spans="2:37" x14ac:dyDescent="0.3">
      <c r="I147" s="29"/>
      <c r="J147" s="29"/>
      <c r="AA147" s="29"/>
      <c r="AD147" s="29"/>
      <c r="AI147" s="29"/>
      <c r="AK147" s="29"/>
    </row>
    <row r="148" spans="2:37" x14ac:dyDescent="0.3">
      <c r="I148" s="29"/>
      <c r="J148" s="29"/>
      <c r="AA148" s="29"/>
      <c r="AD148" s="29"/>
      <c r="AI148" s="29"/>
      <c r="AK148" s="29"/>
    </row>
    <row r="149" spans="2:37" x14ac:dyDescent="0.3">
      <c r="I149" s="29"/>
      <c r="J149" s="29"/>
      <c r="AA149" s="29"/>
      <c r="AD149" s="29"/>
      <c r="AI149" s="29"/>
      <c r="AK149" s="29"/>
    </row>
    <row r="150" spans="2:37" x14ac:dyDescent="0.3">
      <c r="B150" s="3" t="s">
        <v>3534</v>
      </c>
      <c r="C150" s="3" t="s">
        <v>3534</v>
      </c>
      <c r="D150" s="3" t="s">
        <v>3534</v>
      </c>
      <c r="E150" s="3" t="s">
        <v>3534</v>
      </c>
      <c r="F150" s="3" t="s">
        <v>3534</v>
      </c>
      <c r="G150" s="12" t="s">
        <v>3534</v>
      </c>
      <c r="H150" s="12" t="s">
        <v>3534</v>
      </c>
      <c r="I150" s="29" t="s">
        <v>3534</v>
      </c>
      <c r="J150" s="29" t="s">
        <v>3534</v>
      </c>
      <c r="K150" s="3" t="s">
        <v>3534</v>
      </c>
      <c r="L150" s="3" t="s">
        <v>3534</v>
      </c>
      <c r="M150" s="3" t="s">
        <v>3534</v>
      </c>
      <c r="N150" s="3" t="s">
        <v>3534</v>
      </c>
      <c r="O150" s="3" t="s">
        <v>3534</v>
      </c>
      <c r="P150" s="3" t="s">
        <v>3534</v>
      </c>
      <c r="Q150" s="3" t="s">
        <v>3534</v>
      </c>
      <c r="R150" s="3" t="s">
        <v>3534</v>
      </c>
      <c r="S150" s="3" t="s">
        <v>3534</v>
      </c>
      <c r="T150" s="3" t="s">
        <v>3534</v>
      </c>
      <c r="U150" s="3" t="s">
        <v>3534</v>
      </c>
      <c r="V150" s="3" t="s">
        <v>3534</v>
      </c>
      <c r="W150" s="3" t="s">
        <v>3534</v>
      </c>
      <c r="X150" s="3" t="s">
        <v>3534</v>
      </c>
      <c r="Y150" s="3" t="s">
        <v>3534</v>
      </c>
      <c r="Z150" s="3" t="s">
        <v>3534</v>
      </c>
      <c r="AA150" s="3" t="s">
        <v>3534</v>
      </c>
      <c r="AB150" s="3" t="s">
        <v>3534</v>
      </c>
    </row>
    <row r="151" spans="2:37" x14ac:dyDescent="0.3">
      <c r="I151" s="29"/>
      <c r="J151" s="29"/>
    </row>
    <row r="152" spans="2:37" x14ac:dyDescent="0.3">
      <c r="I152" s="29"/>
      <c r="J152" s="29"/>
    </row>
    <row r="153" spans="2:37" x14ac:dyDescent="0.3">
      <c r="I153" s="29"/>
      <c r="J153" s="29"/>
    </row>
    <row r="154" spans="2:37" x14ac:dyDescent="0.3">
      <c r="I154" s="29"/>
      <c r="J154" s="29"/>
    </row>
    <row r="155" spans="2:37" x14ac:dyDescent="0.3">
      <c r="I155" s="29"/>
      <c r="J155" s="29"/>
    </row>
    <row r="156" spans="2:37" x14ac:dyDescent="0.3">
      <c r="I156" s="29"/>
      <c r="J156" s="29"/>
    </row>
    <row r="157" spans="2:37" x14ac:dyDescent="0.3">
      <c r="I157" s="29"/>
      <c r="J157" s="29"/>
    </row>
    <row r="158" spans="2:37" x14ac:dyDescent="0.3">
      <c r="I158" s="29"/>
      <c r="J158" s="29"/>
    </row>
    <row r="159" spans="2:37" x14ac:dyDescent="0.3">
      <c r="I159" s="29"/>
      <c r="J159" s="29"/>
    </row>
    <row r="160" spans="2:37" x14ac:dyDescent="0.3">
      <c r="I160" s="29"/>
      <c r="J160" s="29"/>
    </row>
    <row r="161" spans="9:10" x14ac:dyDescent="0.3">
      <c r="I161" s="29"/>
      <c r="J161" s="29"/>
    </row>
    <row r="162" spans="9:10" x14ac:dyDescent="0.3">
      <c r="I162" s="29"/>
      <c r="J162" s="29"/>
    </row>
    <row r="163" spans="9:10" x14ac:dyDescent="0.3">
      <c r="I163" s="29"/>
      <c r="J163" s="29"/>
    </row>
    <row r="164" spans="9:10" x14ac:dyDescent="0.3">
      <c r="I164" s="29"/>
      <c r="J164" s="29"/>
    </row>
    <row r="165" spans="9:10" x14ac:dyDescent="0.3">
      <c r="I165" s="29"/>
      <c r="J165" s="29"/>
    </row>
    <row r="166" spans="9:10" x14ac:dyDescent="0.3">
      <c r="I166" s="29"/>
      <c r="J166" s="29"/>
    </row>
    <row r="167" spans="9:10" x14ac:dyDescent="0.3">
      <c r="I167" s="29"/>
      <c r="J167" s="29"/>
    </row>
    <row r="168" spans="9:10" x14ac:dyDescent="0.3">
      <c r="I168" s="29"/>
      <c r="J168" s="29"/>
    </row>
    <row r="169" spans="9:10" x14ac:dyDescent="0.3">
      <c r="I169" s="29"/>
      <c r="J169" s="29"/>
    </row>
    <row r="170" spans="9:10" x14ac:dyDescent="0.3">
      <c r="I170" s="29"/>
      <c r="J170" s="29"/>
    </row>
    <row r="171" spans="9:10" x14ac:dyDescent="0.3">
      <c r="I171" s="29"/>
      <c r="J171" s="29"/>
    </row>
    <row r="172" spans="9:10" x14ac:dyDescent="0.3">
      <c r="I172" s="29"/>
      <c r="J172" s="29"/>
    </row>
    <row r="173" spans="9:10" x14ac:dyDescent="0.3">
      <c r="I173" s="29"/>
      <c r="J173" s="29"/>
    </row>
    <row r="174" spans="9:10" x14ac:dyDescent="0.3">
      <c r="I174" s="29"/>
      <c r="J174" s="29"/>
    </row>
    <row r="175" spans="9:10" x14ac:dyDescent="0.3">
      <c r="I175" s="29"/>
      <c r="J175" s="29"/>
    </row>
    <row r="176" spans="9:10" x14ac:dyDescent="0.3">
      <c r="I176" s="29"/>
      <c r="J176" s="29"/>
    </row>
    <row r="177" spans="9:10" x14ac:dyDescent="0.3">
      <c r="I177" s="29"/>
      <c r="J177" s="29"/>
    </row>
    <row r="178" spans="9:10" x14ac:dyDescent="0.3">
      <c r="I178" s="29"/>
      <c r="J178" s="29"/>
    </row>
    <row r="179" spans="9:10" x14ac:dyDescent="0.3">
      <c r="I179" s="29"/>
      <c r="J179" s="29"/>
    </row>
    <row r="180" spans="9:10" x14ac:dyDescent="0.3">
      <c r="I180" s="29"/>
      <c r="J180" s="29"/>
    </row>
    <row r="181" spans="9:10" x14ac:dyDescent="0.3">
      <c r="I181" s="29"/>
      <c r="J181" s="29"/>
    </row>
    <row r="182" spans="9:10" x14ac:dyDescent="0.3">
      <c r="I182" s="29"/>
      <c r="J182" s="29"/>
    </row>
    <row r="183" spans="9:10" x14ac:dyDescent="0.3">
      <c r="I183" s="29"/>
      <c r="J183" s="29"/>
    </row>
    <row r="184" spans="9:10" x14ac:dyDescent="0.3">
      <c r="I184" s="29"/>
      <c r="J184" s="29"/>
    </row>
    <row r="185" spans="9:10" x14ac:dyDescent="0.3">
      <c r="I185" s="29"/>
      <c r="J185" s="29"/>
    </row>
    <row r="186" spans="9:10" x14ac:dyDescent="0.3">
      <c r="I186" s="29"/>
      <c r="J186" s="29"/>
    </row>
    <row r="187" spans="9:10" x14ac:dyDescent="0.3">
      <c r="I187" s="29"/>
      <c r="J187" s="29"/>
    </row>
    <row r="188" spans="9:10" x14ac:dyDescent="0.3">
      <c r="I188" s="29"/>
      <c r="J188" s="29"/>
    </row>
    <row r="189" spans="9:10" x14ac:dyDescent="0.3">
      <c r="I189" s="29"/>
      <c r="J189" s="29"/>
    </row>
    <row r="190" spans="9:10" x14ac:dyDescent="0.3">
      <c r="I190" s="29"/>
      <c r="J190" s="29"/>
    </row>
    <row r="191" spans="9:10" x14ac:dyDescent="0.3">
      <c r="I191" s="29"/>
      <c r="J191" s="29"/>
    </row>
    <row r="192" spans="9:10" x14ac:dyDescent="0.3">
      <c r="I192" s="29"/>
      <c r="J192" s="29"/>
    </row>
    <row r="193" spans="9:10" x14ac:dyDescent="0.3">
      <c r="I193" s="29"/>
      <c r="J193" s="29"/>
    </row>
    <row r="194" spans="9:10" x14ac:dyDescent="0.3">
      <c r="I194" s="29"/>
      <c r="J194" s="29"/>
    </row>
    <row r="195" spans="9:10" x14ac:dyDescent="0.3">
      <c r="I195" s="29"/>
      <c r="J195" s="29"/>
    </row>
    <row r="196" spans="9:10" x14ac:dyDescent="0.3">
      <c r="I196" s="29"/>
      <c r="J196" s="29"/>
    </row>
    <row r="197" spans="9:10" x14ac:dyDescent="0.3">
      <c r="I197" s="29"/>
      <c r="J197" s="29"/>
    </row>
    <row r="198" spans="9:10" x14ac:dyDescent="0.3">
      <c r="I198" s="29"/>
      <c r="J198" s="29"/>
    </row>
    <row r="199" spans="9:10" x14ac:dyDescent="0.3">
      <c r="I199" s="29"/>
      <c r="J199" s="29"/>
    </row>
    <row r="200" spans="9:10" x14ac:dyDescent="0.3">
      <c r="I200" s="29"/>
      <c r="J200" s="29"/>
    </row>
    <row r="201" spans="9:10" x14ac:dyDescent="0.3">
      <c r="I201" s="29"/>
      <c r="J201" s="29"/>
    </row>
    <row r="202" spans="9:10" x14ac:dyDescent="0.3">
      <c r="I202" s="29"/>
      <c r="J202" s="29"/>
    </row>
    <row r="203" spans="9:10" x14ac:dyDescent="0.3">
      <c r="I203" s="29"/>
      <c r="J203" s="29"/>
    </row>
    <row r="204" spans="9:10" x14ac:dyDescent="0.3">
      <c r="I204" s="29"/>
      <c r="J204" s="29"/>
    </row>
    <row r="205" spans="9:10" x14ac:dyDescent="0.3">
      <c r="I205" s="29"/>
      <c r="J205" s="29"/>
    </row>
    <row r="206" spans="9:10" x14ac:dyDescent="0.3">
      <c r="I206" s="29"/>
      <c r="J206" s="29"/>
    </row>
    <row r="207" spans="9:10" x14ac:dyDescent="0.3">
      <c r="I207" s="29"/>
      <c r="J207" s="29"/>
    </row>
    <row r="208" spans="9:10" x14ac:dyDescent="0.3">
      <c r="I208" s="29"/>
      <c r="J208" s="29"/>
    </row>
    <row r="209" spans="9:10" x14ac:dyDescent="0.3">
      <c r="I209" s="29"/>
      <c r="J209" s="29"/>
    </row>
    <row r="210" spans="9:10" x14ac:dyDescent="0.3">
      <c r="I210" s="29"/>
      <c r="J210" s="29"/>
    </row>
    <row r="211" spans="9:10" x14ac:dyDescent="0.3">
      <c r="I211" s="29"/>
      <c r="J211" s="29"/>
    </row>
    <row r="212" spans="9:10" x14ac:dyDescent="0.3">
      <c r="I212" s="29"/>
      <c r="J212" s="29"/>
    </row>
    <row r="213" spans="9:10" x14ac:dyDescent="0.3">
      <c r="I213" s="29"/>
      <c r="J213" s="29"/>
    </row>
    <row r="214" spans="9:10" x14ac:dyDescent="0.3">
      <c r="I214" s="29"/>
      <c r="J214" s="29"/>
    </row>
    <row r="215" spans="9:10" x14ac:dyDescent="0.3">
      <c r="I215" s="29"/>
      <c r="J215" s="29"/>
    </row>
    <row r="216" spans="9:10" x14ac:dyDescent="0.3">
      <c r="I216" s="29"/>
      <c r="J216" s="29"/>
    </row>
    <row r="217" spans="9:10" x14ac:dyDescent="0.3">
      <c r="I217" s="29"/>
      <c r="J217" s="29"/>
    </row>
    <row r="218" spans="9:10" x14ac:dyDescent="0.3">
      <c r="I218" s="29"/>
      <c r="J218" s="29"/>
    </row>
    <row r="219" spans="9:10" x14ac:dyDescent="0.3">
      <c r="I219" s="29"/>
      <c r="J219" s="29"/>
    </row>
    <row r="220" spans="9:10" x14ac:dyDescent="0.3">
      <c r="I220" s="29"/>
      <c r="J220" s="29"/>
    </row>
    <row r="221" spans="9:10" x14ac:dyDescent="0.3">
      <c r="I221" s="29"/>
      <c r="J221" s="29"/>
    </row>
    <row r="222" spans="9:10" x14ac:dyDescent="0.3">
      <c r="I222" s="29"/>
      <c r="J222" s="29"/>
    </row>
    <row r="223" spans="9:10" x14ac:dyDescent="0.3">
      <c r="I223" s="29"/>
      <c r="J223" s="29"/>
    </row>
    <row r="224" spans="9:10" x14ac:dyDescent="0.3">
      <c r="I224" s="29"/>
      <c r="J224" s="29"/>
    </row>
    <row r="225" spans="9:10" x14ac:dyDescent="0.3">
      <c r="I225" s="29"/>
      <c r="J225" s="29"/>
    </row>
    <row r="226" spans="9:10" x14ac:dyDescent="0.3">
      <c r="I226" s="29"/>
      <c r="J226" s="29"/>
    </row>
    <row r="227" spans="9:10" x14ac:dyDescent="0.3">
      <c r="I227" s="29"/>
      <c r="J227" s="29"/>
    </row>
    <row r="228" spans="9:10" x14ac:dyDescent="0.3">
      <c r="I228" s="29"/>
      <c r="J228" s="29"/>
    </row>
    <row r="229" spans="9:10" x14ac:dyDescent="0.3">
      <c r="I229" s="29"/>
      <c r="J229" s="29"/>
    </row>
    <row r="230" spans="9:10" x14ac:dyDescent="0.3">
      <c r="I230" s="29"/>
      <c r="J230" s="29"/>
    </row>
    <row r="231" spans="9:10" x14ac:dyDescent="0.3">
      <c r="I231" s="29"/>
      <c r="J231" s="29"/>
    </row>
    <row r="232" spans="9:10" x14ac:dyDescent="0.3">
      <c r="I232" s="29"/>
      <c r="J232" s="29"/>
    </row>
    <row r="233" spans="9:10" x14ac:dyDescent="0.3">
      <c r="I233" s="29"/>
      <c r="J233" s="29"/>
    </row>
    <row r="234" spans="9:10" x14ac:dyDescent="0.3">
      <c r="I234" s="29"/>
      <c r="J234" s="29"/>
    </row>
    <row r="235" spans="9:10" x14ac:dyDescent="0.3">
      <c r="I235" s="29"/>
      <c r="J235" s="29"/>
    </row>
    <row r="236" spans="9:10" x14ac:dyDescent="0.3">
      <c r="I236" s="29"/>
      <c r="J236" s="29"/>
    </row>
    <row r="237" spans="9:10" x14ac:dyDescent="0.3">
      <c r="I237" s="29"/>
      <c r="J237" s="29"/>
    </row>
    <row r="238" spans="9:10" x14ac:dyDescent="0.3">
      <c r="I238" s="29"/>
      <c r="J238" s="29"/>
    </row>
    <row r="239" spans="9:10" x14ac:dyDescent="0.3">
      <c r="I239" s="29"/>
      <c r="J239" s="29"/>
    </row>
    <row r="240" spans="9:10" x14ac:dyDescent="0.3">
      <c r="I240" s="29"/>
      <c r="J240" s="29"/>
    </row>
    <row r="241" spans="9:10" x14ac:dyDescent="0.3">
      <c r="I241" s="29"/>
      <c r="J241" s="29"/>
    </row>
    <row r="242" spans="9:10" x14ac:dyDescent="0.3">
      <c r="I242" s="29"/>
      <c r="J242" s="29"/>
    </row>
    <row r="243" spans="9:10" x14ac:dyDescent="0.3">
      <c r="I243" s="29"/>
      <c r="J243" s="29"/>
    </row>
    <row r="244" spans="9:10" x14ac:dyDescent="0.3">
      <c r="I244" s="29"/>
      <c r="J244" s="29"/>
    </row>
    <row r="245" spans="9:10" x14ac:dyDescent="0.3">
      <c r="I245" s="29"/>
      <c r="J245" s="29"/>
    </row>
    <row r="246" spans="9:10" x14ac:dyDescent="0.3">
      <c r="I246" s="29"/>
      <c r="J246" s="29"/>
    </row>
    <row r="247" spans="9:10" x14ac:dyDescent="0.3">
      <c r="I247" s="29"/>
      <c r="J247" s="29"/>
    </row>
    <row r="248" spans="9:10" x14ac:dyDescent="0.3">
      <c r="I248" s="29"/>
      <c r="J248" s="29"/>
    </row>
    <row r="249" spans="9:10" x14ac:dyDescent="0.3">
      <c r="I249" s="29"/>
      <c r="J249" s="29"/>
    </row>
    <row r="250" spans="9:10" x14ac:dyDescent="0.3">
      <c r="I250" s="29"/>
      <c r="J250" s="29"/>
    </row>
    <row r="251" spans="9:10" x14ac:dyDescent="0.3">
      <c r="I251" s="29"/>
      <c r="J251" s="29"/>
    </row>
    <row r="252" spans="9:10" x14ac:dyDescent="0.3">
      <c r="I252" s="29"/>
      <c r="J252" s="29"/>
    </row>
    <row r="253" spans="9:10" x14ac:dyDescent="0.3">
      <c r="I253" s="29"/>
      <c r="J253" s="29"/>
    </row>
    <row r="254" spans="9:10" x14ac:dyDescent="0.3">
      <c r="I254" s="29"/>
      <c r="J254" s="29"/>
    </row>
    <row r="255" spans="9:10" x14ac:dyDescent="0.3">
      <c r="I255" s="29"/>
      <c r="J255" s="29"/>
    </row>
    <row r="256" spans="9:10" x14ac:dyDescent="0.3">
      <c r="I256" s="29"/>
      <c r="J256" s="29"/>
    </row>
    <row r="257" spans="9:10" x14ac:dyDescent="0.3">
      <c r="I257" s="29"/>
      <c r="J257" s="29"/>
    </row>
    <row r="258" spans="9:10" x14ac:dyDescent="0.3">
      <c r="I258" s="29"/>
      <c r="J258" s="29"/>
    </row>
    <row r="259" spans="9:10" x14ac:dyDescent="0.3">
      <c r="I259" s="29"/>
      <c r="J259" s="29"/>
    </row>
    <row r="260" spans="9:10" x14ac:dyDescent="0.3">
      <c r="I260" s="29"/>
      <c r="J260" s="29"/>
    </row>
    <row r="261" spans="9:10" x14ac:dyDescent="0.3">
      <c r="I261" s="29"/>
      <c r="J261" s="29"/>
    </row>
    <row r="262" spans="9:10" x14ac:dyDescent="0.3">
      <c r="I262" s="29"/>
      <c r="J262" s="29"/>
    </row>
    <row r="263" spans="9:10" x14ac:dyDescent="0.3">
      <c r="I263" s="29"/>
      <c r="J263" s="29"/>
    </row>
    <row r="264" spans="9:10" x14ac:dyDescent="0.3">
      <c r="I264" s="29"/>
      <c r="J264" s="29"/>
    </row>
    <row r="265" spans="9:10" x14ac:dyDescent="0.3">
      <c r="I265" s="29"/>
      <c r="J265" s="29"/>
    </row>
    <row r="266" spans="9:10" x14ac:dyDescent="0.3">
      <c r="I266" s="29"/>
      <c r="J266" s="29"/>
    </row>
    <row r="267" spans="9:10" x14ac:dyDescent="0.3">
      <c r="I267" s="29"/>
      <c r="J267" s="29"/>
    </row>
    <row r="268" spans="9:10" x14ac:dyDescent="0.3">
      <c r="I268" s="29"/>
      <c r="J268" s="29"/>
    </row>
    <row r="269" spans="9:10" x14ac:dyDescent="0.3">
      <c r="I269" s="29"/>
      <c r="J269" s="29"/>
    </row>
    <row r="270" spans="9:10" x14ac:dyDescent="0.3">
      <c r="I270" s="29"/>
      <c r="J270" s="29"/>
    </row>
    <row r="271" spans="9:10" x14ac:dyDescent="0.3">
      <c r="I271" s="29"/>
      <c r="J271" s="29"/>
    </row>
    <row r="272" spans="9:10" x14ac:dyDescent="0.3">
      <c r="I272" s="29"/>
      <c r="J272" s="29"/>
    </row>
    <row r="273" spans="9:10" x14ac:dyDescent="0.3">
      <c r="I273" s="29"/>
      <c r="J273" s="29"/>
    </row>
    <row r="274" spans="9:10" x14ac:dyDescent="0.3">
      <c r="I274" s="29"/>
      <c r="J274" s="29"/>
    </row>
    <row r="275" spans="9:10" x14ac:dyDescent="0.3">
      <c r="I275" s="29"/>
      <c r="J275" s="29"/>
    </row>
    <row r="276" spans="9:10" x14ac:dyDescent="0.3">
      <c r="I276" s="29"/>
      <c r="J276" s="29"/>
    </row>
    <row r="277" spans="9:10" x14ac:dyDescent="0.3">
      <c r="I277" s="29"/>
      <c r="J277" s="29"/>
    </row>
    <row r="278" spans="9:10" x14ac:dyDescent="0.3">
      <c r="I278" s="29"/>
      <c r="J278" s="29"/>
    </row>
    <row r="279" spans="9:10" x14ac:dyDescent="0.3">
      <c r="I279" s="29"/>
      <c r="J279" s="29"/>
    </row>
    <row r="280" spans="9:10" x14ac:dyDescent="0.3">
      <c r="I280" s="29"/>
      <c r="J280" s="29"/>
    </row>
    <row r="281" spans="9:10" x14ac:dyDescent="0.3">
      <c r="I281" s="29"/>
      <c r="J281" s="29"/>
    </row>
    <row r="282" spans="9:10" x14ac:dyDescent="0.3">
      <c r="I282" s="29"/>
      <c r="J282" s="29"/>
    </row>
    <row r="283" spans="9:10" x14ac:dyDescent="0.3">
      <c r="I283" s="29"/>
      <c r="J283" s="29"/>
    </row>
    <row r="284" spans="9:10" x14ac:dyDescent="0.3">
      <c r="I284" s="29"/>
      <c r="J284" s="29"/>
    </row>
    <row r="285" spans="9:10" x14ac:dyDescent="0.3">
      <c r="I285" s="29"/>
      <c r="J285" s="29"/>
    </row>
    <row r="286" spans="9:10" x14ac:dyDescent="0.3">
      <c r="I286" s="29"/>
      <c r="J286" s="29"/>
    </row>
    <row r="287" spans="9:10" x14ac:dyDescent="0.3">
      <c r="I287" s="29"/>
      <c r="J287" s="29"/>
    </row>
    <row r="288" spans="9:10" x14ac:dyDescent="0.3">
      <c r="I288" s="29"/>
      <c r="J288" s="29"/>
    </row>
    <row r="289" spans="9:10" x14ac:dyDescent="0.3">
      <c r="I289" s="29"/>
      <c r="J289" s="29"/>
    </row>
    <row r="290" spans="9:10" x14ac:dyDescent="0.3">
      <c r="I290" s="29"/>
      <c r="J290" s="29"/>
    </row>
    <row r="291" spans="9:10" x14ac:dyDescent="0.3">
      <c r="I291" s="29"/>
      <c r="J291" s="29"/>
    </row>
  </sheetData>
  <autoFilter ref="A2:AM291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측정일지_업로드(25상)</vt:lpstr>
      <vt:lpstr>측정일지_업로드(25하)</vt:lpstr>
      <vt:lpstr>작성 가이드</vt:lpstr>
      <vt:lpstr>측정일지_업로드(25하) 천안</vt:lpstr>
      <vt:lpstr>측정일지_업로드(25하-대전)</vt:lpstr>
      <vt:lpstr>측정일지_업로드(25하-평택)</vt:lpstr>
      <vt:lpstr>측정일지_업로드(25하-경기)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강하빈학부/영어교육과</dc:creator>
  <cp:lastModifiedBy>강하빈학부/영어교육과</cp:lastModifiedBy>
  <dcterms:created xsi:type="dcterms:W3CDTF">2026-01-10T08:24:42Z</dcterms:created>
  <dcterms:modified xsi:type="dcterms:W3CDTF">2026-01-31T06:58:26Z</dcterms:modified>
</cp:coreProperties>
</file>